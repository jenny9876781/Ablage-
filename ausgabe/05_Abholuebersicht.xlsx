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holungen" sheetId="1" state="visible" r:id="rId1"/>
    <sheet xmlns:r="http://schemas.openxmlformats.org/officeDocument/2006/relationships" name="So geht's" sheetId="2" state="visible" r:id="rId2"/>
    <sheet xmlns:r="http://schemas.openxmlformats.org/officeDocument/2006/relationships" name="Artikel" sheetId="3" state="visible" r:id="rId3"/>
  </sheets>
  <definedNames>
    <definedName name="_xlnm._FilterDatabase" localSheetId="0" hidden="1">'Abholungen'!$A$4:$P$404</definedName>
    <definedName name="_xlnm.Print_Titles" localSheetId="0">'Abholungen'!$4:$4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d dd.mm.yy"/>
  </numFmts>
  <fonts count="7">
    <font>
      <name val="Calibri"/>
      <family val="2"/>
      <color theme="1"/>
      <sz val="11"/>
      <scheme val="minor"/>
    </font>
    <font>
      <name val="Arial"/>
      <b val="1"/>
      <color rgb="00C8102E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3">
    <dxf>
      <font>
        <strike val="1"/>
        <color rgb="00808080"/>
      </font>
      <fill>
        <patternFill patternType="solid">
          <fgColor rgb="00E7E6E6"/>
        </patternFill>
      </fill>
    </dxf>
    <dxf>
      <fill>
        <patternFill patternType="solid">
          <fgColor rgb="00FCE4D6"/>
        </patternFill>
      </fill>
    </dxf>
    <dxf>
      <font>
        <b val="1"/>
        <color rgb="00C8102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22" customWidth="1" min="4" max="4"/>
    <col width="15" customWidth="1" min="5" max="5"/>
    <col width="12" customWidth="1" min="6" max="6"/>
    <col width="8" customWidth="1" min="7" max="7"/>
    <col width="10" customWidth="1" min="8" max="8"/>
    <col width="34" customWidth="1" min="9" max="9"/>
    <col width="22" customWidth="1" min="10" max="10"/>
    <col width="7" customWidth="1" min="11" max="11"/>
    <col width="9" customWidth="1" min="12" max="12"/>
    <col width="10" customWidth="1" min="13" max="13"/>
    <col width="9" customWidth="1" min="14" max="14"/>
    <col width="9" customWidth="1" min="15" max="15"/>
    <col width="26" customWidth="1" min="16" max="16"/>
  </cols>
  <sheetData>
    <row r="1">
      <c r="A1" s="1" t="inlineStr">
        <is>
          <t>Abholübersicht – wer holt wann was ab</t>
        </is>
      </c>
    </row>
    <row r="2">
      <c r="A2" s="2" t="inlineStr">
        <is>
          <t>Je Artikel eine Zeile. Grau = ausfüllen, Bezeichnung, Raum und Einheit ergänzen sich aus der Artikelnummer. Vor dem Abholtag: Filter in Zeile 4 auf den Tag setzen und drucken (Querformat).</t>
        </is>
      </c>
    </row>
    <row r="4" ht="30" customHeight="1">
      <c r="A4" s="3" t="inlineStr">
        <is>
          <t>Abholtag</t>
        </is>
      </c>
      <c r="B4" s="3" t="inlineStr">
        <is>
          <t>Uhrzeit</t>
        </is>
      </c>
      <c r="C4" s="3" t="inlineStr">
        <is>
          <t>Vorgang</t>
        </is>
      </c>
      <c r="D4" s="3" t="inlineStr">
        <is>
          <t>Käufer</t>
        </is>
      </c>
      <c r="E4" s="3" t="inlineStr">
        <is>
          <t>Telefon</t>
        </is>
      </c>
      <c r="F4" s="3" t="inlineStr">
        <is>
          <t>Rechnungsnr.</t>
        </is>
      </c>
      <c r="G4" s="3" t="inlineStr">
        <is>
          <t>bezahlt</t>
        </is>
      </c>
      <c r="H4" s="3" t="inlineStr">
        <is>
          <t>ArtNr</t>
        </is>
      </c>
      <c r="I4" s="3" t="inlineStr">
        <is>
          <t>Bezeichnung</t>
        </is>
      </c>
      <c r="J4" s="3" t="inlineStr">
        <is>
          <t>Raum (Post-it)</t>
        </is>
      </c>
      <c r="K4" s="3" t="inlineStr">
        <is>
          <t>Menge</t>
        </is>
      </c>
      <c r="L4" s="3" t="inlineStr">
        <is>
          <t>Einheit</t>
        </is>
      </c>
      <c r="M4" s="3" t="inlineStr">
        <is>
          <t>Demontage</t>
        </is>
      </c>
      <c r="N4" s="3" t="inlineStr">
        <is>
          <t>bereit-gestellt</t>
        </is>
      </c>
      <c r="O4" s="3" t="inlineStr">
        <is>
          <t>abgeholt</t>
        </is>
      </c>
      <c r="P4" s="3" t="inlineStr">
        <is>
          <t>Bemerkung</t>
        </is>
      </c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6">
        <f>IF(H5="","",IFERROR(VLOOKUP(H5,Artikel!$A:$E,2,FALSE),"? Nummer prüfen"))</f>
        <v/>
      </c>
      <c r="J5" s="6">
        <f>IF(H5="","",IFERROR(VLOOKUP(H5,Artikel!$A:$E,3,FALSE)&amp;" ("&amp;VLOOKUP(H5,Artikel!$A:$E,4,FALSE)&amp;")",""))</f>
        <v/>
      </c>
      <c r="K5" s="5" t="n"/>
      <c r="L5" s="7">
        <f>IF(H5="","",IFERROR(VLOOKUP(H5,Artikel!$A:$E,5,FALSE),""))</f>
        <v/>
      </c>
      <c r="M5" s="5" t="n"/>
      <c r="N5" s="5" t="n"/>
      <c r="O5" s="5" t="n"/>
      <c r="P5" s="8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6">
        <f>IF(H6="","",IFERROR(VLOOKUP(H6,Artikel!$A:$E,2,FALSE),"? Nummer prüfen"))</f>
        <v/>
      </c>
      <c r="J6" s="6">
        <f>IF(H6="","",IFERROR(VLOOKUP(H6,Artikel!$A:$E,3,FALSE)&amp;" ("&amp;VLOOKUP(H6,Artikel!$A:$E,4,FALSE)&amp;")",""))</f>
        <v/>
      </c>
      <c r="K6" s="5" t="n"/>
      <c r="L6" s="7">
        <f>IF(H6="","",IFERROR(VLOOKUP(H6,Artikel!$A:$E,5,FALSE),""))</f>
        <v/>
      </c>
      <c r="M6" s="5" t="n"/>
      <c r="N6" s="5" t="n"/>
      <c r="O6" s="5" t="n"/>
      <c r="P6" s="8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6">
        <f>IF(H7="","",IFERROR(VLOOKUP(H7,Artikel!$A:$E,2,FALSE),"? Nummer prüfen"))</f>
        <v/>
      </c>
      <c r="J7" s="6">
        <f>IF(H7="","",IFERROR(VLOOKUP(H7,Artikel!$A:$E,3,FALSE)&amp;" ("&amp;VLOOKUP(H7,Artikel!$A:$E,4,FALSE)&amp;")",""))</f>
        <v/>
      </c>
      <c r="K7" s="5" t="n"/>
      <c r="L7" s="7">
        <f>IF(H7="","",IFERROR(VLOOKUP(H7,Artikel!$A:$E,5,FALSE),""))</f>
        <v/>
      </c>
      <c r="M7" s="5" t="n"/>
      <c r="N7" s="5" t="n"/>
      <c r="O7" s="5" t="n"/>
      <c r="P7" s="8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6">
        <f>IF(H8="","",IFERROR(VLOOKUP(H8,Artikel!$A:$E,2,FALSE),"? Nummer prüfen"))</f>
        <v/>
      </c>
      <c r="J8" s="6">
        <f>IF(H8="","",IFERROR(VLOOKUP(H8,Artikel!$A:$E,3,FALSE)&amp;" ("&amp;VLOOKUP(H8,Artikel!$A:$E,4,FALSE)&amp;")",""))</f>
        <v/>
      </c>
      <c r="K8" s="5" t="n"/>
      <c r="L8" s="7">
        <f>IF(H8="","",IFERROR(VLOOKUP(H8,Artikel!$A:$E,5,FALSE),""))</f>
        <v/>
      </c>
      <c r="M8" s="5" t="n"/>
      <c r="N8" s="5" t="n"/>
      <c r="O8" s="5" t="n"/>
      <c r="P8" s="8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6">
        <f>IF(H9="","",IFERROR(VLOOKUP(H9,Artikel!$A:$E,2,FALSE),"? Nummer prüfen"))</f>
        <v/>
      </c>
      <c r="J9" s="6">
        <f>IF(H9="","",IFERROR(VLOOKUP(H9,Artikel!$A:$E,3,FALSE)&amp;" ("&amp;VLOOKUP(H9,Artikel!$A:$E,4,FALSE)&amp;")",""))</f>
        <v/>
      </c>
      <c r="K9" s="5" t="n"/>
      <c r="L9" s="7">
        <f>IF(H9="","",IFERROR(VLOOKUP(H9,Artikel!$A:$E,5,FALSE),""))</f>
        <v/>
      </c>
      <c r="M9" s="5" t="n"/>
      <c r="N9" s="5" t="n"/>
      <c r="O9" s="5" t="n"/>
      <c r="P9" s="8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6">
        <f>IF(H10="","",IFERROR(VLOOKUP(H10,Artikel!$A:$E,2,FALSE),"? Nummer prüfen"))</f>
        <v/>
      </c>
      <c r="J10" s="6">
        <f>IF(H10="","",IFERROR(VLOOKUP(H10,Artikel!$A:$E,3,FALSE)&amp;" ("&amp;VLOOKUP(H10,Artikel!$A:$E,4,FALSE)&amp;")",""))</f>
        <v/>
      </c>
      <c r="K10" s="5" t="n"/>
      <c r="L10" s="7">
        <f>IF(H10="","",IFERROR(VLOOKUP(H10,Artikel!$A:$E,5,FALSE),""))</f>
        <v/>
      </c>
      <c r="M10" s="5" t="n"/>
      <c r="N10" s="5" t="n"/>
      <c r="O10" s="5" t="n"/>
      <c r="P10" s="8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6">
        <f>IF(H11="","",IFERROR(VLOOKUP(H11,Artikel!$A:$E,2,FALSE),"? Nummer prüfen"))</f>
        <v/>
      </c>
      <c r="J11" s="6">
        <f>IF(H11="","",IFERROR(VLOOKUP(H11,Artikel!$A:$E,3,FALSE)&amp;" ("&amp;VLOOKUP(H11,Artikel!$A:$E,4,FALSE)&amp;")",""))</f>
        <v/>
      </c>
      <c r="K11" s="5" t="n"/>
      <c r="L11" s="7">
        <f>IF(H11="","",IFERROR(VLOOKUP(H11,Artikel!$A:$E,5,FALSE),""))</f>
        <v/>
      </c>
      <c r="M11" s="5" t="n"/>
      <c r="N11" s="5" t="n"/>
      <c r="O11" s="5" t="n"/>
      <c r="P11" s="8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6">
        <f>IF(H12="","",IFERROR(VLOOKUP(H12,Artikel!$A:$E,2,FALSE),"? Nummer prüfen"))</f>
        <v/>
      </c>
      <c r="J12" s="6">
        <f>IF(H12="","",IFERROR(VLOOKUP(H12,Artikel!$A:$E,3,FALSE)&amp;" ("&amp;VLOOKUP(H12,Artikel!$A:$E,4,FALSE)&amp;")",""))</f>
        <v/>
      </c>
      <c r="K12" s="5" t="n"/>
      <c r="L12" s="7">
        <f>IF(H12="","",IFERROR(VLOOKUP(H12,Artikel!$A:$E,5,FALSE),""))</f>
        <v/>
      </c>
      <c r="M12" s="5" t="n"/>
      <c r="N12" s="5" t="n"/>
      <c r="O12" s="5" t="n"/>
      <c r="P12" s="8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6">
        <f>IF(H13="","",IFERROR(VLOOKUP(H13,Artikel!$A:$E,2,FALSE),"? Nummer prüfen"))</f>
        <v/>
      </c>
      <c r="J13" s="6">
        <f>IF(H13="","",IFERROR(VLOOKUP(H13,Artikel!$A:$E,3,FALSE)&amp;" ("&amp;VLOOKUP(H13,Artikel!$A:$E,4,FALSE)&amp;")",""))</f>
        <v/>
      </c>
      <c r="K13" s="5" t="n"/>
      <c r="L13" s="7">
        <f>IF(H13="","",IFERROR(VLOOKUP(H13,Artikel!$A:$E,5,FALSE),""))</f>
        <v/>
      </c>
      <c r="M13" s="5" t="n"/>
      <c r="N13" s="5" t="n"/>
      <c r="O13" s="5" t="n"/>
      <c r="P13" s="8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6">
        <f>IF(H14="","",IFERROR(VLOOKUP(H14,Artikel!$A:$E,2,FALSE),"? Nummer prüfen"))</f>
        <v/>
      </c>
      <c r="J14" s="6">
        <f>IF(H14="","",IFERROR(VLOOKUP(H14,Artikel!$A:$E,3,FALSE)&amp;" ("&amp;VLOOKUP(H14,Artikel!$A:$E,4,FALSE)&amp;")",""))</f>
        <v/>
      </c>
      <c r="K14" s="5" t="n"/>
      <c r="L14" s="7">
        <f>IF(H14="","",IFERROR(VLOOKUP(H14,Artikel!$A:$E,5,FALSE),""))</f>
        <v/>
      </c>
      <c r="M14" s="5" t="n"/>
      <c r="N14" s="5" t="n"/>
      <c r="O14" s="5" t="n"/>
      <c r="P14" s="8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6">
        <f>IF(H15="","",IFERROR(VLOOKUP(H15,Artikel!$A:$E,2,FALSE),"? Nummer prüfen"))</f>
        <v/>
      </c>
      <c r="J15" s="6">
        <f>IF(H15="","",IFERROR(VLOOKUP(H15,Artikel!$A:$E,3,FALSE)&amp;" ("&amp;VLOOKUP(H15,Artikel!$A:$E,4,FALSE)&amp;")",""))</f>
        <v/>
      </c>
      <c r="K15" s="5" t="n"/>
      <c r="L15" s="7">
        <f>IF(H15="","",IFERROR(VLOOKUP(H15,Artikel!$A:$E,5,FALSE),""))</f>
        <v/>
      </c>
      <c r="M15" s="5" t="n"/>
      <c r="N15" s="5" t="n"/>
      <c r="O15" s="5" t="n"/>
      <c r="P15" s="8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6">
        <f>IF(H16="","",IFERROR(VLOOKUP(H16,Artikel!$A:$E,2,FALSE),"? Nummer prüfen"))</f>
        <v/>
      </c>
      <c r="J16" s="6">
        <f>IF(H16="","",IFERROR(VLOOKUP(H16,Artikel!$A:$E,3,FALSE)&amp;" ("&amp;VLOOKUP(H16,Artikel!$A:$E,4,FALSE)&amp;")",""))</f>
        <v/>
      </c>
      <c r="K16" s="5" t="n"/>
      <c r="L16" s="7">
        <f>IF(H16="","",IFERROR(VLOOKUP(H16,Artikel!$A:$E,5,FALSE),""))</f>
        <v/>
      </c>
      <c r="M16" s="5" t="n"/>
      <c r="N16" s="5" t="n"/>
      <c r="O16" s="5" t="n"/>
      <c r="P16" s="8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6">
        <f>IF(H17="","",IFERROR(VLOOKUP(H17,Artikel!$A:$E,2,FALSE),"? Nummer prüfen"))</f>
        <v/>
      </c>
      <c r="J17" s="6">
        <f>IF(H17="","",IFERROR(VLOOKUP(H17,Artikel!$A:$E,3,FALSE)&amp;" ("&amp;VLOOKUP(H17,Artikel!$A:$E,4,FALSE)&amp;")",""))</f>
        <v/>
      </c>
      <c r="K17" s="5" t="n"/>
      <c r="L17" s="7">
        <f>IF(H17="","",IFERROR(VLOOKUP(H17,Artikel!$A:$E,5,FALSE),""))</f>
        <v/>
      </c>
      <c r="M17" s="5" t="n"/>
      <c r="N17" s="5" t="n"/>
      <c r="O17" s="5" t="n"/>
      <c r="P17" s="8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6">
        <f>IF(H18="","",IFERROR(VLOOKUP(H18,Artikel!$A:$E,2,FALSE),"? Nummer prüfen"))</f>
        <v/>
      </c>
      <c r="J18" s="6">
        <f>IF(H18="","",IFERROR(VLOOKUP(H18,Artikel!$A:$E,3,FALSE)&amp;" ("&amp;VLOOKUP(H18,Artikel!$A:$E,4,FALSE)&amp;")",""))</f>
        <v/>
      </c>
      <c r="K18" s="5" t="n"/>
      <c r="L18" s="7">
        <f>IF(H18="","",IFERROR(VLOOKUP(H18,Artikel!$A:$E,5,FALSE),""))</f>
        <v/>
      </c>
      <c r="M18" s="5" t="n"/>
      <c r="N18" s="5" t="n"/>
      <c r="O18" s="5" t="n"/>
      <c r="P18" s="8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6">
        <f>IF(H19="","",IFERROR(VLOOKUP(H19,Artikel!$A:$E,2,FALSE),"? Nummer prüfen"))</f>
        <v/>
      </c>
      <c r="J19" s="6">
        <f>IF(H19="","",IFERROR(VLOOKUP(H19,Artikel!$A:$E,3,FALSE)&amp;" ("&amp;VLOOKUP(H19,Artikel!$A:$E,4,FALSE)&amp;")",""))</f>
        <v/>
      </c>
      <c r="K19" s="5" t="n"/>
      <c r="L19" s="7">
        <f>IF(H19="","",IFERROR(VLOOKUP(H19,Artikel!$A:$E,5,FALSE),""))</f>
        <v/>
      </c>
      <c r="M19" s="5" t="n"/>
      <c r="N19" s="5" t="n"/>
      <c r="O19" s="5" t="n"/>
      <c r="P19" s="8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6">
        <f>IF(H20="","",IFERROR(VLOOKUP(H20,Artikel!$A:$E,2,FALSE),"? Nummer prüfen"))</f>
        <v/>
      </c>
      <c r="J20" s="6">
        <f>IF(H20="","",IFERROR(VLOOKUP(H20,Artikel!$A:$E,3,FALSE)&amp;" ("&amp;VLOOKUP(H20,Artikel!$A:$E,4,FALSE)&amp;")",""))</f>
        <v/>
      </c>
      <c r="K20" s="5" t="n"/>
      <c r="L20" s="7">
        <f>IF(H20="","",IFERROR(VLOOKUP(H20,Artikel!$A:$E,5,FALSE),""))</f>
        <v/>
      </c>
      <c r="M20" s="5" t="n"/>
      <c r="N20" s="5" t="n"/>
      <c r="O20" s="5" t="n"/>
      <c r="P20" s="8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6">
        <f>IF(H21="","",IFERROR(VLOOKUP(H21,Artikel!$A:$E,2,FALSE),"? Nummer prüfen"))</f>
        <v/>
      </c>
      <c r="J21" s="6">
        <f>IF(H21="","",IFERROR(VLOOKUP(H21,Artikel!$A:$E,3,FALSE)&amp;" ("&amp;VLOOKUP(H21,Artikel!$A:$E,4,FALSE)&amp;")",""))</f>
        <v/>
      </c>
      <c r="K21" s="5" t="n"/>
      <c r="L21" s="7">
        <f>IF(H21="","",IFERROR(VLOOKUP(H21,Artikel!$A:$E,5,FALSE),""))</f>
        <v/>
      </c>
      <c r="M21" s="5" t="n"/>
      <c r="N21" s="5" t="n"/>
      <c r="O21" s="5" t="n"/>
      <c r="P21" s="8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6">
        <f>IF(H22="","",IFERROR(VLOOKUP(H22,Artikel!$A:$E,2,FALSE),"? Nummer prüfen"))</f>
        <v/>
      </c>
      <c r="J22" s="6">
        <f>IF(H22="","",IFERROR(VLOOKUP(H22,Artikel!$A:$E,3,FALSE)&amp;" ("&amp;VLOOKUP(H22,Artikel!$A:$E,4,FALSE)&amp;")",""))</f>
        <v/>
      </c>
      <c r="K22" s="5" t="n"/>
      <c r="L22" s="7">
        <f>IF(H22="","",IFERROR(VLOOKUP(H22,Artikel!$A:$E,5,FALSE),""))</f>
        <v/>
      </c>
      <c r="M22" s="5" t="n"/>
      <c r="N22" s="5" t="n"/>
      <c r="O22" s="5" t="n"/>
      <c r="P22" s="8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6">
        <f>IF(H23="","",IFERROR(VLOOKUP(H23,Artikel!$A:$E,2,FALSE),"? Nummer prüfen"))</f>
        <v/>
      </c>
      <c r="J23" s="6">
        <f>IF(H23="","",IFERROR(VLOOKUP(H23,Artikel!$A:$E,3,FALSE)&amp;" ("&amp;VLOOKUP(H23,Artikel!$A:$E,4,FALSE)&amp;")",""))</f>
        <v/>
      </c>
      <c r="K23" s="5" t="n"/>
      <c r="L23" s="7">
        <f>IF(H23="","",IFERROR(VLOOKUP(H23,Artikel!$A:$E,5,FALSE),""))</f>
        <v/>
      </c>
      <c r="M23" s="5" t="n"/>
      <c r="N23" s="5" t="n"/>
      <c r="O23" s="5" t="n"/>
      <c r="P23" s="8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6">
        <f>IF(H24="","",IFERROR(VLOOKUP(H24,Artikel!$A:$E,2,FALSE),"? Nummer prüfen"))</f>
        <v/>
      </c>
      <c r="J24" s="6">
        <f>IF(H24="","",IFERROR(VLOOKUP(H24,Artikel!$A:$E,3,FALSE)&amp;" ("&amp;VLOOKUP(H24,Artikel!$A:$E,4,FALSE)&amp;")",""))</f>
        <v/>
      </c>
      <c r="K24" s="5" t="n"/>
      <c r="L24" s="7">
        <f>IF(H24="","",IFERROR(VLOOKUP(H24,Artikel!$A:$E,5,FALSE),""))</f>
        <v/>
      </c>
      <c r="M24" s="5" t="n"/>
      <c r="N24" s="5" t="n"/>
      <c r="O24" s="5" t="n"/>
      <c r="P24" s="8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6">
        <f>IF(H25="","",IFERROR(VLOOKUP(H25,Artikel!$A:$E,2,FALSE),"? Nummer prüfen"))</f>
        <v/>
      </c>
      <c r="J25" s="6">
        <f>IF(H25="","",IFERROR(VLOOKUP(H25,Artikel!$A:$E,3,FALSE)&amp;" ("&amp;VLOOKUP(H25,Artikel!$A:$E,4,FALSE)&amp;")",""))</f>
        <v/>
      </c>
      <c r="K25" s="5" t="n"/>
      <c r="L25" s="7">
        <f>IF(H25="","",IFERROR(VLOOKUP(H25,Artikel!$A:$E,5,FALSE),""))</f>
        <v/>
      </c>
      <c r="M25" s="5" t="n"/>
      <c r="N25" s="5" t="n"/>
      <c r="O25" s="5" t="n"/>
      <c r="P25" s="8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6">
        <f>IF(H26="","",IFERROR(VLOOKUP(H26,Artikel!$A:$E,2,FALSE),"? Nummer prüfen"))</f>
        <v/>
      </c>
      <c r="J26" s="6">
        <f>IF(H26="","",IFERROR(VLOOKUP(H26,Artikel!$A:$E,3,FALSE)&amp;" ("&amp;VLOOKUP(H26,Artikel!$A:$E,4,FALSE)&amp;")",""))</f>
        <v/>
      </c>
      <c r="K26" s="5" t="n"/>
      <c r="L26" s="7">
        <f>IF(H26="","",IFERROR(VLOOKUP(H26,Artikel!$A:$E,5,FALSE),""))</f>
        <v/>
      </c>
      <c r="M26" s="5" t="n"/>
      <c r="N26" s="5" t="n"/>
      <c r="O26" s="5" t="n"/>
      <c r="P26" s="8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6">
        <f>IF(H27="","",IFERROR(VLOOKUP(H27,Artikel!$A:$E,2,FALSE),"? Nummer prüfen"))</f>
        <v/>
      </c>
      <c r="J27" s="6">
        <f>IF(H27="","",IFERROR(VLOOKUP(H27,Artikel!$A:$E,3,FALSE)&amp;" ("&amp;VLOOKUP(H27,Artikel!$A:$E,4,FALSE)&amp;")",""))</f>
        <v/>
      </c>
      <c r="K27" s="5" t="n"/>
      <c r="L27" s="7">
        <f>IF(H27="","",IFERROR(VLOOKUP(H27,Artikel!$A:$E,5,FALSE),""))</f>
        <v/>
      </c>
      <c r="M27" s="5" t="n"/>
      <c r="N27" s="5" t="n"/>
      <c r="O27" s="5" t="n"/>
      <c r="P27" s="8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6">
        <f>IF(H28="","",IFERROR(VLOOKUP(H28,Artikel!$A:$E,2,FALSE),"? Nummer prüfen"))</f>
        <v/>
      </c>
      <c r="J28" s="6">
        <f>IF(H28="","",IFERROR(VLOOKUP(H28,Artikel!$A:$E,3,FALSE)&amp;" ("&amp;VLOOKUP(H28,Artikel!$A:$E,4,FALSE)&amp;")",""))</f>
        <v/>
      </c>
      <c r="K28" s="5" t="n"/>
      <c r="L28" s="7">
        <f>IF(H28="","",IFERROR(VLOOKUP(H28,Artikel!$A:$E,5,FALSE),""))</f>
        <v/>
      </c>
      <c r="M28" s="5" t="n"/>
      <c r="N28" s="5" t="n"/>
      <c r="O28" s="5" t="n"/>
      <c r="P28" s="8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6">
        <f>IF(H29="","",IFERROR(VLOOKUP(H29,Artikel!$A:$E,2,FALSE),"? Nummer prüfen"))</f>
        <v/>
      </c>
      <c r="J29" s="6">
        <f>IF(H29="","",IFERROR(VLOOKUP(H29,Artikel!$A:$E,3,FALSE)&amp;" ("&amp;VLOOKUP(H29,Artikel!$A:$E,4,FALSE)&amp;")",""))</f>
        <v/>
      </c>
      <c r="K29" s="5" t="n"/>
      <c r="L29" s="7">
        <f>IF(H29="","",IFERROR(VLOOKUP(H29,Artikel!$A:$E,5,FALSE),""))</f>
        <v/>
      </c>
      <c r="M29" s="5" t="n"/>
      <c r="N29" s="5" t="n"/>
      <c r="O29" s="5" t="n"/>
      <c r="P29" s="8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6">
        <f>IF(H30="","",IFERROR(VLOOKUP(H30,Artikel!$A:$E,2,FALSE),"? Nummer prüfen"))</f>
        <v/>
      </c>
      <c r="J30" s="6">
        <f>IF(H30="","",IFERROR(VLOOKUP(H30,Artikel!$A:$E,3,FALSE)&amp;" ("&amp;VLOOKUP(H30,Artikel!$A:$E,4,FALSE)&amp;")",""))</f>
        <v/>
      </c>
      <c r="K30" s="5" t="n"/>
      <c r="L30" s="7">
        <f>IF(H30="","",IFERROR(VLOOKUP(H30,Artikel!$A:$E,5,FALSE),""))</f>
        <v/>
      </c>
      <c r="M30" s="5" t="n"/>
      <c r="N30" s="5" t="n"/>
      <c r="O30" s="5" t="n"/>
      <c r="P30" s="8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6">
        <f>IF(H31="","",IFERROR(VLOOKUP(H31,Artikel!$A:$E,2,FALSE),"? Nummer prüfen"))</f>
        <v/>
      </c>
      <c r="J31" s="6">
        <f>IF(H31="","",IFERROR(VLOOKUP(H31,Artikel!$A:$E,3,FALSE)&amp;" ("&amp;VLOOKUP(H31,Artikel!$A:$E,4,FALSE)&amp;")",""))</f>
        <v/>
      </c>
      <c r="K31" s="5" t="n"/>
      <c r="L31" s="7">
        <f>IF(H31="","",IFERROR(VLOOKUP(H31,Artikel!$A:$E,5,FALSE),""))</f>
        <v/>
      </c>
      <c r="M31" s="5" t="n"/>
      <c r="N31" s="5" t="n"/>
      <c r="O31" s="5" t="n"/>
      <c r="P31" s="8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6">
        <f>IF(H32="","",IFERROR(VLOOKUP(H32,Artikel!$A:$E,2,FALSE),"? Nummer prüfen"))</f>
        <v/>
      </c>
      <c r="J32" s="6">
        <f>IF(H32="","",IFERROR(VLOOKUP(H32,Artikel!$A:$E,3,FALSE)&amp;" ("&amp;VLOOKUP(H32,Artikel!$A:$E,4,FALSE)&amp;")",""))</f>
        <v/>
      </c>
      <c r="K32" s="5" t="n"/>
      <c r="L32" s="7">
        <f>IF(H32="","",IFERROR(VLOOKUP(H32,Artikel!$A:$E,5,FALSE),""))</f>
        <v/>
      </c>
      <c r="M32" s="5" t="n"/>
      <c r="N32" s="5" t="n"/>
      <c r="O32" s="5" t="n"/>
      <c r="P32" s="8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6">
        <f>IF(H33="","",IFERROR(VLOOKUP(H33,Artikel!$A:$E,2,FALSE),"? Nummer prüfen"))</f>
        <v/>
      </c>
      <c r="J33" s="6">
        <f>IF(H33="","",IFERROR(VLOOKUP(H33,Artikel!$A:$E,3,FALSE)&amp;" ("&amp;VLOOKUP(H33,Artikel!$A:$E,4,FALSE)&amp;")",""))</f>
        <v/>
      </c>
      <c r="K33" s="5" t="n"/>
      <c r="L33" s="7">
        <f>IF(H33="","",IFERROR(VLOOKUP(H33,Artikel!$A:$E,5,FALSE),""))</f>
        <v/>
      </c>
      <c r="M33" s="5" t="n"/>
      <c r="N33" s="5" t="n"/>
      <c r="O33" s="5" t="n"/>
      <c r="P33" s="8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6">
        <f>IF(H34="","",IFERROR(VLOOKUP(H34,Artikel!$A:$E,2,FALSE),"? Nummer prüfen"))</f>
        <v/>
      </c>
      <c r="J34" s="6">
        <f>IF(H34="","",IFERROR(VLOOKUP(H34,Artikel!$A:$E,3,FALSE)&amp;" ("&amp;VLOOKUP(H34,Artikel!$A:$E,4,FALSE)&amp;")",""))</f>
        <v/>
      </c>
      <c r="K34" s="5" t="n"/>
      <c r="L34" s="7">
        <f>IF(H34="","",IFERROR(VLOOKUP(H34,Artikel!$A:$E,5,FALSE),""))</f>
        <v/>
      </c>
      <c r="M34" s="5" t="n"/>
      <c r="N34" s="5" t="n"/>
      <c r="O34" s="5" t="n"/>
      <c r="P34" s="8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6">
        <f>IF(H35="","",IFERROR(VLOOKUP(H35,Artikel!$A:$E,2,FALSE),"? Nummer prüfen"))</f>
        <v/>
      </c>
      <c r="J35" s="6">
        <f>IF(H35="","",IFERROR(VLOOKUP(H35,Artikel!$A:$E,3,FALSE)&amp;" ("&amp;VLOOKUP(H35,Artikel!$A:$E,4,FALSE)&amp;")",""))</f>
        <v/>
      </c>
      <c r="K35" s="5" t="n"/>
      <c r="L35" s="7">
        <f>IF(H35="","",IFERROR(VLOOKUP(H35,Artikel!$A:$E,5,FALSE),""))</f>
        <v/>
      </c>
      <c r="M35" s="5" t="n"/>
      <c r="N35" s="5" t="n"/>
      <c r="O35" s="5" t="n"/>
      <c r="P35" s="8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6">
        <f>IF(H36="","",IFERROR(VLOOKUP(H36,Artikel!$A:$E,2,FALSE),"? Nummer prüfen"))</f>
        <v/>
      </c>
      <c r="J36" s="6">
        <f>IF(H36="","",IFERROR(VLOOKUP(H36,Artikel!$A:$E,3,FALSE)&amp;" ("&amp;VLOOKUP(H36,Artikel!$A:$E,4,FALSE)&amp;")",""))</f>
        <v/>
      </c>
      <c r="K36" s="5" t="n"/>
      <c r="L36" s="7">
        <f>IF(H36="","",IFERROR(VLOOKUP(H36,Artikel!$A:$E,5,FALSE),""))</f>
        <v/>
      </c>
      <c r="M36" s="5" t="n"/>
      <c r="N36" s="5" t="n"/>
      <c r="O36" s="5" t="n"/>
      <c r="P36" s="8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6">
        <f>IF(H37="","",IFERROR(VLOOKUP(H37,Artikel!$A:$E,2,FALSE),"? Nummer prüfen"))</f>
        <v/>
      </c>
      <c r="J37" s="6">
        <f>IF(H37="","",IFERROR(VLOOKUP(H37,Artikel!$A:$E,3,FALSE)&amp;" ("&amp;VLOOKUP(H37,Artikel!$A:$E,4,FALSE)&amp;")",""))</f>
        <v/>
      </c>
      <c r="K37" s="5" t="n"/>
      <c r="L37" s="7">
        <f>IF(H37="","",IFERROR(VLOOKUP(H37,Artikel!$A:$E,5,FALSE),""))</f>
        <v/>
      </c>
      <c r="M37" s="5" t="n"/>
      <c r="N37" s="5" t="n"/>
      <c r="O37" s="5" t="n"/>
      <c r="P37" s="8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6">
        <f>IF(H38="","",IFERROR(VLOOKUP(H38,Artikel!$A:$E,2,FALSE),"? Nummer prüfen"))</f>
        <v/>
      </c>
      <c r="J38" s="6">
        <f>IF(H38="","",IFERROR(VLOOKUP(H38,Artikel!$A:$E,3,FALSE)&amp;" ("&amp;VLOOKUP(H38,Artikel!$A:$E,4,FALSE)&amp;")",""))</f>
        <v/>
      </c>
      <c r="K38" s="5" t="n"/>
      <c r="L38" s="7">
        <f>IF(H38="","",IFERROR(VLOOKUP(H38,Artikel!$A:$E,5,FALSE),""))</f>
        <v/>
      </c>
      <c r="M38" s="5" t="n"/>
      <c r="N38" s="5" t="n"/>
      <c r="O38" s="5" t="n"/>
      <c r="P38" s="8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6">
        <f>IF(H39="","",IFERROR(VLOOKUP(H39,Artikel!$A:$E,2,FALSE),"? Nummer prüfen"))</f>
        <v/>
      </c>
      <c r="J39" s="6">
        <f>IF(H39="","",IFERROR(VLOOKUP(H39,Artikel!$A:$E,3,FALSE)&amp;" ("&amp;VLOOKUP(H39,Artikel!$A:$E,4,FALSE)&amp;")",""))</f>
        <v/>
      </c>
      <c r="K39" s="5" t="n"/>
      <c r="L39" s="7">
        <f>IF(H39="","",IFERROR(VLOOKUP(H39,Artikel!$A:$E,5,FALSE),""))</f>
        <v/>
      </c>
      <c r="M39" s="5" t="n"/>
      <c r="N39" s="5" t="n"/>
      <c r="O39" s="5" t="n"/>
      <c r="P39" s="8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6">
        <f>IF(H40="","",IFERROR(VLOOKUP(H40,Artikel!$A:$E,2,FALSE),"? Nummer prüfen"))</f>
        <v/>
      </c>
      <c r="J40" s="6">
        <f>IF(H40="","",IFERROR(VLOOKUP(H40,Artikel!$A:$E,3,FALSE)&amp;" ("&amp;VLOOKUP(H40,Artikel!$A:$E,4,FALSE)&amp;")",""))</f>
        <v/>
      </c>
      <c r="K40" s="5" t="n"/>
      <c r="L40" s="7">
        <f>IF(H40="","",IFERROR(VLOOKUP(H40,Artikel!$A:$E,5,FALSE),""))</f>
        <v/>
      </c>
      <c r="M40" s="5" t="n"/>
      <c r="N40" s="5" t="n"/>
      <c r="O40" s="5" t="n"/>
      <c r="P40" s="8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6">
        <f>IF(H41="","",IFERROR(VLOOKUP(H41,Artikel!$A:$E,2,FALSE),"? Nummer prüfen"))</f>
        <v/>
      </c>
      <c r="J41" s="6">
        <f>IF(H41="","",IFERROR(VLOOKUP(H41,Artikel!$A:$E,3,FALSE)&amp;" ("&amp;VLOOKUP(H41,Artikel!$A:$E,4,FALSE)&amp;")",""))</f>
        <v/>
      </c>
      <c r="K41" s="5" t="n"/>
      <c r="L41" s="7">
        <f>IF(H41="","",IFERROR(VLOOKUP(H41,Artikel!$A:$E,5,FALSE),""))</f>
        <v/>
      </c>
      <c r="M41" s="5" t="n"/>
      <c r="N41" s="5" t="n"/>
      <c r="O41" s="5" t="n"/>
      <c r="P41" s="8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6">
        <f>IF(H42="","",IFERROR(VLOOKUP(H42,Artikel!$A:$E,2,FALSE),"? Nummer prüfen"))</f>
        <v/>
      </c>
      <c r="J42" s="6">
        <f>IF(H42="","",IFERROR(VLOOKUP(H42,Artikel!$A:$E,3,FALSE)&amp;" ("&amp;VLOOKUP(H42,Artikel!$A:$E,4,FALSE)&amp;")",""))</f>
        <v/>
      </c>
      <c r="K42" s="5" t="n"/>
      <c r="L42" s="7">
        <f>IF(H42="","",IFERROR(VLOOKUP(H42,Artikel!$A:$E,5,FALSE),""))</f>
        <v/>
      </c>
      <c r="M42" s="5" t="n"/>
      <c r="N42" s="5" t="n"/>
      <c r="O42" s="5" t="n"/>
      <c r="P42" s="8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6">
        <f>IF(H43="","",IFERROR(VLOOKUP(H43,Artikel!$A:$E,2,FALSE),"? Nummer prüfen"))</f>
        <v/>
      </c>
      <c r="J43" s="6">
        <f>IF(H43="","",IFERROR(VLOOKUP(H43,Artikel!$A:$E,3,FALSE)&amp;" ("&amp;VLOOKUP(H43,Artikel!$A:$E,4,FALSE)&amp;")",""))</f>
        <v/>
      </c>
      <c r="K43" s="5" t="n"/>
      <c r="L43" s="7">
        <f>IF(H43="","",IFERROR(VLOOKUP(H43,Artikel!$A:$E,5,FALSE),""))</f>
        <v/>
      </c>
      <c r="M43" s="5" t="n"/>
      <c r="N43" s="5" t="n"/>
      <c r="O43" s="5" t="n"/>
      <c r="P43" s="8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6">
        <f>IF(H44="","",IFERROR(VLOOKUP(H44,Artikel!$A:$E,2,FALSE),"? Nummer prüfen"))</f>
        <v/>
      </c>
      <c r="J44" s="6">
        <f>IF(H44="","",IFERROR(VLOOKUP(H44,Artikel!$A:$E,3,FALSE)&amp;" ("&amp;VLOOKUP(H44,Artikel!$A:$E,4,FALSE)&amp;")",""))</f>
        <v/>
      </c>
      <c r="K44" s="5" t="n"/>
      <c r="L44" s="7">
        <f>IF(H44="","",IFERROR(VLOOKUP(H44,Artikel!$A:$E,5,FALSE),""))</f>
        <v/>
      </c>
      <c r="M44" s="5" t="n"/>
      <c r="N44" s="5" t="n"/>
      <c r="O44" s="5" t="n"/>
      <c r="P44" s="8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6">
        <f>IF(H45="","",IFERROR(VLOOKUP(H45,Artikel!$A:$E,2,FALSE),"? Nummer prüfen"))</f>
        <v/>
      </c>
      <c r="J45" s="6">
        <f>IF(H45="","",IFERROR(VLOOKUP(H45,Artikel!$A:$E,3,FALSE)&amp;" ("&amp;VLOOKUP(H45,Artikel!$A:$E,4,FALSE)&amp;")",""))</f>
        <v/>
      </c>
      <c r="K45" s="5" t="n"/>
      <c r="L45" s="7">
        <f>IF(H45="","",IFERROR(VLOOKUP(H45,Artikel!$A:$E,5,FALSE),""))</f>
        <v/>
      </c>
      <c r="M45" s="5" t="n"/>
      <c r="N45" s="5" t="n"/>
      <c r="O45" s="5" t="n"/>
      <c r="P45" s="8" t="n"/>
    </row>
    <row r="46">
      <c r="A46" s="4" t="n"/>
      <c r="B46" s="5" t="n"/>
      <c r="C46" s="5" t="n"/>
      <c r="D46" s="5" t="n"/>
      <c r="E46" s="5" t="n"/>
      <c r="F46" s="5" t="n"/>
      <c r="G46" s="5" t="n"/>
      <c r="H46" s="5" t="n"/>
      <c r="I46" s="6">
        <f>IF(H46="","",IFERROR(VLOOKUP(H46,Artikel!$A:$E,2,FALSE),"? Nummer prüfen"))</f>
        <v/>
      </c>
      <c r="J46" s="6">
        <f>IF(H46="","",IFERROR(VLOOKUP(H46,Artikel!$A:$E,3,FALSE)&amp;" ("&amp;VLOOKUP(H46,Artikel!$A:$E,4,FALSE)&amp;")",""))</f>
        <v/>
      </c>
      <c r="K46" s="5" t="n"/>
      <c r="L46" s="7">
        <f>IF(H46="","",IFERROR(VLOOKUP(H46,Artikel!$A:$E,5,FALSE),""))</f>
        <v/>
      </c>
      <c r="M46" s="5" t="n"/>
      <c r="N46" s="5" t="n"/>
      <c r="O46" s="5" t="n"/>
      <c r="P46" s="8" t="n"/>
    </row>
    <row r="47">
      <c r="A47" s="4" t="n"/>
      <c r="B47" s="5" t="n"/>
      <c r="C47" s="5" t="n"/>
      <c r="D47" s="5" t="n"/>
      <c r="E47" s="5" t="n"/>
      <c r="F47" s="5" t="n"/>
      <c r="G47" s="5" t="n"/>
      <c r="H47" s="5" t="n"/>
      <c r="I47" s="6">
        <f>IF(H47="","",IFERROR(VLOOKUP(H47,Artikel!$A:$E,2,FALSE),"? Nummer prüfen"))</f>
        <v/>
      </c>
      <c r="J47" s="6">
        <f>IF(H47="","",IFERROR(VLOOKUP(H47,Artikel!$A:$E,3,FALSE)&amp;" ("&amp;VLOOKUP(H47,Artikel!$A:$E,4,FALSE)&amp;")",""))</f>
        <v/>
      </c>
      <c r="K47" s="5" t="n"/>
      <c r="L47" s="7">
        <f>IF(H47="","",IFERROR(VLOOKUP(H47,Artikel!$A:$E,5,FALSE),""))</f>
        <v/>
      </c>
      <c r="M47" s="5" t="n"/>
      <c r="N47" s="5" t="n"/>
      <c r="O47" s="5" t="n"/>
      <c r="P47" s="8" t="n"/>
    </row>
    <row r="48">
      <c r="A48" s="4" t="n"/>
      <c r="B48" s="5" t="n"/>
      <c r="C48" s="5" t="n"/>
      <c r="D48" s="5" t="n"/>
      <c r="E48" s="5" t="n"/>
      <c r="F48" s="5" t="n"/>
      <c r="G48" s="5" t="n"/>
      <c r="H48" s="5" t="n"/>
      <c r="I48" s="6">
        <f>IF(H48="","",IFERROR(VLOOKUP(H48,Artikel!$A:$E,2,FALSE),"? Nummer prüfen"))</f>
        <v/>
      </c>
      <c r="J48" s="6">
        <f>IF(H48="","",IFERROR(VLOOKUP(H48,Artikel!$A:$E,3,FALSE)&amp;" ("&amp;VLOOKUP(H48,Artikel!$A:$E,4,FALSE)&amp;")",""))</f>
        <v/>
      </c>
      <c r="K48" s="5" t="n"/>
      <c r="L48" s="7">
        <f>IF(H48="","",IFERROR(VLOOKUP(H48,Artikel!$A:$E,5,FALSE),""))</f>
        <v/>
      </c>
      <c r="M48" s="5" t="n"/>
      <c r="N48" s="5" t="n"/>
      <c r="O48" s="5" t="n"/>
      <c r="P48" s="8" t="n"/>
    </row>
    <row r="49">
      <c r="A49" s="4" t="n"/>
      <c r="B49" s="5" t="n"/>
      <c r="C49" s="5" t="n"/>
      <c r="D49" s="5" t="n"/>
      <c r="E49" s="5" t="n"/>
      <c r="F49" s="5" t="n"/>
      <c r="G49" s="5" t="n"/>
      <c r="H49" s="5" t="n"/>
      <c r="I49" s="6">
        <f>IF(H49="","",IFERROR(VLOOKUP(H49,Artikel!$A:$E,2,FALSE),"? Nummer prüfen"))</f>
        <v/>
      </c>
      <c r="J49" s="6">
        <f>IF(H49="","",IFERROR(VLOOKUP(H49,Artikel!$A:$E,3,FALSE)&amp;" ("&amp;VLOOKUP(H49,Artikel!$A:$E,4,FALSE)&amp;")",""))</f>
        <v/>
      </c>
      <c r="K49" s="5" t="n"/>
      <c r="L49" s="7">
        <f>IF(H49="","",IFERROR(VLOOKUP(H49,Artikel!$A:$E,5,FALSE),""))</f>
        <v/>
      </c>
      <c r="M49" s="5" t="n"/>
      <c r="N49" s="5" t="n"/>
      <c r="O49" s="5" t="n"/>
      <c r="P49" s="8" t="n"/>
    </row>
    <row r="50">
      <c r="A50" s="4" t="n"/>
      <c r="B50" s="5" t="n"/>
      <c r="C50" s="5" t="n"/>
      <c r="D50" s="5" t="n"/>
      <c r="E50" s="5" t="n"/>
      <c r="F50" s="5" t="n"/>
      <c r="G50" s="5" t="n"/>
      <c r="H50" s="5" t="n"/>
      <c r="I50" s="6">
        <f>IF(H50="","",IFERROR(VLOOKUP(H50,Artikel!$A:$E,2,FALSE),"? Nummer prüfen"))</f>
        <v/>
      </c>
      <c r="J50" s="6">
        <f>IF(H50="","",IFERROR(VLOOKUP(H50,Artikel!$A:$E,3,FALSE)&amp;" ("&amp;VLOOKUP(H50,Artikel!$A:$E,4,FALSE)&amp;")",""))</f>
        <v/>
      </c>
      <c r="K50" s="5" t="n"/>
      <c r="L50" s="7">
        <f>IF(H50="","",IFERROR(VLOOKUP(H50,Artikel!$A:$E,5,FALSE),""))</f>
        <v/>
      </c>
      <c r="M50" s="5" t="n"/>
      <c r="N50" s="5" t="n"/>
      <c r="O50" s="5" t="n"/>
      <c r="P50" s="8" t="n"/>
    </row>
    <row r="51">
      <c r="A51" s="4" t="n"/>
      <c r="B51" s="5" t="n"/>
      <c r="C51" s="5" t="n"/>
      <c r="D51" s="5" t="n"/>
      <c r="E51" s="5" t="n"/>
      <c r="F51" s="5" t="n"/>
      <c r="G51" s="5" t="n"/>
      <c r="H51" s="5" t="n"/>
      <c r="I51" s="6">
        <f>IF(H51="","",IFERROR(VLOOKUP(H51,Artikel!$A:$E,2,FALSE),"? Nummer prüfen"))</f>
        <v/>
      </c>
      <c r="J51" s="6">
        <f>IF(H51="","",IFERROR(VLOOKUP(H51,Artikel!$A:$E,3,FALSE)&amp;" ("&amp;VLOOKUP(H51,Artikel!$A:$E,4,FALSE)&amp;")",""))</f>
        <v/>
      </c>
      <c r="K51" s="5" t="n"/>
      <c r="L51" s="7">
        <f>IF(H51="","",IFERROR(VLOOKUP(H51,Artikel!$A:$E,5,FALSE),""))</f>
        <v/>
      </c>
      <c r="M51" s="5" t="n"/>
      <c r="N51" s="5" t="n"/>
      <c r="O51" s="5" t="n"/>
      <c r="P51" s="8" t="n"/>
    </row>
    <row r="52">
      <c r="A52" s="4" t="n"/>
      <c r="B52" s="5" t="n"/>
      <c r="C52" s="5" t="n"/>
      <c r="D52" s="5" t="n"/>
      <c r="E52" s="5" t="n"/>
      <c r="F52" s="5" t="n"/>
      <c r="G52" s="5" t="n"/>
      <c r="H52" s="5" t="n"/>
      <c r="I52" s="6">
        <f>IF(H52="","",IFERROR(VLOOKUP(H52,Artikel!$A:$E,2,FALSE),"? Nummer prüfen"))</f>
        <v/>
      </c>
      <c r="J52" s="6">
        <f>IF(H52="","",IFERROR(VLOOKUP(H52,Artikel!$A:$E,3,FALSE)&amp;" ("&amp;VLOOKUP(H52,Artikel!$A:$E,4,FALSE)&amp;")",""))</f>
        <v/>
      </c>
      <c r="K52" s="5" t="n"/>
      <c r="L52" s="7">
        <f>IF(H52="","",IFERROR(VLOOKUP(H52,Artikel!$A:$E,5,FALSE),""))</f>
        <v/>
      </c>
      <c r="M52" s="5" t="n"/>
      <c r="N52" s="5" t="n"/>
      <c r="O52" s="5" t="n"/>
      <c r="P52" s="8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6">
        <f>IF(H53="","",IFERROR(VLOOKUP(H53,Artikel!$A:$E,2,FALSE),"? Nummer prüfen"))</f>
        <v/>
      </c>
      <c r="J53" s="6">
        <f>IF(H53="","",IFERROR(VLOOKUP(H53,Artikel!$A:$E,3,FALSE)&amp;" ("&amp;VLOOKUP(H53,Artikel!$A:$E,4,FALSE)&amp;")",""))</f>
        <v/>
      </c>
      <c r="K53" s="5" t="n"/>
      <c r="L53" s="7">
        <f>IF(H53="","",IFERROR(VLOOKUP(H53,Artikel!$A:$E,5,FALSE),""))</f>
        <v/>
      </c>
      <c r="M53" s="5" t="n"/>
      <c r="N53" s="5" t="n"/>
      <c r="O53" s="5" t="n"/>
      <c r="P53" s="8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6">
        <f>IF(H54="","",IFERROR(VLOOKUP(H54,Artikel!$A:$E,2,FALSE),"? Nummer prüfen"))</f>
        <v/>
      </c>
      <c r="J54" s="6">
        <f>IF(H54="","",IFERROR(VLOOKUP(H54,Artikel!$A:$E,3,FALSE)&amp;" ("&amp;VLOOKUP(H54,Artikel!$A:$E,4,FALSE)&amp;")",""))</f>
        <v/>
      </c>
      <c r="K54" s="5" t="n"/>
      <c r="L54" s="7">
        <f>IF(H54="","",IFERROR(VLOOKUP(H54,Artikel!$A:$E,5,FALSE),""))</f>
        <v/>
      </c>
      <c r="M54" s="5" t="n"/>
      <c r="N54" s="5" t="n"/>
      <c r="O54" s="5" t="n"/>
      <c r="P54" s="8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6">
        <f>IF(H55="","",IFERROR(VLOOKUP(H55,Artikel!$A:$E,2,FALSE),"? Nummer prüfen"))</f>
        <v/>
      </c>
      <c r="J55" s="6">
        <f>IF(H55="","",IFERROR(VLOOKUP(H55,Artikel!$A:$E,3,FALSE)&amp;" ("&amp;VLOOKUP(H55,Artikel!$A:$E,4,FALSE)&amp;")",""))</f>
        <v/>
      </c>
      <c r="K55" s="5" t="n"/>
      <c r="L55" s="7">
        <f>IF(H55="","",IFERROR(VLOOKUP(H55,Artikel!$A:$E,5,FALSE),""))</f>
        <v/>
      </c>
      <c r="M55" s="5" t="n"/>
      <c r="N55" s="5" t="n"/>
      <c r="O55" s="5" t="n"/>
      <c r="P55" s="8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6">
        <f>IF(H56="","",IFERROR(VLOOKUP(H56,Artikel!$A:$E,2,FALSE),"? Nummer prüfen"))</f>
        <v/>
      </c>
      <c r="J56" s="6">
        <f>IF(H56="","",IFERROR(VLOOKUP(H56,Artikel!$A:$E,3,FALSE)&amp;" ("&amp;VLOOKUP(H56,Artikel!$A:$E,4,FALSE)&amp;")",""))</f>
        <v/>
      </c>
      <c r="K56" s="5" t="n"/>
      <c r="L56" s="7">
        <f>IF(H56="","",IFERROR(VLOOKUP(H56,Artikel!$A:$E,5,FALSE),""))</f>
        <v/>
      </c>
      <c r="M56" s="5" t="n"/>
      <c r="N56" s="5" t="n"/>
      <c r="O56" s="5" t="n"/>
      <c r="P56" s="8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6">
        <f>IF(H57="","",IFERROR(VLOOKUP(H57,Artikel!$A:$E,2,FALSE),"? Nummer prüfen"))</f>
        <v/>
      </c>
      <c r="J57" s="6">
        <f>IF(H57="","",IFERROR(VLOOKUP(H57,Artikel!$A:$E,3,FALSE)&amp;" ("&amp;VLOOKUP(H57,Artikel!$A:$E,4,FALSE)&amp;")",""))</f>
        <v/>
      </c>
      <c r="K57" s="5" t="n"/>
      <c r="L57" s="7">
        <f>IF(H57="","",IFERROR(VLOOKUP(H57,Artikel!$A:$E,5,FALSE),""))</f>
        <v/>
      </c>
      <c r="M57" s="5" t="n"/>
      <c r="N57" s="5" t="n"/>
      <c r="O57" s="5" t="n"/>
      <c r="P57" s="8" t="n"/>
    </row>
    <row r="58">
      <c r="A58" s="4" t="n"/>
      <c r="B58" s="5" t="n"/>
      <c r="C58" s="5" t="n"/>
      <c r="D58" s="5" t="n"/>
      <c r="E58" s="5" t="n"/>
      <c r="F58" s="5" t="n"/>
      <c r="G58" s="5" t="n"/>
      <c r="H58" s="5" t="n"/>
      <c r="I58" s="6">
        <f>IF(H58="","",IFERROR(VLOOKUP(H58,Artikel!$A:$E,2,FALSE),"? Nummer prüfen"))</f>
        <v/>
      </c>
      <c r="J58" s="6">
        <f>IF(H58="","",IFERROR(VLOOKUP(H58,Artikel!$A:$E,3,FALSE)&amp;" ("&amp;VLOOKUP(H58,Artikel!$A:$E,4,FALSE)&amp;")",""))</f>
        <v/>
      </c>
      <c r="K58" s="5" t="n"/>
      <c r="L58" s="7">
        <f>IF(H58="","",IFERROR(VLOOKUP(H58,Artikel!$A:$E,5,FALSE),""))</f>
        <v/>
      </c>
      <c r="M58" s="5" t="n"/>
      <c r="N58" s="5" t="n"/>
      <c r="O58" s="5" t="n"/>
      <c r="P58" s="8" t="n"/>
    </row>
    <row r="59">
      <c r="A59" s="4" t="n"/>
      <c r="B59" s="5" t="n"/>
      <c r="C59" s="5" t="n"/>
      <c r="D59" s="5" t="n"/>
      <c r="E59" s="5" t="n"/>
      <c r="F59" s="5" t="n"/>
      <c r="G59" s="5" t="n"/>
      <c r="H59" s="5" t="n"/>
      <c r="I59" s="6">
        <f>IF(H59="","",IFERROR(VLOOKUP(H59,Artikel!$A:$E,2,FALSE),"? Nummer prüfen"))</f>
        <v/>
      </c>
      <c r="J59" s="6">
        <f>IF(H59="","",IFERROR(VLOOKUP(H59,Artikel!$A:$E,3,FALSE)&amp;" ("&amp;VLOOKUP(H59,Artikel!$A:$E,4,FALSE)&amp;")",""))</f>
        <v/>
      </c>
      <c r="K59" s="5" t="n"/>
      <c r="L59" s="7">
        <f>IF(H59="","",IFERROR(VLOOKUP(H59,Artikel!$A:$E,5,FALSE),""))</f>
        <v/>
      </c>
      <c r="M59" s="5" t="n"/>
      <c r="N59" s="5" t="n"/>
      <c r="O59" s="5" t="n"/>
      <c r="P59" s="8" t="n"/>
    </row>
    <row r="60">
      <c r="A60" s="4" t="n"/>
      <c r="B60" s="5" t="n"/>
      <c r="C60" s="5" t="n"/>
      <c r="D60" s="5" t="n"/>
      <c r="E60" s="5" t="n"/>
      <c r="F60" s="5" t="n"/>
      <c r="G60" s="5" t="n"/>
      <c r="H60" s="5" t="n"/>
      <c r="I60" s="6">
        <f>IF(H60="","",IFERROR(VLOOKUP(H60,Artikel!$A:$E,2,FALSE),"? Nummer prüfen"))</f>
        <v/>
      </c>
      <c r="J60" s="6">
        <f>IF(H60="","",IFERROR(VLOOKUP(H60,Artikel!$A:$E,3,FALSE)&amp;" ("&amp;VLOOKUP(H60,Artikel!$A:$E,4,FALSE)&amp;")",""))</f>
        <v/>
      </c>
      <c r="K60" s="5" t="n"/>
      <c r="L60" s="7">
        <f>IF(H60="","",IFERROR(VLOOKUP(H60,Artikel!$A:$E,5,FALSE),""))</f>
        <v/>
      </c>
      <c r="M60" s="5" t="n"/>
      <c r="N60" s="5" t="n"/>
      <c r="O60" s="5" t="n"/>
      <c r="P60" s="8" t="n"/>
    </row>
    <row r="61">
      <c r="A61" s="4" t="n"/>
      <c r="B61" s="5" t="n"/>
      <c r="C61" s="5" t="n"/>
      <c r="D61" s="5" t="n"/>
      <c r="E61" s="5" t="n"/>
      <c r="F61" s="5" t="n"/>
      <c r="G61" s="5" t="n"/>
      <c r="H61" s="5" t="n"/>
      <c r="I61" s="6">
        <f>IF(H61="","",IFERROR(VLOOKUP(H61,Artikel!$A:$E,2,FALSE),"? Nummer prüfen"))</f>
        <v/>
      </c>
      <c r="J61" s="6">
        <f>IF(H61="","",IFERROR(VLOOKUP(H61,Artikel!$A:$E,3,FALSE)&amp;" ("&amp;VLOOKUP(H61,Artikel!$A:$E,4,FALSE)&amp;")",""))</f>
        <v/>
      </c>
      <c r="K61" s="5" t="n"/>
      <c r="L61" s="7">
        <f>IF(H61="","",IFERROR(VLOOKUP(H61,Artikel!$A:$E,5,FALSE),""))</f>
        <v/>
      </c>
      <c r="M61" s="5" t="n"/>
      <c r="N61" s="5" t="n"/>
      <c r="O61" s="5" t="n"/>
      <c r="P61" s="8" t="n"/>
    </row>
    <row r="62">
      <c r="A62" s="4" t="n"/>
      <c r="B62" s="5" t="n"/>
      <c r="C62" s="5" t="n"/>
      <c r="D62" s="5" t="n"/>
      <c r="E62" s="5" t="n"/>
      <c r="F62" s="5" t="n"/>
      <c r="G62" s="5" t="n"/>
      <c r="H62" s="5" t="n"/>
      <c r="I62" s="6">
        <f>IF(H62="","",IFERROR(VLOOKUP(H62,Artikel!$A:$E,2,FALSE),"? Nummer prüfen"))</f>
        <v/>
      </c>
      <c r="J62" s="6">
        <f>IF(H62="","",IFERROR(VLOOKUP(H62,Artikel!$A:$E,3,FALSE)&amp;" ("&amp;VLOOKUP(H62,Artikel!$A:$E,4,FALSE)&amp;")",""))</f>
        <v/>
      </c>
      <c r="K62" s="5" t="n"/>
      <c r="L62" s="7">
        <f>IF(H62="","",IFERROR(VLOOKUP(H62,Artikel!$A:$E,5,FALSE),""))</f>
        <v/>
      </c>
      <c r="M62" s="5" t="n"/>
      <c r="N62" s="5" t="n"/>
      <c r="O62" s="5" t="n"/>
      <c r="P62" s="8" t="n"/>
    </row>
    <row r="63">
      <c r="A63" s="4" t="n"/>
      <c r="B63" s="5" t="n"/>
      <c r="C63" s="5" t="n"/>
      <c r="D63" s="5" t="n"/>
      <c r="E63" s="5" t="n"/>
      <c r="F63" s="5" t="n"/>
      <c r="G63" s="5" t="n"/>
      <c r="H63" s="5" t="n"/>
      <c r="I63" s="6">
        <f>IF(H63="","",IFERROR(VLOOKUP(H63,Artikel!$A:$E,2,FALSE),"? Nummer prüfen"))</f>
        <v/>
      </c>
      <c r="J63" s="6">
        <f>IF(H63="","",IFERROR(VLOOKUP(H63,Artikel!$A:$E,3,FALSE)&amp;" ("&amp;VLOOKUP(H63,Artikel!$A:$E,4,FALSE)&amp;")",""))</f>
        <v/>
      </c>
      <c r="K63" s="5" t="n"/>
      <c r="L63" s="7">
        <f>IF(H63="","",IFERROR(VLOOKUP(H63,Artikel!$A:$E,5,FALSE),""))</f>
        <v/>
      </c>
      <c r="M63" s="5" t="n"/>
      <c r="N63" s="5" t="n"/>
      <c r="O63" s="5" t="n"/>
      <c r="P63" s="8" t="n"/>
    </row>
    <row r="64">
      <c r="A64" s="4" t="n"/>
      <c r="B64" s="5" t="n"/>
      <c r="C64" s="5" t="n"/>
      <c r="D64" s="5" t="n"/>
      <c r="E64" s="5" t="n"/>
      <c r="F64" s="5" t="n"/>
      <c r="G64" s="5" t="n"/>
      <c r="H64" s="5" t="n"/>
      <c r="I64" s="6">
        <f>IF(H64="","",IFERROR(VLOOKUP(H64,Artikel!$A:$E,2,FALSE),"? Nummer prüfen"))</f>
        <v/>
      </c>
      <c r="J64" s="6">
        <f>IF(H64="","",IFERROR(VLOOKUP(H64,Artikel!$A:$E,3,FALSE)&amp;" ("&amp;VLOOKUP(H64,Artikel!$A:$E,4,FALSE)&amp;")",""))</f>
        <v/>
      </c>
      <c r="K64" s="5" t="n"/>
      <c r="L64" s="7">
        <f>IF(H64="","",IFERROR(VLOOKUP(H64,Artikel!$A:$E,5,FALSE),""))</f>
        <v/>
      </c>
      <c r="M64" s="5" t="n"/>
      <c r="N64" s="5" t="n"/>
      <c r="O64" s="5" t="n"/>
      <c r="P64" s="8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6">
        <f>IF(H65="","",IFERROR(VLOOKUP(H65,Artikel!$A:$E,2,FALSE),"? Nummer prüfen"))</f>
        <v/>
      </c>
      <c r="J65" s="6">
        <f>IF(H65="","",IFERROR(VLOOKUP(H65,Artikel!$A:$E,3,FALSE)&amp;" ("&amp;VLOOKUP(H65,Artikel!$A:$E,4,FALSE)&amp;")",""))</f>
        <v/>
      </c>
      <c r="K65" s="5" t="n"/>
      <c r="L65" s="7">
        <f>IF(H65="","",IFERROR(VLOOKUP(H65,Artikel!$A:$E,5,FALSE),""))</f>
        <v/>
      </c>
      <c r="M65" s="5" t="n"/>
      <c r="N65" s="5" t="n"/>
      <c r="O65" s="5" t="n"/>
      <c r="P65" s="8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6">
        <f>IF(H66="","",IFERROR(VLOOKUP(H66,Artikel!$A:$E,2,FALSE),"? Nummer prüfen"))</f>
        <v/>
      </c>
      <c r="J66" s="6">
        <f>IF(H66="","",IFERROR(VLOOKUP(H66,Artikel!$A:$E,3,FALSE)&amp;" ("&amp;VLOOKUP(H66,Artikel!$A:$E,4,FALSE)&amp;")",""))</f>
        <v/>
      </c>
      <c r="K66" s="5" t="n"/>
      <c r="L66" s="7">
        <f>IF(H66="","",IFERROR(VLOOKUP(H66,Artikel!$A:$E,5,FALSE),""))</f>
        <v/>
      </c>
      <c r="M66" s="5" t="n"/>
      <c r="N66" s="5" t="n"/>
      <c r="O66" s="5" t="n"/>
      <c r="P66" s="8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6">
        <f>IF(H67="","",IFERROR(VLOOKUP(H67,Artikel!$A:$E,2,FALSE),"? Nummer prüfen"))</f>
        <v/>
      </c>
      <c r="J67" s="6">
        <f>IF(H67="","",IFERROR(VLOOKUP(H67,Artikel!$A:$E,3,FALSE)&amp;" ("&amp;VLOOKUP(H67,Artikel!$A:$E,4,FALSE)&amp;")",""))</f>
        <v/>
      </c>
      <c r="K67" s="5" t="n"/>
      <c r="L67" s="7">
        <f>IF(H67="","",IFERROR(VLOOKUP(H67,Artikel!$A:$E,5,FALSE),""))</f>
        <v/>
      </c>
      <c r="M67" s="5" t="n"/>
      <c r="N67" s="5" t="n"/>
      <c r="O67" s="5" t="n"/>
      <c r="P67" s="8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6">
        <f>IF(H68="","",IFERROR(VLOOKUP(H68,Artikel!$A:$E,2,FALSE),"? Nummer prüfen"))</f>
        <v/>
      </c>
      <c r="J68" s="6">
        <f>IF(H68="","",IFERROR(VLOOKUP(H68,Artikel!$A:$E,3,FALSE)&amp;" ("&amp;VLOOKUP(H68,Artikel!$A:$E,4,FALSE)&amp;")",""))</f>
        <v/>
      </c>
      <c r="K68" s="5" t="n"/>
      <c r="L68" s="7">
        <f>IF(H68="","",IFERROR(VLOOKUP(H68,Artikel!$A:$E,5,FALSE),""))</f>
        <v/>
      </c>
      <c r="M68" s="5" t="n"/>
      <c r="N68" s="5" t="n"/>
      <c r="O68" s="5" t="n"/>
      <c r="P68" s="8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6">
        <f>IF(H69="","",IFERROR(VLOOKUP(H69,Artikel!$A:$E,2,FALSE),"? Nummer prüfen"))</f>
        <v/>
      </c>
      <c r="J69" s="6">
        <f>IF(H69="","",IFERROR(VLOOKUP(H69,Artikel!$A:$E,3,FALSE)&amp;" ("&amp;VLOOKUP(H69,Artikel!$A:$E,4,FALSE)&amp;")",""))</f>
        <v/>
      </c>
      <c r="K69" s="5" t="n"/>
      <c r="L69" s="7">
        <f>IF(H69="","",IFERROR(VLOOKUP(H69,Artikel!$A:$E,5,FALSE),""))</f>
        <v/>
      </c>
      <c r="M69" s="5" t="n"/>
      <c r="N69" s="5" t="n"/>
      <c r="O69" s="5" t="n"/>
      <c r="P69" s="8" t="n"/>
    </row>
    <row r="70">
      <c r="A70" s="4" t="n"/>
      <c r="B70" s="5" t="n"/>
      <c r="C70" s="5" t="n"/>
      <c r="D70" s="5" t="n"/>
      <c r="E70" s="5" t="n"/>
      <c r="F70" s="5" t="n"/>
      <c r="G70" s="5" t="n"/>
      <c r="H70" s="5" t="n"/>
      <c r="I70" s="6">
        <f>IF(H70="","",IFERROR(VLOOKUP(H70,Artikel!$A:$E,2,FALSE),"? Nummer prüfen"))</f>
        <v/>
      </c>
      <c r="J70" s="6">
        <f>IF(H70="","",IFERROR(VLOOKUP(H70,Artikel!$A:$E,3,FALSE)&amp;" ("&amp;VLOOKUP(H70,Artikel!$A:$E,4,FALSE)&amp;")",""))</f>
        <v/>
      </c>
      <c r="K70" s="5" t="n"/>
      <c r="L70" s="7">
        <f>IF(H70="","",IFERROR(VLOOKUP(H70,Artikel!$A:$E,5,FALSE),""))</f>
        <v/>
      </c>
      <c r="M70" s="5" t="n"/>
      <c r="N70" s="5" t="n"/>
      <c r="O70" s="5" t="n"/>
      <c r="P70" s="8" t="n"/>
    </row>
    <row r="71">
      <c r="A71" s="4" t="n"/>
      <c r="B71" s="5" t="n"/>
      <c r="C71" s="5" t="n"/>
      <c r="D71" s="5" t="n"/>
      <c r="E71" s="5" t="n"/>
      <c r="F71" s="5" t="n"/>
      <c r="G71" s="5" t="n"/>
      <c r="H71" s="5" t="n"/>
      <c r="I71" s="6">
        <f>IF(H71="","",IFERROR(VLOOKUP(H71,Artikel!$A:$E,2,FALSE),"? Nummer prüfen"))</f>
        <v/>
      </c>
      <c r="J71" s="6">
        <f>IF(H71="","",IFERROR(VLOOKUP(H71,Artikel!$A:$E,3,FALSE)&amp;" ("&amp;VLOOKUP(H71,Artikel!$A:$E,4,FALSE)&amp;")",""))</f>
        <v/>
      </c>
      <c r="K71" s="5" t="n"/>
      <c r="L71" s="7">
        <f>IF(H71="","",IFERROR(VLOOKUP(H71,Artikel!$A:$E,5,FALSE),""))</f>
        <v/>
      </c>
      <c r="M71" s="5" t="n"/>
      <c r="N71" s="5" t="n"/>
      <c r="O71" s="5" t="n"/>
      <c r="P71" s="8" t="n"/>
    </row>
    <row r="72">
      <c r="A72" s="4" t="n"/>
      <c r="B72" s="5" t="n"/>
      <c r="C72" s="5" t="n"/>
      <c r="D72" s="5" t="n"/>
      <c r="E72" s="5" t="n"/>
      <c r="F72" s="5" t="n"/>
      <c r="G72" s="5" t="n"/>
      <c r="H72" s="5" t="n"/>
      <c r="I72" s="6">
        <f>IF(H72="","",IFERROR(VLOOKUP(H72,Artikel!$A:$E,2,FALSE),"? Nummer prüfen"))</f>
        <v/>
      </c>
      <c r="J72" s="6">
        <f>IF(H72="","",IFERROR(VLOOKUP(H72,Artikel!$A:$E,3,FALSE)&amp;" ("&amp;VLOOKUP(H72,Artikel!$A:$E,4,FALSE)&amp;")",""))</f>
        <v/>
      </c>
      <c r="K72" s="5" t="n"/>
      <c r="L72" s="7">
        <f>IF(H72="","",IFERROR(VLOOKUP(H72,Artikel!$A:$E,5,FALSE),""))</f>
        <v/>
      </c>
      <c r="M72" s="5" t="n"/>
      <c r="N72" s="5" t="n"/>
      <c r="O72" s="5" t="n"/>
      <c r="P72" s="8" t="n"/>
    </row>
    <row r="73">
      <c r="A73" s="4" t="n"/>
      <c r="B73" s="5" t="n"/>
      <c r="C73" s="5" t="n"/>
      <c r="D73" s="5" t="n"/>
      <c r="E73" s="5" t="n"/>
      <c r="F73" s="5" t="n"/>
      <c r="G73" s="5" t="n"/>
      <c r="H73" s="5" t="n"/>
      <c r="I73" s="6">
        <f>IF(H73="","",IFERROR(VLOOKUP(H73,Artikel!$A:$E,2,FALSE),"? Nummer prüfen"))</f>
        <v/>
      </c>
      <c r="J73" s="6">
        <f>IF(H73="","",IFERROR(VLOOKUP(H73,Artikel!$A:$E,3,FALSE)&amp;" ("&amp;VLOOKUP(H73,Artikel!$A:$E,4,FALSE)&amp;")",""))</f>
        <v/>
      </c>
      <c r="K73" s="5" t="n"/>
      <c r="L73" s="7">
        <f>IF(H73="","",IFERROR(VLOOKUP(H73,Artikel!$A:$E,5,FALSE),""))</f>
        <v/>
      </c>
      <c r="M73" s="5" t="n"/>
      <c r="N73" s="5" t="n"/>
      <c r="O73" s="5" t="n"/>
      <c r="P73" s="8" t="n"/>
    </row>
    <row r="74">
      <c r="A74" s="4" t="n"/>
      <c r="B74" s="5" t="n"/>
      <c r="C74" s="5" t="n"/>
      <c r="D74" s="5" t="n"/>
      <c r="E74" s="5" t="n"/>
      <c r="F74" s="5" t="n"/>
      <c r="G74" s="5" t="n"/>
      <c r="H74" s="5" t="n"/>
      <c r="I74" s="6">
        <f>IF(H74="","",IFERROR(VLOOKUP(H74,Artikel!$A:$E,2,FALSE),"? Nummer prüfen"))</f>
        <v/>
      </c>
      <c r="J74" s="6">
        <f>IF(H74="","",IFERROR(VLOOKUP(H74,Artikel!$A:$E,3,FALSE)&amp;" ("&amp;VLOOKUP(H74,Artikel!$A:$E,4,FALSE)&amp;")",""))</f>
        <v/>
      </c>
      <c r="K74" s="5" t="n"/>
      <c r="L74" s="7">
        <f>IF(H74="","",IFERROR(VLOOKUP(H74,Artikel!$A:$E,5,FALSE),""))</f>
        <v/>
      </c>
      <c r="M74" s="5" t="n"/>
      <c r="N74" s="5" t="n"/>
      <c r="O74" s="5" t="n"/>
      <c r="P74" s="8" t="n"/>
    </row>
    <row r="75">
      <c r="A75" s="4" t="n"/>
      <c r="B75" s="5" t="n"/>
      <c r="C75" s="5" t="n"/>
      <c r="D75" s="5" t="n"/>
      <c r="E75" s="5" t="n"/>
      <c r="F75" s="5" t="n"/>
      <c r="G75" s="5" t="n"/>
      <c r="H75" s="5" t="n"/>
      <c r="I75" s="6">
        <f>IF(H75="","",IFERROR(VLOOKUP(H75,Artikel!$A:$E,2,FALSE),"? Nummer prüfen"))</f>
        <v/>
      </c>
      <c r="J75" s="6">
        <f>IF(H75="","",IFERROR(VLOOKUP(H75,Artikel!$A:$E,3,FALSE)&amp;" ("&amp;VLOOKUP(H75,Artikel!$A:$E,4,FALSE)&amp;")",""))</f>
        <v/>
      </c>
      <c r="K75" s="5" t="n"/>
      <c r="L75" s="7">
        <f>IF(H75="","",IFERROR(VLOOKUP(H75,Artikel!$A:$E,5,FALSE),""))</f>
        <v/>
      </c>
      <c r="M75" s="5" t="n"/>
      <c r="N75" s="5" t="n"/>
      <c r="O75" s="5" t="n"/>
      <c r="P75" s="8" t="n"/>
    </row>
    <row r="76">
      <c r="A76" s="4" t="n"/>
      <c r="B76" s="5" t="n"/>
      <c r="C76" s="5" t="n"/>
      <c r="D76" s="5" t="n"/>
      <c r="E76" s="5" t="n"/>
      <c r="F76" s="5" t="n"/>
      <c r="G76" s="5" t="n"/>
      <c r="H76" s="5" t="n"/>
      <c r="I76" s="6">
        <f>IF(H76="","",IFERROR(VLOOKUP(H76,Artikel!$A:$E,2,FALSE),"? Nummer prüfen"))</f>
        <v/>
      </c>
      <c r="J76" s="6">
        <f>IF(H76="","",IFERROR(VLOOKUP(H76,Artikel!$A:$E,3,FALSE)&amp;" ("&amp;VLOOKUP(H76,Artikel!$A:$E,4,FALSE)&amp;")",""))</f>
        <v/>
      </c>
      <c r="K76" s="5" t="n"/>
      <c r="L76" s="7">
        <f>IF(H76="","",IFERROR(VLOOKUP(H76,Artikel!$A:$E,5,FALSE),""))</f>
        <v/>
      </c>
      <c r="M76" s="5" t="n"/>
      <c r="N76" s="5" t="n"/>
      <c r="O76" s="5" t="n"/>
      <c r="P76" s="8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6">
        <f>IF(H77="","",IFERROR(VLOOKUP(H77,Artikel!$A:$E,2,FALSE),"? Nummer prüfen"))</f>
        <v/>
      </c>
      <c r="J77" s="6">
        <f>IF(H77="","",IFERROR(VLOOKUP(H77,Artikel!$A:$E,3,FALSE)&amp;" ("&amp;VLOOKUP(H77,Artikel!$A:$E,4,FALSE)&amp;")",""))</f>
        <v/>
      </c>
      <c r="K77" s="5" t="n"/>
      <c r="L77" s="7">
        <f>IF(H77="","",IFERROR(VLOOKUP(H77,Artikel!$A:$E,5,FALSE),""))</f>
        <v/>
      </c>
      <c r="M77" s="5" t="n"/>
      <c r="N77" s="5" t="n"/>
      <c r="O77" s="5" t="n"/>
      <c r="P77" s="8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6">
        <f>IF(H78="","",IFERROR(VLOOKUP(H78,Artikel!$A:$E,2,FALSE),"? Nummer prüfen"))</f>
        <v/>
      </c>
      <c r="J78" s="6">
        <f>IF(H78="","",IFERROR(VLOOKUP(H78,Artikel!$A:$E,3,FALSE)&amp;" ("&amp;VLOOKUP(H78,Artikel!$A:$E,4,FALSE)&amp;")",""))</f>
        <v/>
      </c>
      <c r="K78" s="5" t="n"/>
      <c r="L78" s="7">
        <f>IF(H78="","",IFERROR(VLOOKUP(H78,Artikel!$A:$E,5,FALSE),""))</f>
        <v/>
      </c>
      <c r="M78" s="5" t="n"/>
      <c r="N78" s="5" t="n"/>
      <c r="O78" s="5" t="n"/>
      <c r="P78" s="8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6">
        <f>IF(H79="","",IFERROR(VLOOKUP(H79,Artikel!$A:$E,2,FALSE),"? Nummer prüfen"))</f>
        <v/>
      </c>
      <c r="J79" s="6">
        <f>IF(H79="","",IFERROR(VLOOKUP(H79,Artikel!$A:$E,3,FALSE)&amp;" ("&amp;VLOOKUP(H79,Artikel!$A:$E,4,FALSE)&amp;")",""))</f>
        <v/>
      </c>
      <c r="K79" s="5" t="n"/>
      <c r="L79" s="7">
        <f>IF(H79="","",IFERROR(VLOOKUP(H79,Artikel!$A:$E,5,FALSE),""))</f>
        <v/>
      </c>
      <c r="M79" s="5" t="n"/>
      <c r="N79" s="5" t="n"/>
      <c r="O79" s="5" t="n"/>
      <c r="P79" s="8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6">
        <f>IF(H80="","",IFERROR(VLOOKUP(H80,Artikel!$A:$E,2,FALSE),"? Nummer prüfen"))</f>
        <v/>
      </c>
      <c r="J80" s="6">
        <f>IF(H80="","",IFERROR(VLOOKUP(H80,Artikel!$A:$E,3,FALSE)&amp;" ("&amp;VLOOKUP(H80,Artikel!$A:$E,4,FALSE)&amp;")",""))</f>
        <v/>
      </c>
      <c r="K80" s="5" t="n"/>
      <c r="L80" s="7">
        <f>IF(H80="","",IFERROR(VLOOKUP(H80,Artikel!$A:$E,5,FALSE),""))</f>
        <v/>
      </c>
      <c r="M80" s="5" t="n"/>
      <c r="N80" s="5" t="n"/>
      <c r="O80" s="5" t="n"/>
      <c r="P80" s="8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6">
        <f>IF(H81="","",IFERROR(VLOOKUP(H81,Artikel!$A:$E,2,FALSE),"? Nummer prüfen"))</f>
        <v/>
      </c>
      <c r="J81" s="6">
        <f>IF(H81="","",IFERROR(VLOOKUP(H81,Artikel!$A:$E,3,FALSE)&amp;" ("&amp;VLOOKUP(H81,Artikel!$A:$E,4,FALSE)&amp;")",""))</f>
        <v/>
      </c>
      <c r="K81" s="5" t="n"/>
      <c r="L81" s="7">
        <f>IF(H81="","",IFERROR(VLOOKUP(H81,Artikel!$A:$E,5,FALSE),""))</f>
        <v/>
      </c>
      <c r="M81" s="5" t="n"/>
      <c r="N81" s="5" t="n"/>
      <c r="O81" s="5" t="n"/>
      <c r="P81" s="8" t="n"/>
    </row>
    <row r="82">
      <c r="A82" s="4" t="n"/>
      <c r="B82" s="5" t="n"/>
      <c r="C82" s="5" t="n"/>
      <c r="D82" s="5" t="n"/>
      <c r="E82" s="5" t="n"/>
      <c r="F82" s="5" t="n"/>
      <c r="G82" s="5" t="n"/>
      <c r="H82" s="5" t="n"/>
      <c r="I82" s="6">
        <f>IF(H82="","",IFERROR(VLOOKUP(H82,Artikel!$A:$E,2,FALSE),"? Nummer prüfen"))</f>
        <v/>
      </c>
      <c r="J82" s="6">
        <f>IF(H82="","",IFERROR(VLOOKUP(H82,Artikel!$A:$E,3,FALSE)&amp;" ("&amp;VLOOKUP(H82,Artikel!$A:$E,4,FALSE)&amp;")",""))</f>
        <v/>
      </c>
      <c r="K82" s="5" t="n"/>
      <c r="L82" s="7">
        <f>IF(H82="","",IFERROR(VLOOKUP(H82,Artikel!$A:$E,5,FALSE),""))</f>
        <v/>
      </c>
      <c r="M82" s="5" t="n"/>
      <c r="N82" s="5" t="n"/>
      <c r="O82" s="5" t="n"/>
      <c r="P82" s="8" t="n"/>
    </row>
    <row r="83">
      <c r="A83" s="4" t="n"/>
      <c r="B83" s="5" t="n"/>
      <c r="C83" s="5" t="n"/>
      <c r="D83" s="5" t="n"/>
      <c r="E83" s="5" t="n"/>
      <c r="F83" s="5" t="n"/>
      <c r="G83" s="5" t="n"/>
      <c r="H83" s="5" t="n"/>
      <c r="I83" s="6">
        <f>IF(H83="","",IFERROR(VLOOKUP(H83,Artikel!$A:$E,2,FALSE),"? Nummer prüfen"))</f>
        <v/>
      </c>
      <c r="J83" s="6">
        <f>IF(H83="","",IFERROR(VLOOKUP(H83,Artikel!$A:$E,3,FALSE)&amp;" ("&amp;VLOOKUP(H83,Artikel!$A:$E,4,FALSE)&amp;")",""))</f>
        <v/>
      </c>
      <c r="K83" s="5" t="n"/>
      <c r="L83" s="7">
        <f>IF(H83="","",IFERROR(VLOOKUP(H83,Artikel!$A:$E,5,FALSE),""))</f>
        <v/>
      </c>
      <c r="M83" s="5" t="n"/>
      <c r="N83" s="5" t="n"/>
      <c r="O83" s="5" t="n"/>
      <c r="P83" s="8" t="n"/>
    </row>
    <row r="84">
      <c r="A84" s="4" t="n"/>
      <c r="B84" s="5" t="n"/>
      <c r="C84" s="5" t="n"/>
      <c r="D84" s="5" t="n"/>
      <c r="E84" s="5" t="n"/>
      <c r="F84" s="5" t="n"/>
      <c r="G84" s="5" t="n"/>
      <c r="H84" s="5" t="n"/>
      <c r="I84" s="6">
        <f>IF(H84="","",IFERROR(VLOOKUP(H84,Artikel!$A:$E,2,FALSE),"? Nummer prüfen"))</f>
        <v/>
      </c>
      <c r="J84" s="6">
        <f>IF(H84="","",IFERROR(VLOOKUP(H84,Artikel!$A:$E,3,FALSE)&amp;" ("&amp;VLOOKUP(H84,Artikel!$A:$E,4,FALSE)&amp;")",""))</f>
        <v/>
      </c>
      <c r="K84" s="5" t="n"/>
      <c r="L84" s="7">
        <f>IF(H84="","",IFERROR(VLOOKUP(H84,Artikel!$A:$E,5,FALSE),""))</f>
        <v/>
      </c>
      <c r="M84" s="5" t="n"/>
      <c r="N84" s="5" t="n"/>
      <c r="O84" s="5" t="n"/>
      <c r="P84" s="8" t="n"/>
    </row>
    <row r="85">
      <c r="A85" s="4" t="n"/>
      <c r="B85" s="5" t="n"/>
      <c r="C85" s="5" t="n"/>
      <c r="D85" s="5" t="n"/>
      <c r="E85" s="5" t="n"/>
      <c r="F85" s="5" t="n"/>
      <c r="G85" s="5" t="n"/>
      <c r="H85" s="5" t="n"/>
      <c r="I85" s="6">
        <f>IF(H85="","",IFERROR(VLOOKUP(H85,Artikel!$A:$E,2,FALSE),"? Nummer prüfen"))</f>
        <v/>
      </c>
      <c r="J85" s="6">
        <f>IF(H85="","",IFERROR(VLOOKUP(H85,Artikel!$A:$E,3,FALSE)&amp;" ("&amp;VLOOKUP(H85,Artikel!$A:$E,4,FALSE)&amp;")",""))</f>
        <v/>
      </c>
      <c r="K85" s="5" t="n"/>
      <c r="L85" s="7">
        <f>IF(H85="","",IFERROR(VLOOKUP(H85,Artikel!$A:$E,5,FALSE),""))</f>
        <v/>
      </c>
      <c r="M85" s="5" t="n"/>
      <c r="N85" s="5" t="n"/>
      <c r="O85" s="5" t="n"/>
      <c r="P85" s="8" t="n"/>
    </row>
    <row r="86">
      <c r="A86" s="4" t="n"/>
      <c r="B86" s="5" t="n"/>
      <c r="C86" s="5" t="n"/>
      <c r="D86" s="5" t="n"/>
      <c r="E86" s="5" t="n"/>
      <c r="F86" s="5" t="n"/>
      <c r="G86" s="5" t="n"/>
      <c r="H86" s="5" t="n"/>
      <c r="I86" s="6">
        <f>IF(H86="","",IFERROR(VLOOKUP(H86,Artikel!$A:$E,2,FALSE),"? Nummer prüfen"))</f>
        <v/>
      </c>
      <c r="J86" s="6">
        <f>IF(H86="","",IFERROR(VLOOKUP(H86,Artikel!$A:$E,3,FALSE)&amp;" ("&amp;VLOOKUP(H86,Artikel!$A:$E,4,FALSE)&amp;")",""))</f>
        <v/>
      </c>
      <c r="K86" s="5" t="n"/>
      <c r="L86" s="7">
        <f>IF(H86="","",IFERROR(VLOOKUP(H86,Artikel!$A:$E,5,FALSE),""))</f>
        <v/>
      </c>
      <c r="M86" s="5" t="n"/>
      <c r="N86" s="5" t="n"/>
      <c r="O86" s="5" t="n"/>
      <c r="P86" s="8" t="n"/>
    </row>
    <row r="87">
      <c r="A87" s="4" t="n"/>
      <c r="B87" s="5" t="n"/>
      <c r="C87" s="5" t="n"/>
      <c r="D87" s="5" t="n"/>
      <c r="E87" s="5" t="n"/>
      <c r="F87" s="5" t="n"/>
      <c r="G87" s="5" t="n"/>
      <c r="H87" s="5" t="n"/>
      <c r="I87" s="6">
        <f>IF(H87="","",IFERROR(VLOOKUP(H87,Artikel!$A:$E,2,FALSE),"? Nummer prüfen"))</f>
        <v/>
      </c>
      <c r="J87" s="6">
        <f>IF(H87="","",IFERROR(VLOOKUP(H87,Artikel!$A:$E,3,FALSE)&amp;" ("&amp;VLOOKUP(H87,Artikel!$A:$E,4,FALSE)&amp;")",""))</f>
        <v/>
      </c>
      <c r="K87" s="5" t="n"/>
      <c r="L87" s="7">
        <f>IF(H87="","",IFERROR(VLOOKUP(H87,Artikel!$A:$E,5,FALSE),""))</f>
        <v/>
      </c>
      <c r="M87" s="5" t="n"/>
      <c r="N87" s="5" t="n"/>
      <c r="O87" s="5" t="n"/>
      <c r="P87" s="8" t="n"/>
    </row>
    <row r="88">
      <c r="A88" s="4" t="n"/>
      <c r="B88" s="5" t="n"/>
      <c r="C88" s="5" t="n"/>
      <c r="D88" s="5" t="n"/>
      <c r="E88" s="5" t="n"/>
      <c r="F88" s="5" t="n"/>
      <c r="G88" s="5" t="n"/>
      <c r="H88" s="5" t="n"/>
      <c r="I88" s="6">
        <f>IF(H88="","",IFERROR(VLOOKUP(H88,Artikel!$A:$E,2,FALSE),"? Nummer prüfen"))</f>
        <v/>
      </c>
      <c r="J88" s="6">
        <f>IF(H88="","",IFERROR(VLOOKUP(H88,Artikel!$A:$E,3,FALSE)&amp;" ("&amp;VLOOKUP(H88,Artikel!$A:$E,4,FALSE)&amp;")",""))</f>
        <v/>
      </c>
      <c r="K88" s="5" t="n"/>
      <c r="L88" s="7">
        <f>IF(H88="","",IFERROR(VLOOKUP(H88,Artikel!$A:$E,5,FALSE),""))</f>
        <v/>
      </c>
      <c r="M88" s="5" t="n"/>
      <c r="N88" s="5" t="n"/>
      <c r="O88" s="5" t="n"/>
      <c r="P88" s="8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6">
        <f>IF(H89="","",IFERROR(VLOOKUP(H89,Artikel!$A:$E,2,FALSE),"? Nummer prüfen"))</f>
        <v/>
      </c>
      <c r="J89" s="6">
        <f>IF(H89="","",IFERROR(VLOOKUP(H89,Artikel!$A:$E,3,FALSE)&amp;" ("&amp;VLOOKUP(H89,Artikel!$A:$E,4,FALSE)&amp;")",""))</f>
        <v/>
      </c>
      <c r="K89" s="5" t="n"/>
      <c r="L89" s="7">
        <f>IF(H89="","",IFERROR(VLOOKUP(H89,Artikel!$A:$E,5,FALSE),""))</f>
        <v/>
      </c>
      <c r="M89" s="5" t="n"/>
      <c r="N89" s="5" t="n"/>
      <c r="O89" s="5" t="n"/>
      <c r="P89" s="8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6">
        <f>IF(H90="","",IFERROR(VLOOKUP(H90,Artikel!$A:$E,2,FALSE),"? Nummer prüfen"))</f>
        <v/>
      </c>
      <c r="J90" s="6">
        <f>IF(H90="","",IFERROR(VLOOKUP(H90,Artikel!$A:$E,3,FALSE)&amp;" ("&amp;VLOOKUP(H90,Artikel!$A:$E,4,FALSE)&amp;")",""))</f>
        <v/>
      </c>
      <c r="K90" s="5" t="n"/>
      <c r="L90" s="7">
        <f>IF(H90="","",IFERROR(VLOOKUP(H90,Artikel!$A:$E,5,FALSE),""))</f>
        <v/>
      </c>
      <c r="M90" s="5" t="n"/>
      <c r="N90" s="5" t="n"/>
      <c r="O90" s="5" t="n"/>
      <c r="P90" s="8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6">
        <f>IF(H91="","",IFERROR(VLOOKUP(H91,Artikel!$A:$E,2,FALSE),"? Nummer prüfen"))</f>
        <v/>
      </c>
      <c r="J91" s="6">
        <f>IF(H91="","",IFERROR(VLOOKUP(H91,Artikel!$A:$E,3,FALSE)&amp;" ("&amp;VLOOKUP(H91,Artikel!$A:$E,4,FALSE)&amp;")",""))</f>
        <v/>
      </c>
      <c r="K91" s="5" t="n"/>
      <c r="L91" s="7">
        <f>IF(H91="","",IFERROR(VLOOKUP(H91,Artikel!$A:$E,5,FALSE),""))</f>
        <v/>
      </c>
      <c r="M91" s="5" t="n"/>
      <c r="N91" s="5" t="n"/>
      <c r="O91" s="5" t="n"/>
      <c r="P91" s="8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6">
        <f>IF(H92="","",IFERROR(VLOOKUP(H92,Artikel!$A:$E,2,FALSE),"? Nummer prüfen"))</f>
        <v/>
      </c>
      <c r="J92" s="6">
        <f>IF(H92="","",IFERROR(VLOOKUP(H92,Artikel!$A:$E,3,FALSE)&amp;" ("&amp;VLOOKUP(H92,Artikel!$A:$E,4,FALSE)&amp;")",""))</f>
        <v/>
      </c>
      <c r="K92" s="5" t="n"/>
      <c r="L92" s="7">
        <f>IF(H92="","",IFERROR(VLOOKUP(H92,Artikel!$A:$E,5,FALSE),""))</f>
        <v/>
      </c>
      <c r="M92" s="5" t="n"/>
      <c r="N92" s="5" t="n"/>
      <c r="O92" s="5" t="n"/>
      <c r="P92" s="8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6">
        <f>IF(H93="","",IFERROR(VLOOKUP(H93,Artikel!$A:$E,2,FALSE),"? Nummer prüfen"))</f>
        <v/>
      </c>
      <c r="J93" s="6">
        <f>IF(H93="","",IFERROR(VLOOKUP(H93,Artikel!$A:$E,3,FALSE)&amp;" ("&amp;VLOOKUP(H93,Artikel!$A:$E,4,FALSE)&amp;")",""))</f>
        <v/>
      </c>
      <c r="K93" s="5" t="n"/>
      <c r="L93" s="7">
        <f>IF(H93="","",IFERROR(VLOOKUP(H93,Artikel!$A:$E,5,FALSE),""))</f>
        <v/>
      </c>
      <c r="M93" s="5" t="n"/>
      <c r="N93" s="5" t="n"/>
      <c r="O93" s="5" t="n"/>
      <c r="P93" s="8" t="n"/>
    </row>
    <row r="94">
      <c r="A94" s="4" t="n"/>
      <c r="B94" s="5" t="n"/>
      <c r="C94" s="5" t="n"/>
      <c r="D94" s="5" t="n"/>
      <c r="E94" s="5" t="n"/>
      <c r="F94" s="5" t="n"/>
      <c r="G94" s="5" t="n"/>
      <c r="H94" s="5" t="n"/>
      <c r="I94" s="6">
        <f>IF(H94="","",IFERROR(VLOOKUP(H94,Artikel!$A:$E,2,FALSE),"? Nummer prüfen"))</f>
        <v/>
      </c>
      <c r="J94" s="6">
        <f>IF(H94="","",IFERROR(VLOOKUP(H94,Artikel!$A:$E,3,FALSE)&amp;" ("&amp;VLOOKUP(H94,Artikel!$A:$E,4,FALSE)&amp;")",""))</f>
        <v/>
      </c>
      <c r="K94" s="5" t="n"/>
      <c r="L94" s="7">
        <f>IF(H94="","",IFERROR(VLOOKUP(H94,Artikel!$A:$E,5,FALSE),""))</f>
        <v/>
      </c>
      <c r="M94" s="5" t="n"/>
      <c r="N94" s="5" t="n"/>
      <c r="O94" s="5" t="n"/>
      <c r="P94" s="8" t="n"/>
    </row>
    <row r="95">
      <c r="A95" s="4" t="n"/>
      <c r="B95" s="5" t="n"/>
      <c r="C95" s="5" t="n"/>
      <c r="D95" s="5" t="n"/>
      <c r="E95" s="5" t="n"/>
      <c r="F95" s="5" t="n"/>
      <c r="G95" s="5" t="n"/>
      <c r="H95" s="5" t="n"/>
      <c r="I95" s="6">
        <f>IF(H95="","",IFERROR(VLOOKUP(H95,Artikel!$A:$E,2,FALSE),"? Nummer prüfen"))</f>
        <v/>
      </c>
      <c r="J95" s="6">
        <f>IF(H95="","",IFERROR(VLOOKUP(H95,Artikel!$A:$E,3,FALSE)&amp;" ("&amp;VLOOKUP(H95,Artikel!$A:$E,4,FALSE)&amp;")",""))</f>
        <v/>
      </c>
      <c r="K95" s="5" t="n"/>
      <c r="L95" s="7">
        <f>IF(H95="","",IFERROR(VLOOKUP(H95,Artikel!$A:$E,5,FALSE),""))</f>
        <v/>
      </c>
      <c r="M95" s="5" t="n"/>
      <c r="N95" s="5" t="n"/>
      <c r="O95" s="5" t="n"/>
      <c r="P95" s="8" t="n"/>
    </row>
    <row r="96">
      <c r="A96" s="4" t="n"/>
      <c r="B96" s="5" t="n"/>
      <c r="C96" s="5" t="n"/>
      <c r="D96" s="5" t="n"/>
      <c r="E96" s="5" t="n"/>
      <c r="F96" s="5" t="n"/>
      <c r="G96" s="5" t="n"/>
      <c r="H96" s="5" t="n"/>
      <c r="I96" s="6">
        <f>IF(H96="","",IFERROR(VLOOKUP(H96,Artikel!$A:$E,2,FALSE),"? Nummer prüfen"))</f>
        <v/>
      </c>
      <c r="J96" s="6">
        <f>IF(H96="","",IFERROR(VLOOKUP(H96,Artikel!$A:$E,3,FALSE)&amp;" ("&amp;VLOOKUP(H96,Artikel!$A:$E,4,FALSE)&amp;")",""))</f>
        <v/>
      </c>
      <c r="K96" s="5" t="n"/>
      <c r="L96" s="7">
        <f>IF(H96="","",IFERROR(VLOOKUP(H96,Artikel!$A:$E,5,FALSE),""))</f>
        <v/>
      </c>
      <c r="M96" s="5" t="n"/>
      <c r="N96" s="5" t="n"/>
      <c r="O96" s="5" t="n"/>
      <c r="P96" s="8" t="n"/>
    </row>
    <row r="97">
      <c r="A97" s="4" t="n"/>
      <c r="B97" s="5" t="n"/>
      <c r="C97" s="5" t="n"/>
      <c r="D97" s="5" t="n"/>
      <c r="E97" s="5" t="n"/>
      <c r="F97" s="5" t="n"/>
      <c r="G97" s="5" t="n"/>
      <c r="H97" s="5" t="n"/>
      <c r="I97" s="6">
        <f>IF(H97="","",IFERROR(VLOOKUP(H97,Artikel!$A:$E,2,FALSE),"? Nummer prüfen"))</f>
        <v/>
      </c>
      <c r="J97" s="6">
        <f>IF(H97="","",IFERROR(VLOOKUP(H97,Artikel!$A:$E,3,FALSE)&amp;" ("&amp;VLOOKUP(H97,Artikel!$A:$E,4,FALSE)&amp;")",""))</f>
        <v/>
      </c>
      <c r="K97" s="5" t="n"/>
      <c r="L97" s="7">
        <f>IF(H97="","",IFERROR(VLOOKUP(H97,Artikel!$A:$E,5,FALSE),""))</f>
        <v/>
      </c>
      <c r="M97" s="5" t="n"/>
      <c r="N97" s="5" t="n"/>
      <c r="O97" s="5" t="n"/>
      <c r="P97" s="8" t="n"/>
    </row>
    <row r="98">
      <c r="A98" s="4" t="n"/>
      <c r="B98" s="5" t="n"/>
      <c r="C98" s="5" t="n"/>
      <c r="D98" s="5" t="n"/>
      <c r="E98" s="5" t="n"/>
      <c r="F98" s="5" t="n"/>
      <c r="G98" s="5" t="n"/>
      <c r="H98" s="5" t="n"/>
      <c r="I98" s="6">
        <f>IF(H98="","",IFERROR(VLOOKUP(H98,Artikel!$A:$E,2,FALSE),"? Nummer prüfen"))</f>
        <v/>
      </c>
      <c r="J98" s="6">
        <f>IF(H98="","",IFERROR(VLOOKUP(H98,Artikel!$A:$E,3,FALSE)&amp;" ("&amp;VLOOKUP(H98,Artikel!$A:$E,4,FALSE)&amp;")",""))</f>
        <v/>
      </c>
      <c r="K98" s="5" t="n"/>
      <c r="L98" s="7">
        <f>IF(H98="","",IFERROR(VLOOKUP(H98,Artikel!$A:$E,5,FALSE),""))</f>
        <v/>
      </c>
      <c r="M98" s="5" t="n"/>
      <c r="N98" s="5" t="n"/>
      <c r="O98" s="5" t="n"/>
      <c r="P98" s="8" t="n"/>
    </row>
    <row r="99">
      <c r="A99" s="4" t="n"/>
      <c r="B99" s="5" t="n"/>
      <c r="C99" s="5" t="n"/>
      <c r="D99" s="5" t="n"/>
      <c r="E99" s="5" t="n"/>
      <c r="F99" s="5" t="n"/>
      <c r="G99" s="5" t="n"/>
      <c r="H99" s="5" t="n"/>
      <c r="I99" s="6">
        <f>IF(H99="","",IFERROR(VLOOKUP(H99,Artikel!$A:$E,2,FALSE),"? Nummer prüfen"))</f>
        <v/>
      </c>
      <c r="J99" s="6">
        <f>IF(H99="","",IFERROR(VLOOKUP(H99,Artikel!$A:$E,3,FALSE)&amp;" ("&amp;VLOOKUP(H99,Artikel!$A:$E,4,FALSE)&amp;")",""))</f>
        <v/>
      </c>
      <c r="K99" s="5" t="n"/>
      <c r="L99" s="7">
        <f>IF(H99="","",IFERROR(VLOOKUP(H99,Artikel!$A:$E,5,FALSE),""))</f>
        <v/>
      </c>
      <c r="M99" s="5" t="n"/>
      <c r="N99" s="5" t="n"/>
      <c r="O99" s="5" t="n"/>
      <c r="P99" s="8" t="n"/>
    </row>
    <row r="100">
      <c r="A100" s="4" t="n"/>
      <c r="B100" s="5" t="n"/>
      <c r="C100" s="5" t="n"/>
      <c r="D100" s="5" t="n"/>
      <c r="E100" s="5" t="n"/>
      <c r="F100" s="5" t="n"/>
      <c r="G100" s="5" t="n"/>
      <c r="H100" s="5" t="n"/>
      <c r="I100" s="6">
        <f>IF(H100="","",IFERROR(VLOOKUP(H100,Artikel!$A:$E,2,FALSE),"? Nummer prüfen"))</f>
        <v/>
      </c>
      <c r="J100" s="6">
        <f>IF(H100="","",IFERROR(VLOOKUP(H100,Artikel!$A:$E,3,FALSE)&amp;" ("&amp;VLOOKUP(H100,Artikel!$A:$E,4,FALSE)&amp;")",""))</f>
        <v/>
      </c>
      <c r="K100" s="5" t="n"/>
      <c r="L100" s="7">
        <f>IF(H100="","",IFERROR(VLOOKUP(H100,Artikel!$A:$E,5,FALSE),""))</f>
        <v/>
      </c>
      <c r="M100" s="5" t="n"/>
      <c r="N100" s="5" t="n"/>
      <c r="O100" s="5" t="n"/>
      <c r="P100" s="8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6">
        <f>IF(H101="","",IFERROR(VLOOKUP(H101,Artikel!$A:$E,2,FALSE),"? Nummer prüfen"))</f>
        <v/>
      </c>
      <c r="J101" s="6">
        <f>IF(H101="","",IFERROR(VLOOKUP(H101,Artikel!$A:$E,3,FALSE)&amp;" ("&amp;VLOOKUP(H101,Artikel!$A:$E,4,FALSE)&amp;")",""))</f>
        <v/>
      </c>
      <c r="K101" s="5" t="n"/>
      <c r="L101" s="7">
        <f>IF(H101="","",IFERROR(VLOOKUP(H101,Artikel!$A:$E,5,FALSE),""))</f>
        <v/>
      </c>
      <c r="M101" s="5" t="n"/>
      <c r="N101" s="5" t="n"/>
      <c r="O101" s="5" t="n"/>
      <c r="P101" s="8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6">
        <f>IF(H102="","",IFERROR(VLOOKUP(H102,Artikel!$A:$E,2,FALSE),"? Nummer prüfen"))</f>
        <v/>
      </c>
      <c r="J102" s="6">
        <f>IF(H102="","",IFERROR(VLOOKUP(H102,Artikel!$A:$E,3,FALSE)&amp;" ("&amp;VLOOKUP(H102,Artikel!$A:$E,4,FALSE)&amp;")",""))</f>
        <v/>
      </c>
      <c r="K102" s="5" t="n"/>
      <c r="L102" s="7">
        <f>IF(H102="","",IFERROR(VLOOKUP(H102,Artikel!$A:$E,5,FALSE),""))</f>
        <v/>
      </c>
      <c r="M102" s="5" t="n"/>
      <c r="N102" s="5" t="n"/>
      <c r="O102" s="5" t="n"/>
      <c r="P102" s="8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6">
        <f>IF(H103="","",IFERROR(VLOOKUP(H103,Artikel!$A:$E,2,FALSE),"? Nummer prüfen"))</f>
        <v/>
      </c>
      <c r="J103" s="6">
        <f>IF(H103="","",IFERROR(VLOOKUP(H103,Artikel!$A:$E,3,FALSE)&amp;" ("&amp;VLOOKUP(H103,Artikel!$A:$E,4,FALSE)&amp;")",""))</f>
        <v/>
      </c>
      <c r="K103" s="5" t="n"/>
      <c r="L103" s="7">
        <f>IF(H103="","",IFERROR(VLOOKUP(H103,Artikel!$A:$E,5,FALSE),""))</f>
        <v/>
      </c>
      <c r="M103" s="5" t="n"/>
      <c r="N103" s="5" t="n"/>
      <c r="O103" s="5" t="n"/>
      <c r="P103" s="8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6">
        <f>IF(H104="","",IFERROR(VLOOKUP(H104,Artikel!$A:$E,2,FALSE),"? Nummer prüfen"))</f>
        <v/>
      </c>
      <c r="J104" s="6">
        <f>IF(H104="","",IFERROR(VLOOKUP(H104,Artikel!$A:$E,3,FALSE)&amp;" ("&amp;VLOOKUP(H104,Artikel!$A:$E,4,FALSE)&amp;")",""))</f>
        <v/>
      </c>
      <c r="K104" s="5" t="n"/>
      <c r="L104" s="7">
        <f>IF(H104="","",IFERROR(VLOOKUP(H104,Artikel!$A:$E,5,FALSE),""))</f>
        <v/>
      </c>
      <c r="M104" s="5" t="n"/>
      <c r="N104" s="5" t="n"/>
      <c r="O104" s="5" t="n"/>
      <c r="P104" s="8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6">
        <f>IF(H105="","",IFERROR(VLOOKUP(H105,Artikel!$A:$E,2,FALSE),"? Nummer prüfen"))</f>
        <v/>
      </c>
      <c r="J105" s="6">
        <f>IF(H105="","",IFERROR(VLOOKUP(H105,Artikel!$A:$E,3,FALSE)&amp;" ("&amp;VLOOKUP(H105,Artikel!$A:$E,4,FALSE)&amp;")",""))</f>
        <v/>
      </c>
      <c r="K105" s="5" t="n"/>
      <c r="L105" s="7">
        <f>IF(H105="","",IFERROR(VLOOKUP(H105,Artikel!$A:$E,5,FALSE),""))</f>
        <v/>
      </c>
      <c r="M105" s="5" t="n"/>
      <c r="N105" s="5" t="n"/>
      <c r="O105" s="5" t="n"/>
      <c r="P105" s="8" t="n"/>
    </row>
    <row r="106">
      <c r="A106" s="4" t="n"/>
      <c r="B106" s="5" t="n"/>
      <c r="C106" s="5" t="n"/>
      <c r="D106" s="5" t="n"/>
      <c r="E106" s="5" t="n"/>
      <c r="F106" s="5" t="n"/>
      <c r="G106" s="5" t="n"/>
      <c r="H106" s="5" t="n"/>
      <c r="I106" s="6">
        <f>IF(H106="","",IFERROR(VLOOKUP(H106,Artikel!$A:$E,2,FALSE),"? Nummer prüfen"))</f>
        <v/>
      </c>
      <c r="J106" s="6">
        <f>IF(H106="","",IFERROR(VLOOKUP(H106,Artikel!$A:$E,3,FALSE)&amp;" ("&amp;VLOOKUP(H106,Artikel!$A:$E,4,FALSE)&amp;")",""))</f>
        <v/>
      </c>
      <c r="K106" s="5" t="n"/>
      <c r="L106" s="7">
        <f>IF(H106="","",IFERROR(VLOOKUP(H106,Artikel!$A:$E,5,FALSE),""))</f>
        <v/>
      </c>
      <c r="M106" s="5" t="n"/>
      <c r="N106" s="5" t="n"/>
      <c r="O106" s="5" t="n"/>
      <c r="P106" s="8" t="n"/>
    </row>
    <row r="107">
      <c r="A107" s="4" t="n"/>
      <c r="B107" s="5" t="n"/>
      <c r="C107" s="5" t="n"/>
      <c r="D107" s="5" t="n"/>
      <c r="E107" s="5" t="n"/>
      <c r="F107" s="5" t="n"/>
      <c r="G107" s="5" t="n"/>
      <c r="H107" s="5" t="n"/>
      <c r="I107" s="6">
        <f>IF(H107="","",IFERROR(VLOOKUP(H107,Artikel!$A:$E,2,FALSE),"? Nummer prüfen"))</f>
        <v/>
      </c>
      <c r="J107" s="6">
        <f>IF(H107="","",IFERROR(VLOOKUP(H107,Artikel!$A:$E,3,FALSE)&amp;" ("&amp;VLOOKUP(H107,Artikel!$A:$E,4,FALSE)&amp;")",""))</f>
        <v/>
      </c>
      <c r="K107" s="5" t="n"/>
      <c r="L107" s="7">
        <f>IF(H107="","",IFERROR(VLOOKUP(H107,Artikel!$A:$E,5,FALSE),""))</f>
        <v/>
      </c>
      <c r="M107" s="5" t="n"/>
      <c r="N107" s="5" t="n"/>
      <c r="O107" s="5" t="n"/>
      <c r="P107" s="8" t="n"/>
    </row>
    <row r="108">
      <c r="A108" s="4" t="n"/>
      <c r="B108" s="5" t="n"/>
      <c r="C108" s="5" t="n"/>
      <c r="D108" s="5" t="n"/>
      <c r="E108" s="5" t="n"/>
      <c r="F108" s="5" t="n"/>
      <c r="G108" s="5" t="n"/>
      <c r="H108" s="5" t="n"/>
      <c r="I108" s="6">
        <f>IF(H108="","",IFERROR(VLOOKUP(H108,Artikel!$A:$E,2,FALSE),"? Nummer prüfen"))</f>
        <v/>
      </c>
      <c r="J108" s="6">
        <f>IF(H108="","",IFERROR(VLOOKUP(H108,Artikel!$A:$E,3,FALSE)&amp;" ("&amp;VLOOKUP(H108,Artikel!$A:$E,4,FALSE)&amp;")",""))</f>
        <v/>
      </c>
      <c r="K108" s="5" t="n"/>
      <c r="L108" s="7">
        <f>IF(H108="","",IFERROR(VLOOKUP(H108,Artikel!$A:$E,5,FALSE),""))</f>
        <v/>
      </c>
      <c r="M108" s="5" t="n"/>
      <c r="N108" s="5" t="n"/>
      <c r="O108" s="5" t="n"/>
      <c r="P108" s="8" t="n"/>
    </row>
    <row r="109">
      <c r="A109" s="4" t="n"/>
      <c r="B109" s="5" t="n"/>
      <c r="C109" s="5" t="n"/>
      <c r="D109" s="5" t="n"/>
      <c r="E109" s="5" t="n"/>
      <c r="F109" s="5" t="n"/>
      <c r="G109" s="5" t="n"/>
      <c r="H109" s="5" t="n"/>
      <c r="I109" s="6">
        <f>IF(H109="","",IFERROR(VLOOKUP(H109,Artikel!$A:$E,2,FALSE),"? Nummer prüfen"))</f>
        <v/>
      </c>
      <c r="J109" s="6">
        <f>IF(H109="","",IFERROR(VLOOKUP(H109,Artikel!$A:$E,3,FALSE)&amp;" ("&amp;VLOOKUP(H109,Artikel!$A:$E,4,FALSE)&amp;")",""))</f>
        <v/>
      </c>
      <c r="K109" s="5" t="n"/>
      <c r="L109" s="7">
        <f>IF(H109="","",IFERROR(VLOOKUP(H109,Artikel!$A:$E,5,FALSE),""))</f>
        <v/>
      </c>
      <c r="M109" s="5" t="n"/>
      <c r="N109" s="5" t="n"/>
      <c r="O109" s="5" t="n"/>
      <c r="P109" s="8" t="n"/>
    </row>
    <row r="110">
      <c r="A110" s="4" t="n"/>
      <c r="B110" s="5" t="n"/>
      <c r="C110" s="5" t="n"/>
      <c r="D110" s="5" t="n"/>
      <c r="E110" s="5" t="n"/>
      <c r="F110" s="5" t="n"/>
      <c r="G110" s="5" t="n"/>
      <c r="H110" s="5" t="n"/>
      <c r="I110" s="6">
        <f>IF(H110="","",IFERROR(VLOOKUP(H110,Artikel!$A:$E,2,FALSE),"? Nummer prüfen"))</f>
        <v/>
      </c>
      <c r="J110" s="6">
        <f>IF(H110="","",IFERROR(VLOOKUP(H110,Artikel!$A:$E,3,FALSE)&amp;" ("&amp;VLOOKUP(H110,Artikel!$A:$E,4,FALSE)&amp;")",""))</f>
        <v/>
      </c>
      <c r="K110" s="5" t="n"/>
      <c r="L110" s="7">
        <f>IF(H110="","",IFERROR(VLOOKUP(H110,Artikel!$A:$E,5,FALSE),""))</f>
        <v/>
      </c>
      <c r="M110" s="5" t="n"/>
      <c r="N110" s="5" t="n"/>
      <c r="O110" s="5" t="n"/>
      <c r="P110" s="8" t="n"/>
    </row>
    <row r="111">
      <c r="A111" s="4" t="n"/>
      <c r="B111" s="5" t="n"/>
      <c r="C111" s="5" t="n"/>
      <c r="D111" s="5" t="n"/>
      <c r="E111" s="5" t="n"/>
      <c r="F111" s="5" t="n"/>
      <c r="G111" s="5" t="n"/>
      <c r="H111" s="5" t="n"/>
      <c r="I111" s="6">
        <f>IF(H111="","",IFERROR(VLOOKUP(H111,Artikel!$A:$E,2,FALSE),"? Nummer prüfen"))</f>
        <v/>
      </c>
      <c r="J111" s="6">
        <f>IF(H111="","",IFERROR(VLOOKUP(H111,Artikel!$A:$E,3,FALSE)&amp;" ("&amp;VLOOKUP(H111,Artikel!$A:$E,4,FALSE)&amp;")",""))</f>
        <v/>
      </c>
      <c r="K111" s="5" t="n"/>
      <c r="L111" s="7">
        <f>IF(H111="","",IFERROR(VLOOKUP(H111,Artikel!$A:$E,5,FALSE),""))</f>
        <v/>
      </c>
      <c r="M111" s="5" t="n"/>
      <c r="N111" s="5" t="n"/>
      <c r="O111" s="5" t="n"/>
      <c r="P111" s="8" t="n"/>
    </row>
    <row r="112">
      <c r="A112" s="4" t="n"/>
      <c r="B112" s="5" t="n"/>
      <c r="C112" s="5" t="n"/>
      <c r="D112" s="5" t="n"/>
      <c r="E112" s="5" t="n"/>
      <c r="F112" s="5" t="n"/>
      <c r="G112" s="5" t="n"/>
      <c r="H112" s="5" t="n"/>
      <c r="I112" s="6">
        <f>IF(H112="","",IFERROR(VLOOKUP(H112,Artikel!$A:$E,2,FALSE),"? Nummer prüfen"))</f>
        <v/>
      </c>
      <c r="J112" s="6">
        <f>IF(H112="","",IFERROR(VLOOKUP(H112,Artikel!$A:$E,3,FALSE)&amp;" ("&amp;VLOOKUP(H112,Artikel!$A:$E,4,FALSE)&amp;")",""))</f>
        <v/>
      </c>
      <c r="K112" s="5" t="n"/>
      <c r="L112" s="7">
        <f>IF(H112="","",IFERROR(VLOOKUP(H112,Artikel!$A:$E,5,FALSE),""))</f>
        <v/>
      </c>
      <c r="M112" s="5" t="n"/>
      <c r="N112" s="5" t="n"/>
      <c r="O112" s="5" t="n"/>
      <c r="P112" s="8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6">
        <f>IF(H113="","",IFERROR(VLOOKUP(H113,Artikel!$A:$E,2,FALSE),"? Nummer prüfen"))</f>
        <v/>
      </c>
      <c r="J113" s="6">
        <f>IF(H113="","",IFERROR(VLOOKUP(H113,Artikel!$A:$E,3,FALSE)&amp;" ("&amp;VLOOKUP(H113,Artikel!$A:$E,4,FALSE)&amp;")",""))</f>
        <v/>
      </c>
      <c r="K113" s="5" t="n"/>
      <c r="L113" s="7">
        <f>IF(H113="","",IFERROR(VLOOKUP(H113,Artikel!$A:$E,5,FALSE),""))</f>
        <v/>
      </c>
      <c r="M113" s="5" t="n"/>
      <c r="N113" s="5" t="n"/>
      <c r="O113" s="5" t="n"/>
      <c r="P113" s="8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6">
        <f>IF(H114="","",IFERROR(VLOOKUP(H114,Artikel!$A:$E,2,FALSE),"? Nummer prüfen"))</f>
        <v/>
      </c>
      <c r="J114" s="6">
        <f>IF(H114="","",IFERROR(VLOOKUP(H114,Artikel!$A:$E,3,FALSE)&amp;" ("&amp;VLOOKUP(H114,Artikel!$A:$E,4,FALSE)&amp;")",""))</f>
        <v/>
      </c>
      <c r="K114" s="5" t="n"/>
      <c r="L114" s="7">
        <f>IF(H114="","",IFERROR(VLOOKUP(H114,Artikel!$A:$E,5,FALSE),""))</f>
        <v/>
      </c>
      <c r="M114" s="5" t="n"/>
      <c r="N114" s="5" t="n"/>
      <c r="O114" s="5" t="n"/>
      <c r="P114" s="8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6">
        <f>IF(H115="","",IFERROR(VLOOKUP(H115,Artikel!$A:$E,2,FALSE),"? Nummer prüfen"))</f>
        <v/>
      </c>
      <c r="J115" s="6">
        <f>IF(H115="","",IFERROR(VLOOKUP(H115,Artikel!$A:$E,3,FALSE)&amp;" ("&amp;VLOOKUP(H115,Artikel!$A:$E,4,FALSE)&amp;")",""))</f>
        <v/>
      </c>
      <c r="K115" s="5" t="n"/>
      <c r="L115" s="7">
        <f>IF(H115="","",IFERROR(VLOOKUP(H115,Artikel!$A:$E,5,FALSE),""))</f>
        <v/>
      </c>
      <c r="M115" s="5" t="n"/>
      <c r="N115" s="5" t="n"/>
      <c r="O115" s="5" t="n"/>
      <c r="P115" s="8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6">
        <f>IF(H116="","",IFERROR(VLOOKUP(H116,Artikel!$A:$E,2,FALSE),"? Nummer prüfen"))</f>
        <v/>
      </c>
      <c r="J116" s="6">
        <f>IF(H116="","",IFERROR(VLOOKUP(H116,Artikel!$A:$E,3,FALSE)&amp;" ("&amp;VLOOKUP(H116,Artikel!$A:$E,4,FALSE)&amp;")",""))</f>
        <v/>
      </c>
      <c r="K116" s="5" t="n"/>
      <c r="L116" s="7">
        <f>IF(H116="","",IFERROR(VLOOKUP(H116,Artikel!$A:$E,5,FALSE),""))</f>
        <v/>
      </c>
      <c r="M116" s="5" t="n"/>
      <c r="N116" s="5" t="n"/>
      <c r="O116" s="5" t="n"/>
      <c r="P116" s="8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6">
        <f>IF(H117="","",IFERROR(VLOOKUP(H117,Artikel!$A:$E,2,FALSE),"? Nummer prüfen"))</f>
        <v/>
      </c>
      <c r="J117" s="6">
        <f>IF(H117="","",IFERROR(VLOOKUP(H117,Artikel!$A:$E,3,FALSE)&amp;" ("&amp;VLOOKUP(H117,Artikel!$A:$E,4,FALSE)&amp;")",""))</f>
        <v/>
      </c>
      <c r="K117" s="5" t="n"/>
      <c r="L117" s="7">
        <f>IF(H117="","",IFERROR(VLOOKUP(H117,Artikel!$A:$E,5,FALSE),""))</f>
        <v/>
      </c>
      <c r="M117" s="5" t="n"/>
      <c r="N117" s="5" t="n"/>
      <c r="O117" s="5" t="n"/>
      <c r="P117" s="8" t="n"/>
    </row>
    <row r="118">
      <c r="A118" s="4" t="n"/>
      <c r="B118" s="5" t="n"/>
      <c r="C118" s="5" t="n"/>
      <c r="D118" s="5" t="n"/>
      <c r="E118" s="5" t="n"/>
      <c r="F118" s="5" t="n"/>
      <c r="G118" s="5" t="n"/>
      <c r="H118" s="5" t="n"/>
      <c r="I118" s="6">
        <f>IF(H118="","",IFERROR(VLOOKUP(H118,Artikel!$A:$E,2,FALSE),"? Nummer prüfen"))</f>
        <v/>
      </c>
      <c r="J118" s="6">
        <f>IF(H118="","",IFERROR(VLOOKUP(H118,Artikel!$A:$E,3,FALSE)&amp;" ("&amp;VLOOKUP(H118,Artikel!$A:$E,4,FALSE)&amp;")",""))</f>
        <v/>
      </c>
      <c r="K118" s="5" t="n"/>
      <c r="L118" s="7">
        <f>IF(H118="","",IFERROR(VLOOKUP(H118,Artikel!$A:$E,5,FALSE),""))</f>
        <v/>
      </c>
      <c r="M118" s="5" t="n"/>
      <c r="N118" s="5" t="n"/>
      <c r="O118" s="5" t="n"/>
      <c r="P118" s="8" t="n"/>
    </row>
    <row r="119">
      <c r="A119" s="4" t="n"/>
      <c r="B119" s="5" t="n"/>
      <c r="C119" s="5" t="n"/>
      <c r="D119" s="5" t="n"/>
      <c r="E119" s="5" t="n"/>
      <c r="F119" s="5" t="n"/>
      <c r="G119" s="5" t="n"/>
      <c r="H119" s="5" t="n"/>
      <c r="I119" s="6">
        <f>IF(H119="","",IFERROR(VLOOKUP(H119,Artikel!$A:$E,2,FALSE),"? Nummer prüfen"))</f>
        <v/>
      </c>
      <c r="J119" s="6">
        <f>IF(H119="","",IFERROR(VLOOKUP(H119,Artikel!$A:$E,3,FALSE)&amp;" ("&amp;VLOOKUP(H119,Artikel!$A:$E,4,FALSE)&amp;")",""))</f>
        <v/>
      </c>
      <c r="K119" s="5" t="n"/>
      <c r="L119" s="7">
        <f>IF(H119="","",IFERROR(VLOOKUP(H119,Artikel!$A:$E,5,FALSE),""))</f>
        <v/>
      </c>
      <c r="M119" s="5" t="n"/>
      <c r="N119" s="5" t="n"/>
      <c r="O119" s="5" t="n"/>
      <c r="P119" s="8" t="n"/>
    </row>
    <row r="120">
      <c r="A120" s="4" t="n"/>
      <c r="B120" s="5" t="n"/>
      <c r="C120" s="5" t="n"/>
      <c r="D120" s="5" t="n"/>
      <c r="E120" s="5" t="n"/>
      <c r="F120" s="5" t="n"/>
      <c r="G120" s="5" t="n"/>
      <c r="H120" s="5" t="n"/>
      <c r="I120" s="6">
        <f>IF(H120="","",IFERROR(VLOOKUP(H120,Artikel!$A:$E,2,FALSE),"? Nummer prüfen"))</f>
        <v/>
      </c>
      <c r="J120" s="6">
        <f>IF(H120="","",IFERROR(VLOOKUP(H120,Artikel!$A:$E,3,FALSE)&amp;" ("&amp;VLOOKUP(H120,Artikel!$A:$E,4,FALSE)&amp;")",""))</f>
        <v/>
      </c>
      <c r="K120" s="5" t="n"/>
      <c r="L120" s="7">
        <f>IF(H120="","",IFERROR(VLOOKUP(H120,Artikel!$A:$E,5,FALSE),""))</f>
        <v/>
      </c>
      <c r="M120" s="5" t="n"/>
      <c r="N120" s="5" t="n"/>
      <c r="O120" s="5" t="n"/>
      <c r="P120" s="8" t="n"/>
    </row>
    <row r="121">
      <c r="A121" s="4" t="n"/>
      <c r="B121" s="5" t="n"/>
      <c r="C121" s="5" t="n"/>
      <c r="D121" s="5" t="n"/>
      <c r="E121" s="5" t="n"/>
      <c r="F121" s="5" t="n"/>
      <c r="G121" s="5" t="n"/>
      <c r="H121" s="5" t="n"/>
      <c r="I121" s="6">
        <f>IF(H121="","",IFERROR(VLOOKUP(H121,Artikel!$A:$E,2,FALSE),"? Nummer prüfen"))</f>
        <v/>
      </c>
      <c r="J121" s="6">
        <f>IF(H121="","",IFERROR(VLOOKUP(H121,Artikel!$A:$E,3,FALSE)&amp;" ("&amp;VLOOKUP(H121,Artikel!$A:$E,4,FALSE)&amp;")",""))</f>
        <v/>
      </c>
      <c r="K121" s="5" t="n"/>
      <c r="L121" s="7">
        <f>IF(H121="","",IFERROR(VLOOKUP(H121,Artikel!$A:$E,5,FALSE),""))</f>
        <v/>
      </c>
      <c r="M121" s="5" t="n"/>
      <c r="N121" s="5" t="n"/>
      <c r="O121" s="5" t="n"/>
      <c r="P121" s="8" t="n"/>
    </row>
    <row r="122">
      <c r="A122" s="4" t="n"/>
      <c r="B122" s="5" t="n"/>
      <c r="C122" s="5" t="n"/>
      <c r="D122" s="5" t="n"/>
      <c r="E122" s="5" t="n"/>
      <c r="F122" s="5" t="n"/>
      <c r="G122" s="5" t="n"/>
      <c r="H122" s="5" t="n"/>
      <c r="I122" s="6">
        <f>IF(H122="","",IFERROR(VLOOKUP(H122,Artikel!$A:$E,2,FALSE),"? Nummer prüfen"))</f>
        <v/>
      </c>
      <c r="J122" s="6">
        <f>IF(H122="","",IFERROR(VLOOKUP(H122,Artikel!$A:$E,3,FALSE)&amp;" ("&amp;VLOOKUP(H122,Artikel!$A:$E,4,FALSE)&amp;")",""))</f>
        <v/>
      </c>
      <c r="K122" s="5" t="n"/>
      <c r="L122" s="7">
        <f>IF(H122="","",IFERROR(VLOOKUP(H122,Artikel!$A:$E,5,FALSE),""))</f>
        <v/>
      </c>
      <c r="M122" s="5" t="n"/>
      <c r="N122" s="5" t="n"/>
      <c r="O122" s="5" t="n"/>
      <c r="P122" s="8" t="n"/>
    </row>
    <row r="123">
      <c r="A123" s="4" t="n"/>
      <c r="B123" s="5" t="n"/>
      <c r="C123" s="5" t="n"/>
      <c r="D123" s="5" t="n"/>
      <c r="E123" s="5" t="n"/>
      <c r="F123" s="5" t="n"/>
      <c r="G123" s="5" t="n"/>
      <c r="H123" s="5" t="n"/>
      <c r="I123" s="6">
        <f>IF(H123="","",IFERROR(VLOOKUP(H123,Artikel!$A:$E,2,FALSE),"? Nummer prüfen"))</f>
        <v/>
      </c>
      <c r="J123" s="6">
        <f>IF(H123="","",IFERROR(VLOOKUP(H123,Artikel!$A:$E,3,FALSE)&amp;" ("&amp;VLOOKUP(H123,Artikel!$A:$E,4,FALSE)&amp;")",""))</f>
        <v/>
      </c>
      <c r="K123" s="5" t="n"/>
      <c r="L123" s="7">
        <f>IF(H123="","",IFERROR(VLOOKUP(H123,Artikel!$A:$E,5,FALSE),""))</f>
        <v/>
      </c>
      <c r="M123" s="5" t="n"/>
      <c r="N123" s="5" t="n"/>
      <c r="O123" s="5" t="n"/>
      <c r="P123" s="8" t="n"/>
    </row>
    <row r="124">
      <c r="A124" s="4" t="n"/>
      <c r="B124" s="5" t="n"/>
      <c r="C124" s="5" t="n"/>
      <c r="D124" s="5" t="n"/>
      <c r="E124" s="5" t="n"/>
      <c r="F124" s="5" t="n"/>
      <c r="G124" s="5" t="n"/>
      <c r="H124" s="5" t="n"/>
      <c r="I124" s="6">
        <f>IF(H124="","",IFERROR(VLOOKUP(H124,Artikel!$A:$E,2,FALSE),"? Nummer prüfen"))</f>
        <v/>
      </c>
      <c r="J124" s="6">
        <f>IF(H124="","",IFERROR(VLOOKUP(H124,Artikel!$A:$E,3,FALSE)&amp;" ("&amp;VLOOKUP(H124,Artikel!$A:$E,4,FALSE)&amp;")",""))</f>
        <v/>
      </c>
      <c r="K124" s="5" t="n"/>
      <c r="L124" s="7">
        <f>IF(H124="","",IFERROR(VLOOKUP(H124,Artikel!$A:$E,5,FALSE),""))</f>
        <v/>
      </c>
      <c r="M124" s="5" t="n"/>
      <c r="N124" s="5" t="n"/>
      <c r="O124" s="5" t="n"/>
      <c r="P124" s="8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6">
        <f>IF(H125="","",IFERROR(VLOOKUP(H125,Artikel!$A:$E,2,FALSE),"? Nummer prüfen"))</f>
        <v/>
      </c>
      <c r="J125" s="6">
        <f>IF(H125="","",IFERROR(VLOOKUP(H125,Artikel!$A:$E,3,FALSE)&amp;" ("&amp;VLOOKUP(H125,Artikel!$A:$E,4,FALSE)&amp;")",""))</f>
        <v/>
      </c>
      <c r="K125" s="5" t="n"/>
      <c r="L125" s="7">
        <f>IF(H125="","",IFERROR(VLOOKUP(H125,Artikel!$A:$E,5,FALSE),""))</f>
        <v/>
      </c>
      <c r="M125" s="5" t="n"/>
      <c r="N125" s="5" t="n"/>
      <c r="O125" s="5" t="n"/>
      <c r="P125" s="8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6">
        <f>IF(H126="","",IFERROR(VLOOKUP(H126,Artikel!$A:$E,2,FALSE),"? Nummer prüfen"))</f>
        <v/>
      </c>
      <c r="J126" s="6">
        <f>IF(H126="","",IFERROR(VLOOKUP(H126,Artikel!$A:$E,3,FALSE)&amp;" ("&amp;VLOOKUP(H126,Artikel!$A:$E,4,FALSE)&amp;")",""))</f>
        <v/>
      </c>
      <c r="K126" s="5" t="n"/>
      <c r="L126" s="7">
        <f>IF(H126="","",IFERROR(VLOOKUP(H126,Artikel!$A:$E,5,FALSE),""))</f>
        <v/>
      </c>
      <c r="M126" s="5" t="n"/>
      <c r="N126" s="5" t="n"/>
      <c r="O126" s="5" t="n"/>
      <c r="P126" s="8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6">
        <f>IF(H127="","",IFERROR(VLOOKUP(H127,Artikel!$A:$E,2,FALSE),"? Nummer prüfen"))</f>
        <v/>
      </c>
      <c r="J127" s="6">
        <f>IF(H127="","",IFERROR(VLOOKUP(H127,Artikel!$A:$E,3,FALSE)&amp;" ("&amp;VLOOKUP(H127,Artikel!$A:$E,4,FALSE)&amp;")",""))</f>
        <v/>
      </c>
      <c r="K127" s="5" t="n"/>
      <c r="L127" s="7">
        <f>IF(H127="","",IFERROR(VLOOKUP(H127,Artikel!$A:$E,5,FALSE),""))</f>
        <v/>
      </c>
      <c r="M127" s="5" t="n"/>
      <c r="N127" s="5" t="n"/>
      <c r="O127" s="5" t="n"/>
      <c r="P127" s="8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6">
        <f>IF(H128="","",IFERROR(VLOOKUP(H128,Artikel!$A:$E,2,FALSE),"? Nummer prüfen"))</f>
        <v/>
      </c>
      <c r="J128" s="6">
        <f>IF(H128="","",IFERROR(VLOOKUP(H128,Artikel!$A:$E,3,FALSE)&amp;" ("&amp;VLOOKUP(H128,Artikel!$A:$E,4,FALSE)&amp;")",""))</f>
        <v/>
      </c>
      <c r="K128" s="5" t="n"/>
      <c r="L128" s="7">
        <f>IF(H128="","",IFERROR(VLOOKUP(H128,Artikel!$A:$E,5,FALSE),""))</f>
        <v/>
      </c>
      <c r="M128" s="5" t="n"/>
      <c r="N128" s="5" t="n"/>
      <c r="O128" s="5" t="n"/>
      <c r="P128" s="8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6">
        <f>IF(H129="","",IFERROR(VLOOKUP(H129,Artikel!$A:$E,2,FALSE),"? Nummer prüfen"))</f>
        <v/>
      </c>
      <c r="J129" s="6">
        <f>IF(H129="","",IFERROR(VLOOKUP(H129,Artikel!$A:$E,3,FALSE)&amp;" ("&amp;VLOOKUP(H129,Artikel!$A:$E,4,FALSE)&amp;")",""))</f>
        <v/>
      </c>
      <c r="K129" s="5" t="n"/>
      <c r="L129" s="7">
        <f>IF(H129="","",IFERROR(VLOOKUP(H129,Artikel!$A:$E,5,FALSE),""))</f>
        <v/>
      </c>
      <c r="M129" s="5" t="n"/>
      <c r="N129" s="5" t="n"/>
      <c r="O129" s="5" t="n"/>
      <c r="P129" s="8" t="n"/>
    </row>
    <row r="130">
      <c r="A130" s="4" t="n"/>
      <c r="B130" s="5" t="n"/>
      <c r="C130" s="5" t="n"/>
      <c r="D130" s="5" t="n"/>
      <c r="E130" s="5" t="n"/>
      <c r="F130" s="5" t="n"/>
      <c r="G130" s="5" t="n"/>
      <c r="H130" s="5" t="n"/>
      <c r="I130" s="6">
        <f>IF(H130="","",IFERROR(VLOOKUP(H130,Artikel!$A:$E,2,FALSE),"? Nummer prüfen"))</f>
        <v/>
      </c>
      <c r="J130" s="6">
        <f>IF(H130="","",IFERROR(VLOOKUP(H130,Artikel!$A:$E,3,FALSE)&amp;" ("&amp;VLOOKUP(H130,Artikel!$A:$E,4,FALSE)&amp;")",""))</f>
        <v/>
      </c>
      <c r="K130" s="5" t="n"/>
      <c r="L130" s="7">
        <f>IF(H130="","",IFERROR(VLOOKUP(H130,Artikel!$A:$E,5,FALSE),""))</f>
        <v/>
      </c>
      <c r="M130" s="5" t="n"/>
      <c r="N130" s="5" t="n"/>
      <c r="O130" s="5" t="n"/>
      <c r="P130" s="8" t="n"/>
    </row>
    <row r="131">
      <c r="A131" s="4" t="n"/>
      <c r="B131" s="5" t="n"/>
      <c r="C131" s="5" t="n"/>
      <c r="D131" s="5" t="n"/>
      <c r="E131" s="5" t="n"/>
      <c r="F131" s="5" t="n"/>
      <c r="G131" s="5" t="n"/>
      <c r="H131" s="5" t="n"/>
      <c r="I131" s="6">
        <f>IF(H131="","",IFERROR(VLOOKUP(H131,Artikel!$A:$E,2,FALSE),"? Nummer prüfen"))</f>
        <v/>
      </c>
      <c r="J131" s="6">
        <f>IF(H131="","",IFERROR(VLOOKUP(H131,Artikel!$A:$E,3,FALSE)&amp;" ("&amp;VLOOKUP(H131,Artikel!$A:$E,4,FALSE)&amp;")",""))</f>
        <v/>
      </c>
      <c r="K131" s="5" t="n"/>
      <c r="L131" s="7">
        <f>IF(H131="","",IFERROR(VLOOKUP(H131,Artikel!$A:$E,5,FALSE),""))</f>
        <v/>
      </c>
      <c r="M131" s="5" t="n"/>
      <c r="N131" s="5" t="n"/>
      <c r="O131" s="5" t="n"/>
      <c r="P131" s="8" t="n"/>
    </row>
    <row r="132">
      <c r="A132" s="4" t="n"/>
      <c r="B132" s="5" t="n"/>
      <c r="C132" s="5" t="n"/>
      <c r="D132" s="5" t="n"/>
      <c r="E132" s="5" t="n"/>
      <c r="F132" s="5" t="n"/>
      <c r="G132" s="5" t="n"/>
      <c r="H132" s="5" t="n"/>
      <c r="I132" s="6">
        <f>IF(H132="","",IFERROR(VLOOKUP(H132,Artikel!$A:$E,2,FALSE),"? Nummer prüfen"))</f>
        <v/>
      </c>
      <c r="J132" s="6">
        <f>IF(H132="","",IFERROR(VLOOKUP(H132,Artikel!$A:$E,3,FALSE)&amp;" ("&amp;VLOOKUP(H132,Artikel!$A:$E,4,FALSE)&amp;")",""))</f>
        <v/>
      </c>
      <c r="K132" s="5" t="n"/>
      <c r="L132" s="7">
        <f>IF(H132="","",IFERROR(VLOOKUP(H132,Artikel!$A:$E,5,FALSE),""))</f>
        <v/>
      </c>
      <c r="M132" s="5" t="n"/>
      <c r="N132" s="5" t="n"/>
      <c r="O132" s="5" t="n"/>
      <c r="P132" s="8" t="n"/>
    </row>
    <row r="133">
      <c r="A133" s="4" t="n"/>
      <c r="B133" s="5" t="n"/>
      <c r="C133" s="5" t="n"/>
      <c r="D133" s="5" t="n"/>
      <c r="E133" s="5" t="n"/>
      <c r="F133" s="5" t="n"/>
      <c r="G133" s="5" t="n"/>
      <c r="H133" s="5" t="n"/>
      <c r="I133" s="6">
        <f>IF(H133="","",IFERROR(VLOOKUP(H133,Artikel!$A:$E,2,FALSE),"? Nummer prüfen"))</f>
        <v/>
      </c>
      <c r="J133" s="6">
        <f>IF(H133="","",IFERROR(VLOOKUP(H133,Artikel!$A:$E,3,FALSE)&amp;" ("&amp;VLOOKUP(H133,Artikel!$A:$E,4,FALSE)&amp;")",""))</f>
        <v/>
      </c>
      <c r="K133" s="5" t="n"/>
      <c r="L133" s="7">
        <f>IF(H133="","",IFERROR(VLOOKUP(H133,Artikel!$A:$E,5,FALSE),""))</f>
        <v/>
      </c>
      <c r="M133" s="5" t="n"/>
      <c r="N133" s="5" t="n"/>
      <c r="O133" s="5" t="n"/>
      <c r="P133" s="8" t="n"/>
    </row>
    <row r="134">
      <c r="A134" s="4" t="n"/>
      <c r="B134" s="5" t="n"/>
      <c r="C134" s="5" t="n"/>
      <c r="D134" s="5" t="n"/>
      <c r="E134" s="5" t="n"/>
      <c r="F134" s="5" t="n"/>
      <c r="G134" s="5" t="n"/>
      <c r="H134" s="5" t="n"/>
      <c r="I134" s="6">
        <f>IF(H134="","",IFERROR(VLOOKUP(H134,Artikel!$A:$E,2,FALSE),"? Nummer prüfen"))</f>
        <v/>
      </c>
      <c r="J134" s="6">
        <f>IF(H134="","",IFERROR(VLOOKUP(H134,Artikel!$A:$E,3,FALSE)&amp;" ("&amp;VLOOKUP(H134,Artikel!$A:$E,4,FALSE)&amp;")",""))</f>
        <v/>
      </c>
      <c r="K134" s="5" t="n"/>
      <c r="L134" s="7">
        <f>IF(H134="","",IFERROR(VLOOKUP(H134,Artikel!$A:$E,5,FALSE),""))</f>
        <v/>
      </c>
      <c r="M134" s="5" t="n"/>
      <c r="N134" s="5" t="n"/>
      <c r="O134" s="5" t="n"/>
      <c r="P134" s="8" t="n"/>
    </row>
    <row r="135">
      <c r="A135" s="4" t="n"/>
      <c r="B135" s="5" t="n"/>
      <c r="C135" s="5" t="n"/>
      <c r="D135" s="5" t="n"/>
      <c r="E135" s="5" t="n"/>
      <c r="F135" s="5" t="n"/>
      <c r="G135" s="5" t="n"/>
      <c r="H135" s="5" t="n"/>
      <c r="I135" s="6">
        <f>IF(H135="","",IFERROR(VLOOKUP(H135,Artikel!$A:$E,2,FALSE),"? Nummer prüfen"))</f>
        <v/>
      </c>
      <c r="J135" s="6">
        <f>IF(H135="","",IFERROR(VLOOKUP(H135,Artikel!$A:$E,3,FALSE)&amp;" ("&amp;VLOOKUP(H135,Artikel!$A:$E,4,FALSE)&amp;")",""))</f>
        <v/>
      </c>
      <c r="K135" s="5" t="n"/>
      <c r="L135" s="7">
        <f>IF(H135="","",IFERROR(VLOOKUP(H135,Artikel!$A:$E,5,FALSE),""))</f>
        <v/>
      </c>
      <c r="M135" s="5" t="n"/>
      <c r="N135" s="5" t="n"/>
      <c r="O135" s="5" t="n"/>
      <c r="P135" s="8" t="n"/>
    </row>
    <row r="136">
      <c r="A136" s="4" t="n"/>
      <c r="B136" s="5" t="n"/>
      <c r="C136" s="5" t="n"/>
      <c r="D136" s="5" t="n"/>
      <c r="E136" s="5" t="n"/>
      <c r="F136" s="5" t="n"/>
      <c r="G136" s="5" t="n"/>
      <c r="H136" s="5" t="n"/>
      <c r="I136" s="6">
        <f>IF(H136="","",IFERROR(VLOOKUP(H136,Artikel!$A:$E,2,FALSE),"? Nummer prüfen"))</f>
        <v/>
      </c>
      <c r="J136" s="6">
        <f>IF(H136="","",IFERROR(VLOOKUP(H136,Artikel!$A:$E,3,FALSE)&amp;" ("&amp;VLOOKUP(H136,Artikel!$A:$E,4,FALSE)&amp;")",""))</f>
        <v/>
      </c>
      <c r="K136" s="5" t="n"/>
      <c r="L136" s="7">
        <f>IF(H136="","",IFERROR(VLOOKUP(H136,Artikel!$A:$E,5,FALSE),""))</f>
        <v/>
      </c>
      <c r="M136" s="5" t="n"/>
      <c r="N136" s="5" t="n"/>
      <c r="O136" s="5" t="n"/>
      <c r="P136" s="8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6">
        <f>IF(H137="","",IFERROR(VLOOKUP(H137,Artikel!$A:$E,2,FALSE),"? Nummer prüfen"))</f>
        <v/>
      </c>
      <c r="J137" s="6">
        <f>IF(H137="","",IFERROR(VLOOKUP(H137,Artikel!$A:$E,3,FALSE)&amp;" ("&amp;VLOOKUP(H137,Artikel!$A:$E,4,FALSE)&amp;")",""))</f>
        <v/>
      </c>
      <c r="K137" s="5" t="n"/>
      <c r="L137" s="7">
        <f>IF(H137="","",IFERROR(VLOOKUP(H137,Artikel!$A:$E,5,FALSE),""))</f>
        <v/>
      </c>
      <c r="M137" s="5" t="n"/>
      <c r="N137" s="5" t="n"/>
      <c r="O137" s="5" t="n"/>
      <c r="P137" s="8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6">
        <f>IF(H138="","",IFERROR(VLOOKUP(H138,Artikel!$A:$E,2,FALSE),"? Nummer prüfen"))</f>
        <v/>
      </c>
      <c r="J138" s="6">
        <f>IF(H138="","",IFERROR(VLOOKUP(H138,Artikel!$A:$E,3,FALSE)&amp;" ("&amp;VLOOKUP(H138,Artikel!$A:$E,4,FALSE)&amp;")",""))</f>
        <v/>
      </c>
      <c r="K138" s="5" t="n"/>
      <c r="L138" s="7">
        <f>IF(H138="","",IFERROR(VLOOKUP(H138,Artikel!$A:$E,5,FALSE),""))</f>
        <v/>
      </c>
      <c r="M138" s="5" t="n"/>
      <c r="N138" s="5" t="n"/>
      <c r="O138" s="5" t="n"/>
      <c r="P138" s="8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6">
        <f>IF(H139="","",IFERROR(VLOOKUP(H139,Artikel!$A:$E,2,FALSE),"? Nummer prüfen"))</f>
        <v/>
      </c>
      <c r="J139" s="6">
        <f>IF(H139="","",IFERROR(VLOOKUP(H139,Artikel!$A:$E,3,FALSE)&amp;" ("&amp;VLOOKUP(H139,Artikel!$A:$E,4,FALSE)&amp;")",""))</f>
        <v/>
      </c>
      <c r="K139" s="5" t="n"/>
      <c r="L139" s="7">
        <f>IF(H139="","",IFERROR(VLOOKUP(H139,Artikel!$A:$E,5,FALSE),""))</f>
        <v/>
      </c>
      <c r="M139" s="5" t="n"/>
      <c r="N139" s="5" t="n"/>
      <c r="O139" s="5" t="n"/>
      <c r="P139" s="8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6">
        <f>IF(H140="","",IFERROR(VLOOKUP(H140,Artikel!$A:$E,2,FALSE),"? Nummer prüfen"))</f>
        <v/>
      </c>
      <c r="J140" s="6">
        <f>IF(H140="","",IFERROR(VLOOKUP(H140,Artikel!$A:$E,3,FALSE)&amp;" ("&amp;VLOOKUP(H140,Artikel!$A:$E,4,FALSE)&amp;")",""))</f>
        <v/>
      </c>
      <c r="K140" s="5" t="n"/>
      <c r="L140" s="7">
        <f>IF(H140="","",IFERROR(VLOOKUP(H140,Artikel!$A:$E,5,FALSE),""))</f>
        <v/>
      </c>
      <c r="M140" s="5" t="n"/>
      <c r="N140" s="5" t="n"/>
      <c r="O140" s="5" t="n"/>
      <c r="P140" s="8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6">
        <f>IF(H141="","",IFERROR(VLOOKUP(H141,Artikel!$A:$E,2,FALSE),"? Nummer prüfen"))</f>
        <v/>
      </c>
      <c r="J141" s="6">
        <f>IF(H141="","",IFERROR(VLOOKUP(H141,Artikel!$A:$E,3,FALSE)&amp;" ("&amp;VLOOKUP(H141,Artikel!$A:$E,4,FALSE)&amp;")",""))</f>
        <v/>
      </c>
      <c r="K141" s="5" t="n"/>
      <c r="L141" s="7">
        <f>IF(H141="","",IFERROR(VLOOKUP(H141,Artikel!$A:$E,5,FALSE),""))</f>
        <v/>
      </c>
      <c r="M141" s="5" t="n"/>
      <c r="N141" s="5" t="n"/>
      <c r="O141" s="5" t="n"/>
      <c r="P141" s="8" t="n"/>
    </row>
    <row r="142">
      <c r="A142" s="4" t="n"/>
      <c r="B142" s="5" t="n"/>
      <c r="C142" s="5" t="n"/>
      <c r="D142" s="5" t="n"/>
      <c r="E142" s="5" t="n"/>
      <c r="F142" s="5" t="n"/>
      <c r="G142" s="5" t="n"/>
      <c r="H142" s="5" t="n"/>
      <c r="I142" s="6">
        <f>IF(H142="","",IFERROR(VLOOKUP(H142,Artikel!$A:$E,2,FALSE),"? Nummer prüfen"))</f>
        <v/>
      </c>
      <c r="J142" s="6">
        <f>IF(H142="","",IFERROR(VLOOKUP(H142,Artikel!$A:$E,3,FALSE)&amp;" ("&amp;VLOOKUP(H142,Artikel!$A:$E,4,FALSE)&amp;")",""))</f>
        <v/>
      </c>
      <c r="K142" s="5" t="n"/>
      <c r="L142" s="7">
        <f>IF(H142="","",IFERROR(VLOOKUP(H142,Artikel!$A:$E,5,FALSE),""))</f>
        <v/>
      </c>
      <c r="M142" s="5" t="n"/>
      <c r="N142" s="5" t="n"/>
      <c r="O142" s="5" t="n"/>
      <c r="P142" s="8" t="n"/>
    </row>
    <row r="143">
      <c r="A143" s="4" t="n"/>
      <c r="B143" s="5" t="n"/>
      <c r="C143" s="5" t="n"/>
      <c r="D143" s="5" t="n"/>
      <c r="E143" s="5" t="n"/>
      <c r="F143" s="5" t="n"/>
      <c r="G143" s="5" t="n"/>
      <c r="H143" s="5" t="n"/>
      <c r="I143" s="6">
        <f>IF(H143="","",IFERROR(VLOOKUP(H143,Artikel!$A:$E,2,FALSE),"? Nummer prüfen"))</f>
        <v/>
      </c>
      <c r="J143" s="6">
        <f>IF(H143="","",IFERROR(VLOOKUP(H143,Artikel!$A:$E,3,FALSE)&amp;" ("&amp;VLOOKUP(H143,Artikel!$A:$E,4,FALSE)&amp;")",""))</f>
        <v/>
      </c>
      <c r="K143" s="5" t="n"/>
      <c r="L143" s="7">
        <f>IF(H143="","",IFERROR(VLOOKUP(H143,Artikel!$A:$E,5,FALSE),""))</f>
        <v/>
      </c>
      <c r="M143" s="5" t="n"/>
      <c r="N143" s="5" t="n"/>
      <c r="O143" s="5" t="n"/>
      <c r="P143" s="8" t="n"/>
    </row>
    <row r="144">
      <c r="A144" s="4" t="n"/>
      <c r="B144" s="5" t="n"/>
      <c r="C144" s="5" t="n"/>
      <c r="D144" s="5" t="n"/>
      <c r="E144" s="5" t="n"/>
      <c r="F144" s="5" t="n"/>
      <c r="G144" s="5" t="n"/>
      <c r="H144" s="5" t="n"/>
      <c r="I144" s="6">
        <f>IF(H144="","",IFERROR(VLOOKUP(H144,Artikel!$A:$E,2,FALSE),"? Nummer prüfen"))</f>
        <v/>
      </c>
      <c r="J144" s="6">
        <f>IF(H144="","",IFERROR(VLOOKUP(H144,Artikel!$A:$E,3,FALSE)&amp;" ("&amp;VLOOKUP(H144,Artikel!$A:$E,4,FALSE)&amp;")",""))</f>
        <v/>
      </c>
      <c r="K144" s="5" t="n"/>
      <c r="L144" s="7">
        <f>IF(H144="","",IFERROR(VLOOKUP(H144,Artikel!$A:$E,5,FALSE),""))</f>
        <v/>
      </c>
      <c r="M144" s="5" t="n"/>
      <c r="N144" s="5" t="n"/>
      <c r="O144" s="5" t="n"/>
      <c r="P144" s="8" t="n"/>
    </row>
    <row r="145">
      <c r="A145" s="4" t="n"/>
      <c r="B145" s="5" t="n"/>
      <c r="C145" s="5" t="n"/>
      <c r="D145" s="5" t="n"/>
      <c r="E145" s="5" t="n"/>
      <c r="F145" s="5" t="n"/>
      <c r="G145" s="5" t="n"/>
      <c r="H145" s="5" t="n"/>
      <c r="I145" s="6">
        <f>IF(H145="","",IFERROR(VLOOKUP(H145,Artikel!$A:$E,2,FALSE),"? Nummer prüfen"))</f>
        <v/>
      </c>
      <c r="J145" s="6">
        <f>IF(H145="","",IFERROR(VLOOKUP(H145,Artikel!$A:$E,3,FALSE)&amp;" ("&amp;VLOOKUP(H145,Artikel!$A:$E,4,FALSE)&amp;")",""))</f>
        <v/>
      </c>
      <c r="K145" s="5" t="n"/>
      <c r="L145" s="7">
        <f>IF(H145="","",IFERROR(VLOOKUP(H145,Artikel!$A:$E,5,FALSE),""))</f>
        <v/>
      </c>
      <c r="M145" s="5" t="n"/>
      <c r="N145" s="5" t="n"/>
      <c r="O145" s="5" t="n"/>
      <c r="P145" s="8" t="n"/>
    </row>
    <row r="146">
      <c r="A146" s="4" t="n"/>
      <c r="B146" s="5" t="n"/>
      <c r="C146" s="5" t="n"/>
      <c r="D146" s="5" t="n"/>
      <c r="E146" s="5" t="n"/>
      <c r="F146" s="5" t="n"/>
      <c r="G146" s="5" t="n"/>
      <c r="H146" s="5" t="n"/>
      <c r="I146" s="6">
        <f>IF(H146="","",IFERROR(VLOOKUP(H146,Artikel!$A:$E,2,FALSE),"? Nummer prüfen"))</f>
        <v/>
      </c>
      <c r="J146" s="6">
        <f>IF(H146="","",IFERROR(VLOOKUP(H146,Artikel!$A:$E,3,FALSE)&amp;" ("&amp;VLOOKUP(H146,Artikel!$A:$E,4,FALSE)&amp;")",""))</f>
        <v/>
      </c>
      <c r="K146" s="5" t="n"/>
      <c r="L146" s="7">
        <f>IF(H146="","",IFERROR(VLOOKUP(H146,Artikel!$A:$E,5,FALSE),""))</f>
        <v/>
      </c>
      <c r="M146" s="5" t="n"/>
      <c r="N146" s="5" t="n"/>
      <c r="O146" s="5" t="n"/>
      <c r="P146" s="8" t="n"/>
    </row>
    <row r="147">
      <c r="A147" s="4" t="n"/>
      <c r="B147" s="5" t="n"/>
      <c r="C147" s="5" t="n"/>
      <c r="D147" s="5" t="n"/>
      <c r="E147" s="5" t="n"/>
      <c r="F147" s="5" t="n"/>
      <c r="G147" s="5" t="n"/>
      <c r="H147" s="5" t="n"/>
      <c r="I147" s="6">
        <f>IF(H147="","",IFERROR(VLOOKUP(H147,Artikel!$A:$E,2,FALSE),"? Nummer prüfen"))</f>
        <v/>
      </c>
      <c r="J147" s="6">
        <f>IF(H147="","",IFERROR(VLOOKUP(H147,Artikel!$A:$E,3,FALSE)&amp;" ("&amp;VLOOKUP(H147,Artikel!$A:$E,4,FALSE)&amp;")",""))</f>
        <v/>
      </c>
      <c r="K147" s="5" t="n"/>
      <c r="L147" s="7">
        <f>IF(H147="","",IFERROR(VLOOKUP(H147,Artikel!$A:$E,5,FALSE),""))</f>
        <v/>
      </c>
      <c r="M147" s="5" t="n"/>
      <c r="N147" s="5" t="n"/>
      <c r="O147" s="5" t="n"/>
      <c r="P147" s="8" t="n"/>
    </row>
    <row r="148">
      <c r="A148" s="4" t="n"/>
      <c r="B148" s="5" t="n"/>
      <c r="C148" s="5" t="n"/>
      <c r="D148" s="5" t="n"/>
      <c r="E148" s="5" t="n"/>
      <c r="F148" s="5" t="n"/>
      <c r="G148" s="5" t="n"/>
      <c r="H148" s="5" t="n"/>
      <c r="I148" s="6">
        <f>IF(H148="","",IFERROR(VLOOKUP(H148,Artikel!$A:$E,2,FALSE),"? Nummer prüfen"))</f>
        <v/>
      </c>
      <c r="J148" s="6">
        <f>IF(H148="","",IFERROR(VLOOKUP(H148,Artikel!$A:$E,3,FALSE)&amp;" ("&amp;VLOOKUP(H148,Artikel!$A:$E,4,FALSE)&amp;")",""))</f>
        <v/>
      </c>
      <c r="K148" s="5" t="n"/>
      <c r="L148" s="7">
        <f>IF(H148="","",IFERROR(VLOOKUP(H148,Artikel!$A:$E,5,FALSE),""))</f>
        <v/>
      </c>
      <c r="M148" s="5" t="n"/>
      <c r="N148" s="5" t="n"/>
      <c r="O148" s="5" t="n"/>
      <c r="P148" s="8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6">
        <f>IF(H149="","",IFERROR(VLOOKUP(H149,Artikel!$A:$E,2,FALSE),"? Nummer prüfen"))</f>
        <v/>
      </c>
      <c r="J149" s="6">
        <f>IF(H149="","",IFERROR(VLOOKUP(H149,Artikel!$A:$E,3,FALSE)&amp;" ("&amp;VLOOKUP(H149,Artikel!$A:$E,4,FALSE)&amp;")",""))</f>
        <v/>
      </c>
      <c r="K149" s="5" t="n"/>
      <c r="L149" s="7">
        <f>IF(H149="","",IFERROR(VLOOKUP(H149,Artikel!$A:$E,5,FALSE),""))</f>
        <v/>
      </c>
      <c r="M149" s="5" t="n"/>
      <c r="N149" s="5" t="n"/>
      <c r="O149" s="5" t="n"/>
      <c r="P149" s="8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6">
        <f>IF(H150="","",IFERROR(VLOOKUP(H150,Artikel!$A:$E,2,FALSE),"? Nummer prüfen"))</f>
        <v/>
      </c>
      <c r="J150" s="6">
        <f>IF(H150="","",IFERROR(VLOOKUP(H150,Artikel!$A:$E,3,FALSE)&amp;" ("&amp;VLOOKUP(H150,Artikel!$A:$E,4,FALSE)&amp;")",""))</f>
        <v/>
      </c>
      <c r="K150" s="5" t="n"/>
      <c r="L150" s="7">
        <f>IF(H150="","",IFERROR(VLOOKUP(H150,Artikel!$A:$E,5,FALSE),""))</f>
        <v/>
      </c>
      <c r="M150" s="5" t="n"/>
      <c r="N150" s="5" t="n"/>
      <c r="O150" s="5" t="n"/>
      <c r="P150" s="8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6">
        <f>IF(H151="","",IFERROR(VLOOKUP(H151,Artikel!$A:$E,2,FALSE),"? Nummer prüfen"))</f>
        <v/>
      </c>
      <c r="J151" s="6">
        <f>IF(H151="","",IFERROR(VLOOKUP(H151,Artikel!$A:$E,3,FALSE)&amp;" ("&amp;VLOOKUP(H151,Artikel!$A:$E,4,FALSE)&amp;")",""))</f>
        <v/>
      </c>
      <c r="K151" s="5" t="n"/>
      <c r="L151" s="7">
        <f>IF(H151="","",IFERROR(VLOOKUP(H151,Artikel!$A:$E,5,FALSE),""))</f>
        <v/>
      </c>
      <c r="M151" s="5" t="n"/>
      <c r="N151" s="5" t="n"/>
      <c r="O151" s="5" t="n"/>
      <c r="P151" s="8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6">
        <f>IF(H152="","",IFERROR(VLOOKUP(H152,Artikel!$A:$E,2,FALSE),"? Nummer prüfen"))</f>
        <v/>
      </c>
      <c r="J152" s="6">
        <f>IF(H152="","",IFERROR(VLOOKUP(H152,Artikel!$A:$E,3,FALSE)&amp;" ("&amp;VLOOKUP(H152,Artikel!$A:$E,4,FALSE)&amp;")",""))</f>
        <v/>
      </c>
      <c r="K152" s="5" t="n"/>
      <c r="L152" s="7">
        <f>IF(H152="","",IFERROR(VLOOKUP(H152,Artikel!$A:$E,5,FALSE),""))</f>
        <v/>
      </c>
      <c r="M152" s="5" t="n"/>
      <c r="N152" s="5" t="n"/>
      <c r="O152" s="5" t="n"/>
      <c r="P152" s="8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6">
        <f>IF(H153="","",IFERROR(VLOOKUP(H153,Artikel!$A:$E,2,FALSE),"? Nummer prüfen"))</f>
        <v/>
      </c>
      <c r="J153" s="6">
        <f>IF(H153="","",IFERROR(VLOOKUP(H153,Artikel!$A:$E,3,FALSE)&amp;" ("&amp;VLOOKUP(H153,Artikel!$A:$E,4,FALSE)&amp;")",""))</f>
        <v/>
      </c>
      <c r="K153" s="5" t="n"/>
      <c r="L153" s="7">
        <f>IF(H153="","",IFERROR(VLOOKUP(H153,Artikel!$A:$E,5,FALSE),""))</f>
        <v/>
      </c>
      <c r="M153" s="5" t="n"/>
      <c r="N153" s="5" t="n"/>
      <c r="O153" s="5" t="n"/>
      <c r="P153" s="8" t="n"/>
    </row>
    <row r="154">
      <c r="A154" s="4" t="n"/>
      <c r="B154" s="5" t="n"/>
      <c r="C154" s="5" t="n"/>
      <c r="D154" s="5" t="n"/>
      <c r="E154" s="5" t="n"/>
      <c r="F154" s="5" t="n"/>
      <c r="G154" s="5" t="n"/>
      <c r="H154" s="5" t="n"/>
      <c r="I154" s="6">
        <f>IF(H154="","",IFERROR(VLOOKUP(H154,Artikel!$A:$E,2,FALSE),"? Nummer prüfen"))</f>
        <v/>
      </c>
      <c r="J154" s="6">
        <f>IF(H154="","",IFERROR(VLOOKUP(H154,Artikel!$A:$E,3,FALSE)&amp;" ("&amp;VLOOKUP(H154,Artikel!$A:$E,4,FALSE)&amp;")",""))</f>
        <v/>
      </c>
      <c r="K154" s="5" t="n"/>
      <c r="L154" s="7">
        <f>IF(H154="","",IFERROR(VLOOKUP(H154,Artikel!$A:$E,5,FALSE),""))</f>
        <v/>
      </c>
      <c r="M154" s="5" t="n"/>
      <c r="N154" s="5" t="n"/>
      <c r="O154" s="5" t="n"/>
      <c r="P154" s="8" t="n"/>
    </row>
    <row r="155">
      <c r="A155" s="4" t="n"/>
      <c r="B155" s="5" t="n"/>
      <c r="C155" s="5" t="n"/>
      <c r="D155" s="5" t="n"/>
      <c r="E155" s="5" t="n"/>
      <c r="F155" s="5" t="n"/>
      <c r="G155" s="5" t="n"/>
      <c r="H155" s="5" t="n"/>
      <c r="I155" s="6">
        <f>IF(H155="","",IFERROR(VLOOKUP(H155,Artikel!$A:$E,2,FALSE),"? Nummer prüfen"))</f>
        <v/>
      </c>
      <c r="J155" s="6">
        <f>IF(H155="","",IFERROR(VLOOKUP(H155,Artikel!$A:$E,3,FALSE)&amp;" ("&amp;VLOOKUP(H155,Artikel!$A:$E,4,FALSE)&amp;")",""))</f>
        <v/>
      </c>
      <c r="K155" s="5" t="n"/>
      <c r="L155" s="7">
        <f>IF(H155="","",IFERROR(VLOOKUP(H155,Artikel!$A:$E,5,FALSE),""))</f>
        <v/>
      </c>
      <c r="M155" s="5" t="n"/>
      <c r="N155" s="5" t="n"/>
      <c r="O155" s="5" t="n"/>
      <c r="P155" s="8" t="n"/>
    </row>
    <row r="156">
      <c r="A156" s="4" t="n"/>
      <c r="B156" s="5" t="n"/>
      <c r="C156" s="5" t="n"/>
      <c r="D156" s="5" t="n"/>
      <c r="E156" s="5" t="n"/>
      <c r="F156" s="5" t="n"/>
      <c r="G156" s="5" t="n"/>
      <c r="H156" s="5" t="n"/>
      <c r="I156" s="6">
        <f>IF(H156="","",IFERROR(VLOOKUP(H156,Artikel!$A:$E,2,FALSE),"? Nummer prüfen"))</f>
        <v/>
      </c>
      <c r="J156" s="6">
        <f>IF(H156="","",IFERROR(VLOOKUP(H156,Artikel!$A:$E,3,FALSE)&amp;" ("&amp;VLOOKUP(H156,Artikel!$A:$E,4,FALSE)&amp;")",""))</f>
        <v/>
      </c>
      <c r="K156" s="5" t="n"/>
      <c r="L156" s="7">
        <f>IF(H156="","",IFERROR(VLOOKUP(H156,Artikel!$A:$E,5,FALSE),""))</f>
        <v/>
      </c>
      <c r="M156" s="5" t="n"/>
      <c r="N156" s="5" t="n"/>
      <c r="O156" s="5" t="n"/>
      <c r="P156" s="8" t="n"/>
    </row>
    <row r="157">
      <c r="A157" s="4" t="n"/>
      <c r="B157" s="5" t="n"/>
      <c r="C157" s="5" t="n"/>
      <c r="D157" s="5" t="n"/>
      <c r="E157" s="5" t="n"/>
      <c r="F157" s="5" t="n"/>
      <c r="G157" s="5" t="n"/>
      <c r="H157" s="5" t="n"/>
      <c r="I157" s="6">
        <f>IF(H157="","",IFERROR(VLOOKUP(H157,Artikel!$A:$E,2,FALSE),"? Nummer prüfen"))</f>
        <v/>
      </c>
      <c r="J157" s="6">
        <f>IF(H157="","",IFERROR(VLOOKUP(H157,Artikel!$A:$E,3,FALSE)&amp;" ("&amp;VLOOKUP(H157,Artikel!$A:$E,4,FALSE)&amp;")",""))</f>
        <v/>
      </c>
      <c r="K157" s="5" t="n"/>
      <c r="L157" s="7">
        <f>IF(H157="","",IFERROR(VLOOKUP(H157,Artikel!$A:$E,5,FALSE),""))</f>
        <v/>
      </c>
      <c r="M157" s="5" t="n"/>
      <c r="N157" s="5" t="n"/>
      <c r="O157" s="5" t="n"/>
      <c r="P157" s="8" t="n"/>
    </row>
    <row r="158">
      <c r="A158" s="4" t="n"/>
      <c r="B158" s="5" t="n"/>
      <c r="C158" s="5" t="n"/>
      <c r="D158" s="5" t="n"/>
      <c r="E158" s="5" t="n"/>
      <c r="F158" s="5" t="n"/>
      <c r="G158" s="5" t="n"/>
      <c r="H158" s="5" t="n"/>
      <c r="I158" s="6">
        <f>IF(H158="","",IFERROR(VLOOKUP(H158,Artikel!$A:$E,2,FALSE),"? Nummer prüfen"))</f>
        <v/>
      </c>
      <c r="J158" s="6">
        <f>IF(H158="","",IFERROR(VLOOKUP(H158,Artikel!$A:$E,3,FALSE)&amp;" ("&amp;VLOOKUP(H158,Artikel!$A:$E,4,FALSE)&amp;")",""))</f>
        <v/>
      </c>
      <c r="K158" s="5" t="n"/>
      <c r="L158" s="7">
        <f>IF(H158="","",IFERROR(VLOOKUP(H158,Artikel!$A:$E,5,FALSE),""))</f>
        <v/>
      </c>
      <c r="M158" s="5" t="n"/>
      <c r="N158" s="5" t="n"/>
      <c r="O158" s="5" t="n"/>
      <c r="P158" s="8" t="n"/>
    </row>
    <row r="159">
      <c r="A159" s="4" t="n"/>
      <c r="B159" s="5" t="n"/>
      <c r="C159" s="5" t="n"/>
      <c r="D159" s="5" t="n"/>
      <c r="E159" s="5" t="n"/>
      <c r="F159" s="5" t="n"/>
      <c r="G159" s="5" t="n"/>
      <c r="H159" s="5" t="n"/>
      <c r="I159" s="6">
        <f>IF(H159="","",IFERROR(VLOOKUP(H159,Artikel!$A:$E,2,FALSE),"? Nummer prüfen"))</f>
        <v/>
      </c>
      <c r="J159" s="6">
        <f>IF(H159="","",IFERROR(VLOOKUP(H159,Artikel!$A:$E,3,FALSE)&amp;" ("&amp;VLOOKUP(H159,Artikel!$A:$E,4,FALSE)&amp;")",""))</f>
        <v/>
      </c>
      <c r="K159" s="5" t="n"/>
      <c r="L159" s="7">
        <f>IF(H159="","",IFERROR(VLOOKUP(H159,Artikel!$A:$E,5,FALSE),""))</f>
        <v/>
      </c>
      <c r="M159" s="5" t="n"/>
      <c r="N159" s="5" t="n"/>
      <c r="O159" s="5" t="n"/>
      <c r="P159" s="8" t="n"/>
    </row>
    <row r="160">
      <c r="A160" s="4" t="n"/>
      <c r="B160" s="5" t="n"/>
      <c r="C160" s="5" t="n"/>
      <c r="D160" s="5" t="n"/>
      <c r="E160" s="5" t="n"/>
      <c r="F160" s="5" t="n"/>
      <c r="G160" s="5" t="n"/>
      <c r="H160" s="5" t="n"/>
      <c r="I160" s="6">
        <f>IF(H160="","",IFERROR(VLOOKUP(H160,Artikel!$A:$E,2,FALSE),"? Nummer prüfen"))</f>
        <v/>
      </c>
      <c r="J160" s="6">
        <f>IF(H160="","",IFERROR(VLOOKUP(H160,Artikel!$A:$E,3,FALSE)&amp;" ("&amp;VLOOKUP(H160,Artikel!$A:$E,4,FALSE)&amp;")",""))</f>
        <v/>
      </c>
      <c r="K160" s="5" t="n"/>
      <c r="L160" s="7">
        <f>IF(H160="","",IFERROR(VLOOKUP(H160,Artikel!$A:$E,5,FALSE),""))</f>
        <v/>
      </c>
      <c r="M160" s="5" t="n"/>
      <c r="N160" s="5" t="n"/>
      <c r="O160" s="5" t="n"/>
      <c r="P160" s="8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6">
        <f>IF(H161="","",IFERROR(VLOOKUP(H161,Artikel!$A:$E,2,FALSE),"? Nummer prüfen"))</f>
        <v/>
      </c>
      <c r="J161" s="6">
        <f>IF(H161="","",IFERROR(VLOOKUP(H161,Artikel!$A:$E,3,FALSE)&amp;" ("&amp;VLOOKUP(H161,Artikel!$A:$E,4,FALSE)&amp;")",""))</f>
        <v/>
      </c>
      <c r="K161" s="5" t="n"/>
      <c r="L161" s="7">
        <f>IF(H161="","",IFERROR(VLOOKUP(H161,Artikel!$A:$E,5,FALSE),""))</f>
        <v/>
      </c>
      <c r="M161" s="5" t="n"/>
      <c r="N161" s="5" t="n"/>
      <c r="O161" s="5" t="n"/>
      <c r="P161" s="8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6">
        <f>IF(H162="","",IFERROR(VLOOKUP(H162,Artikel!$A:$E,2,FALSE),"? Nummer prüfen"))</f>
        <v/>
      </c>
      <c r="J162" s="6">
        <f>IF(H162="","",IFERROR(VLOOKUP(H162,Artikel!$A:$E,3,FALSE)&amp;" ("&amp;VLOOKUP(H162,Artikel!$A:$E,4,FALSE)&amp;")",""))</f>
        <v/>
      </c>
      <c r="K162" s="5" t="n"/>
      <c r="L162" s="7">
        <f>IF(H162="","",IFERROR(VLOOKUP(H162,Artikel!$A:$E,5,FALSE),""))</f>
        <v/>
      </c>
      <c r="M162" s="5" t="n"/>
      <c r="N162" s="5" t="n"/>
      <c r="O162" s="5" t="n"/>
      <c r="P162" s="8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6">
        <f>IF(H163="","",IFERROR(VLOOKUP(H163,Artikel!$A:$E,2,FALSE),"? Nummer prüfen"))</f>
        <v/>
      </c>
      <c r="J163" s="6">
        <f>IF(H163="","",IFERROR(VLOOKUP(H163,Artikel!$A:$E,3,FALSE)&amp;" ("&amp;VLOOKUP(H163,Artikel!$A:$E,4,FALSE)&amp;")",""))</f>
        <v/>
      </c>
      <c r="K163" s="5" t="n"/>
      <c r="L163" s="7">
        <f>IF(H163="","",IFERROR(VLOOKUP(H163,Artikel!$A:$E,5,FALSE),""))</f>
        <v/>
      </c>
      <c r="M163" s="5" t="n"/>
      <c r="N163" s="5" t="n"/>
      <c r="O163" s="5" t="n"/>
      <c r="P163" s="8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6">
        <f>IF(H164="","",IFERROR(VLOOKUP(H164,Artikel!$A:$E,2,FALSE),"? Nummer prüfen"))</f>
        <v/>
      </c>
      <c r="J164" s="6">
        <f>IF(H164="","",IFERROR(VLOOKUP(H164,Artikel!$A:$E,3,FALSE)&amp;" ("&amp;VLOOKUP(H164,Artikel!$A:$E,4,FALSE)&amp;")",""))</f>
        <v/>
      </c>
      <c r="K164" s="5" t="n"/>
      <c r="L164" s="7">
        <f>IF(H164="","",IFERROR(VLOOKUP(H164,Artikel!$A:$E,5,FALSE),""))</f>
        <v/>
      </c>
      <c r="M164" s="5" t="n"/>
      <c r="N164" s="5" t="n"/>
      <c r="O164" s="5" t="n"/>
      <c r="P164" s="8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6">
        <f>IF(H165="","",IFERROR(VLOOKUP(H165,Artikel!$A:$E,2,FALSE),"? Nummer prüfen"))</f>
        <v/>
      </c>
      <c r="J165" s="6">
        <f>IF(H165="","",IFERROR(VLOOKUP(H165,Artikel!$A:$E,3,FALSE)&amp;" ("&amp;VLOOKUP(H165,Artikel!$A:$E,4,FALSE)&amp;")",""))</f>
        <v/>
      </c>
      <c r="K165" s="5" t="n"/>
      <c r="L165" s="7">
        <f>IF(H165="","",IFERROR(VLOOKUP(H165,Artikel!$A:$E,5,FALSE),""))</f>
        <v/>
      </c>
      <c r="M165" s="5" t="n"/>
      <c r="N165" s="5" t="n"/>
      <c r="O165" s="5" t="n"/>
      <c r="P165" s="8" t="n"/>
    </row>
    <row r="166">
      <c r="A166" s="4" t="n"/>
      <c r="B166" s="5" t="n"/>
      <c r="C166" s="5" t="n"/>
      <c r="D166" s="5" t="n"/>
      <c r="E166" s="5" t="n"/>
      <c r="F166" s="5" t="n"/>
      <c r="G166" s="5" t="n"/>
      <c r="H166" s="5" t="n"/>
      <c r="I166" s="6">
        <f>IF(H166="","",IFERROR(VLOOKUP(H166,Artikel!$A:$E,2,FALSE),"? Nummer prüfen"))</f>
        <v/>
      </c>
      <c r="J166" s="6">
        <f>IF(H166="","",IFERROR(VLOOKUP(H166,Artikel!$A:$E,3,FALSE)&amp;" ("&amp;VLOOKUP(H166,Artikel!$A:$E,4,FALSE)&amp;")",""))</f>
        <v/>
      </c>
      <c r="K166" s="5" t="n"/>
      <c r="L166" s="7">
        <f>IF(H166="","",IFERROR(VLOOKUP(H166,Artikel!$A:$E,5,FALSE),""))</f>
        <v/>
      </c>
      <c r="M166" s="5" t="n"/>
      <c r="N166" s="5" t="n"/>
      <c r="O166" s="5" t="n"/>
      <c r="P166" s="8" t="n"/>
    </row>
    <row r="167">
      <c r="A167" s="4" t="n"/>
      <c r="B167" s="5" t="n"/>
      <c r="C167" s="5" t="n"/>
      <c r="D167" s="5" t="n"/>
      <c r="E167" s="5" t="n"/>
      <c r="F167" s="5" t="n"/>
      <c r="G167" s="5" t="n"/>
      <c r="H167" s="5" t="n"/>
      <c r="I167" s="6">
        <f>IF(H167="","",IFERROR(VLOOKUP(H167,Artikel!$A:$E,2,FALSE),"? Nummer prüfen"))</f>
        <v/>
      </c>
      <c r="J167" s="6">
        <f>IF(H167="","",IFERROR(VLOOKUP(H167,Artikel!$A:$E,3,FALSE)&amp;" ("&amp;VLOOKUP(H167,Artikel!$A:$E,4,FALSE)&amp;")",""))</f>
        <v/>
      </c>
      <c r="K167" s="5" t="n"/>
      <c r="L167" s="7">
        <f>IF(H167="","",IFERROR(VLOOKUP(H167,Artikel!$A:$E,5,FALSE),""))</f>
        <v/>
      </c>
      <c r="M167" s="5" t="n"/>
      <c r="N167" s="5" t="n"/>
      <c r="O167" s="5" t="n"/>
      <c r="P167" s="8" t="n"/>
    </row>
    <row r="168">
      <c r="A168" s="4" t="n"/>
      <c r="B168" s="5" t="n"/>
      <c r="C168" s="5" t="n"/>
      <c r="D168" s="5" t="n"/>
      <c r="E168" s="5" t="n"/>
      <c r="F168" s="5" t="n"/>
      <c r="G168" s="5" t="n"/>
      <c r="H168" s="5" t="n"/>
      <c r="I168" s="6">
        <f>IF(H168="","",IFERROR(VLOOKUP(H168,Artikel!$A:$E,2,FALSE),"? Nummer prüfen"))</f>
        <v/>
      </c>
      <c r="J168" s="6">
        <f>IF(H168="","",IFERROR(VLOOKUP(H168,Artikel!$A:$E,3,FALSE)&amp;" ("&amp;VLOOKUP(H168,Artikel!$A:$E,4,FALSE)&amp;")",""))</f>
        <v/>
      </c>
      <c r="K168" s="5" t="n"/>
      <c r="L168" s="7">
        <f>IF(H168="","",IFERROR(VLOOKUP(H168,Artikel!$A:$E,5,FALSE),""))</f>
        <v/>
      </c>
      <c r="M168" s="5" t="n"/>
      <c r="N168" s="5" t="n"/>
      <c r="O168" s="5" t="n"/>
      <c r="P168" s="8" t="n"/>
    </row>
    <row r="169">
      <c r="A169" s="4" t="n"/>
      <c r="B169" s="5" t="n"/>
      <c r="C169" s="5" t="n"/>
      <c r="D169" s="5" t="n"/>
      <c r="E169" s="5" t="n"/>
      <c r="F169" s="5" t="n"/>
      <c r="G169" s="5" t="n"/>
      <c r="H169" s="5" t="n"/>
      <c r="I169" s="6">
        <f>IF(H169="","",IFERROR(VLOOKUP(H169,Artikel!$A:$E,2,FALSE),"? Nummer prüfen"))</f>
        <v/>
      </c>
      <c r="J169" s="6">
        <f>IF(H169="","",IFERROR(VLOOKUP(H169,Artikel!$A:$E,3,FALSE)&amp;" ("&amp;VLOOKUP(H169,Artikel!$A:$E,4,FALSE)&amp;")",""))</f>
        <v/>
      </c>
      <c r="K169" s="5" t="n"/>
      <c r="L169" s="7">
        <f>IF(H169="","",IFERROR(VLOOKUP(H169,Artikel!$A:$E,5,FALSE),""))</f>
        <v/>
      </c>
      <c r="M169" s="5" t="n"/>
      <c r="N169" s="5" t="n"/>
      <c r="O169" s="5" t="n"/>
      <c r="P169" s="8" t="n"/>
    </row>
    <row r="170">
      <c r="A170" s="4" t="n"/>
      <c r="B170" s="5" t="n"/>
      <c r="C170" s="5" t="n"/>
      <c r="D170" s="5" t="n"/>
      <c r="E170" s="5" t="n"/>
      <c r="F170" s="5" t="n"/>
      <c r="G170" s="5" t="n"/>
      <c r="H170" s="5" t="n"/>
      <c r="I170" s="6">
        <f>IF(H170="","",IFERROR(VLOOKUP(H170,Artikel!$A:$E,2,FALSE),"? Nummer prüfen"))</f>
        <v/>
      </c>
      <c r="J170" s="6">
        <f>IF(H170="","",IFERROR(VLOOKUP(H170,Artikel!$A:$E,3,FALSE)&amp;" ("&amp;VLOOKUP(H170,Artikel!$A:$E,4,FALSE)&amp;")",""))</f>
        <v/>
      </c>
      <c r="K170" s="5" t="n"/>
      <c r="L170" s="7">
        <f>IF(H170="","",IFERROR(VLOOKUP(H170,Artikel!$A:$E,5,FALSE),""))</f>
        <v/>
      </c>
      <c r="M170" s="5" t="n"/>
      <c r="N170" s="5" t="n"/>
      <c r="O170" s="5" t="n"/>
      <c r="P170" s="8" t="n"/>
    </row>
    <row r="171">
      <c r="A171" s="4" t="n"/>
      <c r="B171" s="5" t="n"/>
      <c r="C171" s="5" t="n"/>
      <c r="D171" s="5" t="n"/>
      <c r="E171" s="5" t="n"/>
      <c r="F171" s="5" t="n"/>
      <c r="G171" s="5" t="n"/>
      <c r="H171" s="5" t="n"/>
      <c r="I171" s="6">
        <f>IF(H171="","",IFERROR(VLOOKUP(H171,Artikel!$A:$E,2,FALSE),"? Nummer prüfen"))</f>
        <v/>
      </c>
      <c r="J171" s="6">
        <f>IF(H171="","",IFERROR(VLOOKUP(H171,Artikel!$A:$E,3,FALSE)&amp;" ("&amp;VLOOKUP(H171,Artikel!$A:$E,4,FALSE)&amp;")",""))</f>
        <v/>
      </c>
      <c r="K171" s="5" t="n"/>
      <c r="L171" s="7">
        <f>IF(H171="","",IFERROR(VLOOKUP(H171,Artikel!$A:$E,5,FALSE),""))</f>
        <v/>
      </c>
      <c r="M171" s="5" t="n"/>
      <c r="N171" s="5" t="n"/>
      <c r="O171" s="5" t="n"/>
      <c r="P171" s="8" t="n"/>
    </row>
    <row r="172">
      <c r="A172" s="4" t="n"/>
      <c r="B172" s="5" t="n"/>
      <c r="C172" s="5" t="n"/>
      <c r="D172" s="5" t="n"/>
      <c r="E172" s="5" t="n"/>
      <c r="F172" s="5" t="n"/>
      <c r="G172" s="5" t="n"/>
      <c r="H172" s="5" t="n"/>
      <c r="I172" s="6">
        <f>IF(H172="","",IFERROR(VLOOKUP(H172,Artikel!$A:$E,2,FALSE),"? Nummer prüfen"))</f>
        <v/>
      </c>
      <c r="J172" s="6">
        <f>IF(H172="","",IFERROR(VLOOKUP(H172,Artikel!$A:$E,3,FALSE)&amp;" ("&amp;VLOOKUP(H172,Artikel!$A:$E,4,FALSE)&amp;")",""))</f>
        <v/>
      </c>
      <c r="K172" s="5" t="n"/>
      <c r="L172" s="7">
        <f>IF(H172="","",IFERROR(VLOOKUP(H172,Artikel!$A:$E,5,FALSE),""))</f>
        <v/>
      </c>
      <c r="M172" s="5" t="n"/>
      <c r="N172" s="5" t="n"/>
      <c r="O172" s="5" t="n"/>
      <c r="P172" s="8" t="n"/>
    </row>
    <row r="173">
      <c r="A173" s="4" t="n"/>
      <c r="B173" s="5" t="n"/>
      <c r="C173" s="5" t="n"/>
      <c r="D173" s="5" t="n"/>
      <c r="E173" s="5" t="n"/>
      <c r="F173" s="5" t="n"/>
      <c r="G173" s="5" t="n"/>
      <c r="H173" s="5" t="n"/>
      <c r="I173" s="6">
        <f>IF(H173="","",IFERROR(VLOOKUP(H173,Artikel!$A:$E,2,FALSE),"? Nummer prüfen"))</f>
        <v/>
      </c>
      <c r="J173" s="6">
        <f>IF(H173="","",IFERROR(VLOOKUP(H173,Artikel!$A:$E,3,FALSE)&amp;" ("&amp;VLOOKUP(H173,Artikel!$A:$E,4,FALSE)&amp;")",""))</f>
        <v/>
      </c>
      <c r="K173" s="5" t="n"/>
      <c r="L173" s="7">
        <f>IF(H173="","",IFERROR(VLOOKUP(H173,Artikel!$A:$E,5,FALSE),""))</f>
        <v/>
      </c>
      <c r="M173" s="5" t="n"/>
      <c r="N173" s="5" t="n"/>
      <c r="O173" s="5" t="n"/>
      <c r="P173" s="8" t="n"/>
    </row>
    <row r="174">
      <c r="A174" s="4" t="n"/>
      <c r="B174" s="5" t="n"/>
      <c r="C174" s="5" t="n"/>
      <c r="D174" s="5" t="n"/>
      <c r="E174" s="5" t="n"/>
      <c r="F174" s="5" t="n"/>
      <c r="G174" s="5" t="n"/>
      <c r="H174" s="5" t="n"/>
      <c r="I174" s="6">
        <f>IF(H174="","",IFERROR(VLOOKUP(H174,Artikel!$A:$E,2,FALSE),"? Nummer prüfen"))</f>
        <v/>
      </c>
      <c r="J174" s="6">
        <f>IF(H174="","",IFERROR(VLOOKUP(H174,Artikel!$A:$E,3,FALSE)&amp;" ("&amp;VLOOKUP(H174,Artikel!$A:$E,4,FALSE)&amp;")",""))</f>
        <v/>
      </c>
      <c r="K174" s="5" t="n"/>
      <c r="L174" s="7">
        <f>IF(H174="","",IFERROR(VLOOKUP(H174,Artikel!$A:$E,5,FALSE),""))</f>
        <v/>
      </c>
      <c r="M174" s="5" t="n"/>
      <c r="N174" s="5" t="n"/>
      <c r="O174" s="5" t="n"/>
      <c r="P174" s="8" t="n"/>
    </row>
    <row r="175">
      <c r="A175" s="4" t="n"/>
      <c r="B175" s="5" t="n"/>
      <c r="C175" s="5" t="n"/>
      <c r="D175" s="5" t="n"/>
      <c r="E175" s="5" t="n"/>
      <c r="F175" s="5" t="n"/>
      <c r="G175" s="5" t="n"/>
      <c r="H175" s="5" t="n"/>
      <c r="I175" s="6">
        <f>IF(H175="","",IFERROR(VLOOKUP(H175,Artikel!$A:$E,2,FALSE),"? Nummer prüfen"))</f>
        <v/>
      </c>
      <c r="J175" s="6">
        <f>IF(H175="","",IFERROR(VLOOKUP(H175,Artikel!$A:$E,3,FALSE)&amp;" ("&amp;VLOOKUP(H175,Artikel!$A:$E,4,FALSE)&amp;")",""))</f>
        <v/>
      </c>
      <c r="K175" s="5" t="n"/>
      <c r="L175" s="7">
        <f>IF(H175="","",IFERROR(VLOOKUP(H175,Artikel!$A:$E,5,FALSE),""))</f>
        <v/>
      </c>
      <c r="M175" s="5" t="n"/>
      <c r="N175" s="5" t="n"/>
      <c r="O175" s="5" t="n"/>
      <c r="P175" s="8" t="n"/>
    </row>
    <row r="176">
      <c r="A176" s="4" t="n"/>
      <c r="B176" s="5" t="n"/>
      <c r="C176" s="5" t="n"/>
      <c r="D176" s="5" t="n"/>
      <c r="E176" s="5" t="n"/>
      <c r="F176" s="5" t="n"/>
      <c r="G176" s="5" t="n"/>
      <c r="H176" s="5" t="n"/>
      <c r="I176" s="6">
        <f>IF(H176="","",IFERROR(VLOOKUP(H176,Artikel!$A:$E,2,FALSE),"? Nummer prüfen"))</f>
        <v/>
      </c>
      <c r="J176" s="6">
        <f>IF(H176="","",IFERROR(VLOOKUP(H176,Artikel!$A:$E,3,FALSE)&amp;" ("&amp;VLOOKUP(H176,Artikel!$A:$E,4,FALSE)&amp;")",""))</f>
        <v/>
      </c>
      <c r="K176" s="5" t="n"/>
      <c r="L176" s="7">
        <f>IF(H176="","",IFERROR(VLOOKUP(H176,Artikel!$A:$E,5,FALSE),""))</f>
        <v/>
      </c>
      <c r="M176" s="5" t="n"/>
      <c r="N176" s="5" t="n"/>
      <c r="O176" s="5" t="n"/>
      <c r="P176" s="8" t="n"/>
    </row>
    <row r="177">
      <c r="A177" s="4" t="n"/>
      <c r="B177" s="5" t="n"/>
      <c r="C177" s="5" t="n"/>
      <c r="D177" s="5" t="n"/>
      <c r="E177" s="5" t="n"/>
      <c r="F177" s="5" t="n"/>
      <c r="G177" s="5" t="n"/>
      <c r="H177" s="5" t="n"/>
      <c r="I177" s="6">
        <f>IF(H177="","",IFERROR(VLOOKUP(H177,Artikel!$A:$E,2,FALSE),"? Nummer prüfen"))</f>
        <v/>
      </c>
      <c r="J177" s="6">
        <f>IF(H177="","",IFERROR(VLOOKUP(H177,Artikel!$A:$E,3,FALSE)&amp;" ("&amp;VLOOKUP(H177,Artikel!$A:$E,4,FALSE)&amp;")",""))</f>
        <v/>
      </c>
      <c r="K177" s="5" t="n"/>
      <c r="L177" s="7">
        <f>IF(H177="","",IFERROR(VLOOKUP(H177,Artikel!$A:$E,5,FALSE),""))</f>
        <v/>
      </c>
      <c r="M177" s="5" t="n"/>
      <c r="N177" s="5" t="n"/>
      <c r="O177" s="5" t="n"/>
      <c r="P177" s="8" t="n"/>
    </row>
    <row r="178">
      <c r="A178" s="4" t="n"/>
      <c r="B178" s="5" t="n"/>
      <c r="C178" s="5" t="n"/>
      <c r="D178" s="5" t="n"/>
      <c r="E178" s="5" t="n"/>
      <c r="F178" s="5" t="n"/>
      <c r="G178" s="5" t="n"/>
      <c r="H178" s="5" t="n"/>
      <c r="I178" s="6">
        <f>IF(H178="","",IFERROR(VLOOKUP(H178,Artikel!$A:$E,2,FALSE),"? Nummer prüfen"))</f>
        <v/>
      </c>
      <c r="J178" s="6">
        <f>IF(H178="","",IFERROR(VLOOKUP(H178,Artikel!$A:$E,3,FALSE)&amp;" ("&amp;VLOOKUP(H178,Artikel!$A:$E,4,FALSE)&amp;")",""))</f>
        <v/>
      </c>
      <c r="K178" s="5" t="n"/>
      <c r="L178" s="7">
        <f>IF(H178="","",IFERROR(VLOOKUP(H178,Artikel!$A:$E,5,FALSE),""))</f>
        <v/>
      </c>
      <c r="M178" s="5" t="n"/>
      <c r="N178" s="5" t="n"/>
      <c r="O178" s="5" t="n"/>
      <c r="P178" s="8" t="n"/>
    </row>
    <row r="179">
      <c r="A179" s="4" t="n"/>
      <c r="B179" s="5" t="n"/>
      <c r="C179" s="5" t="n"/>
      <c r="D179" s="5" t="n"/>
      <c r="E179" s="5" t="n"/>
      <c r="F179" s="5" t="n"/>
      <c r="G179" s="5" t="n"/>
      <c r="H179" s="5" t="n"/>
      <c r="I179" s="6">
        <f>IF(H179="","",IFERROR(VLOOKUP(H179,Artikel!$A:$E,2,FALSE),"? Nummer prüfen"))</f>
        <v/>
      </c>
      <c r="J179" s="6">
        <f>IF(H179="","",IFERROR(VLOOKUP(H179,Artikel!$A:$E,3,FALSE)&amp;" ("&amp;VLOOKUP(H179,Artikel!$A:$E,4,FALSE)&amp;")",""))</f>
        <v/>
      </c>
      <c r="K179" s="5" t="n"/>
      <c r="L179" s="7">
        <f>IF(H179="","",IFERROR(VLOOKUP(H179,Artikel!$A:$E,5,FALSE),""))</f>
        <v/>
      </c>
      <c r="M179" s="5" t="n"/>
      <c r="N179" s="5" t="n"/>
      <c r="O179" s="5" t="n"/>
      <c r="P179" s="8" t="n"/>
    </row>
    <row r="180">
      <c r="A180" s="4" t="n"/>
      <c r="B180" s="5" t="n"/>
      <c r="C180" s="5" t="n"/>
      <c r="D180" s="5" t="n"/>
      <c r="E180" s="5" t="n"/>
      <c r="F180" s="5" t="n"/>
      <c r="G180" s="5" t="n"/>
      <c r="H180" s="5" t="n"/>
      <c r="I180" s="6">
        <f>IF(H180="","",IFERROR(VLOOKUP(H180,Artikel!$A:$E,2,FALSE),"? Nummer prüfen"))</f>
        <v/>
      </c>
      <c r="J180" s="6">
        <f>IF(H180="","",IFERROR(VLOOKUP(H180,Artikel!$A:$E,3,FALSE)&amp;" ("&amp;VLOOKUP(H180,Artikel!$A:$E,4,FALSE)&amp;")",""))</f>
        <v/>
      </c>
      <c r="K180" s="5" t="n"/>
      <c r="L180" s="7">
        <f>IF(H180="","",IFERROR(VLOOKUP(H180,Artikel!$A:$E,5,FALSE),""))</f>
        <v/>
      </c>
      <c r="M180" s="5" t="n"/>
      <c r="N180" s="5" t="n"/>
      <c r="O180" s="5" t="n"/>
      <c r="P180" s="8" t="n"/>
    </row>
    <row r="181">
      <c r="A181" s="4" t="n"/>
      <c r="B181" s="5" t="n"/>
      <c r="C181" s="5" t="n"/>
      <c r="D181" s="5" t="n"/>
      <c r="E181" s="5" t="n"/>
      <c r="F181" s="5" t="n"/>
      <c r="G181" s="5" t="n"/>
      <c r="H181" s="5" t="n"/>
      <c r="I181" s="6">
        <f>IF(H181="","",IFERROR(VLOOKUP(H181,Artikel!$A:$E,2,FALSE),"? Nummer prüfen"))</f>
        <v/>
      </c>
      <c r="J181" s="6">
        <f>IF(H181="","",IFERROR(VLOOKUP(H181,Artikel!$A:$E,3,FALSE)&amp;" ("&amp;VLOOKUP(H181,Artikel!$A:$E,4,FALSE)&amp;")",""))</f>
        <v/>
      </c>
      <c r="K181" s="5" t="n"/>
      <c r="L181" s="7">
        <f>IF(H181="","",IFERROR(VLOOKUP(H181,Artikel!$A:$E,5,FALSE),""))</f>
        <v/>
      </c>
      <c r="M181" s="5" t="n"/>
      <c r="N181" s="5" t="n"/>
      <c r="O181" s="5" t="n"/>
      <c r="P181" s="8" t="n"/>
    </row>
    <row r="182">
      <c r="A182" s="4" t="n"/>
      <c r="B182" s="5" t="n"/>
      <c r="C182" s="5" t="n"/>
      <c r="D182" s="5" t="n"/>
      <c r="E182" s="5" t="n"/>
      <c r="F182" s="5" t="n"/>
      <c r="G182" s="5" t="n"/>
      <c r="H182" s="5" t="n"/>
      <c r="I182" s="6">
        <f>IF(H182="","",IFERROR(VLOOKUP(H182,Artikel!$A:$E,2,FALSE),"? Nummer prüfen"))</f>
        <v/>
      </c>
      <c r="J182" s="6">
        <f>IF(H182="","",IFERROR(VLOOKUP(H182,Artikel!$A:$E,3,FALSE)&amp;" ("&amp;VLOOKUP(H182,Artikel!$A:$E,4,FALSE)&amp;")",""))</f>
        <v/>
      </c>
      <c r="K182" s="5" t="n"/>
      <c r="L182" s="7">
        <f>IF(H182="","",IFERROR(VLOOKUP(H182,Artikel!$A:$E,5,FALSE),""))</f>
        <v/>
      </c>
      <c r="M182" s="5" t="n"/>
      <c r="N182" s="5" t="n"/>
      <c r="O182" s="5" t="n"/>
      <c r="P182" s="8" t="n"/>
    </row>
    <row r="183">
      <c r="A183" s="4" t="n"/>
      <c r="B183" s="5" t="n"/>
      <c r="C183" s="5" t="n"/>
      <c r="D183" s="5" t="n"/>
      <c r="E183" s="5" t="n"/>
      <c r="F183" s="5" t="n"/>
      <c r="G183" s="5" t="n"/>
      <c r="H183" s="5" t="n"/>
      <c r="I183" s="6">
        <f>IF(H183="","",IFERROR(VLOOKUP(H183,Artikel!$A:$E,2,FALSE),"? Nummer prüfen"))</f>
        <v/>
      </c>
      <c r="J183" s="6">
        <f>IF(H183="","",IFERROR(VLOOKUP(H183,Artikel!$A:$E,3,FALSE)&amp;" ("&amp;VLOOKUP(H183,Artikel!$A:$E,4,FALSE)&amp;")",""))</f>
        <v/>
      </c>
      <c r="K183" s="5" t="n"/>
      <c r="L183" s="7">
        <f>IF(H183="","",IFERROR(VLOOKUP(H183,Artikel!$A:$E,5,FALSE),""))</f>
        <v/>
      </c>
      <c r="M183" s="5" t="n"/>
      <c r="N183" s="5" t="n"/>
      <c r="O183" s="5" t="n"/>
      <c r="P183" s="8" t="n"/>
    </row>
    <row r="184">
      <c r="A184" s="4" t="n"/>
      <c r="B184" s="5" t="n"/>
      <c r="C184" s="5" t="n"/>
      <c r="D184" s="5" t="n"/>
      <c r="E184" s="5" t="n"/>
      <c r="F184" s="5" t="n"/>
      <c r="G184" s="5" t="n"/>
      <c r="H184" s="5" t="n"/>
      <c r="I184" s="6">
        <f>IF(H184="","",IFERROR(VLOOKUP(H184,Artikel!$A:$E,2,FALSE),"? Nummer prüfen"))</f>
        <v/>
      </c>
      <c r="J184" s="6">
        <f>IF(H184="","",IFERROR(VLOOKUP(H184,Artikel!$A:$E,3,FALSE)&amp;" ("&amp;VLOOKUP(H184,Artikel!$A:$E,4,FALSE)&amp;")",""))</f>
        <v/>
      </c>
      <c r="K184" s="5" t="n"/>
      <c r="L184" s="7">
        <f>IF(H184="","",IFERROR(VLOOKUP(H184,Artikel!$A:$E,5,FALSE),""))</f>
        <v/>
      </c>
      <c r="M184" s="5" t="n"/>
      <c r="N184" s="5" t="n"/>
      <c r="O184" s="5" t="n"/>
      <c r="P184" s="8" t="n"/>
    </row>
    <row r="185">
      <c r="A185" s="4" t="n"/>
      <c r="B185" s="5" t="n"/>
      <c r="C185" s="5" t="n"/>
      <c r="D185" s="5" t="n"/>
      <c r="E185" s="5" t="n"/>
      <c r="F185" s="5" t="n"/>
      <c r="G185" s="5" t="n"/>
      <c r="H185" s="5" t="n"/>
      <c r="I185" s="6">
        <f>IF(H185="","",IFERROR(VLOOKUP(H185,Artikel!$A:$E,2,FALSE),"? Nummer prüfen"))</f>
        <v/>
      </c>
      <c r="J185" s="6">
        <f>IF(H185="","",IFERROR(VLOOKUP(H185,Artikel!$A:$E,3,FALSE)&amp;" ("&amp;VLOOKUP(H185,Artikel!$A:$E,4,FALSE)&amp;")",""))</f>
        <v/>
      </c>
      <c r="K185" s="5" t="n"/>
      <c r="L185" s="7">
        <f>IF(H185="","",IFERROR(VLOOKUP(H185,Artikel!$A:$E,5,FALSE),""))</f>
        <v/>
      </c>
      <c r="M185" s="5" t="n"/>
      <c r="N185" s="5" t="n"/>
      <c r="O185" s="5" t="n"/>
      <c r="P185" s="8" t="n"/>
    </row>
    <row r="186">
      <c r="A186" s="4" t="n"/>
      <c r="B186" s="5" t="n"/>
      <c r="C186" s="5" t="n"/>
      <c r="D186" s="5" t="n"/>
      <c r="E186" s="5" t="n"/>
      <c r="F186" s="5" t="n"/>
      <c r="G186" s="5" t="n"/>
      <c r="H186" s="5" t="n"/>
      <c r="I186" s="6">
        <f>IF(H186="","",IFERROR(VLOOKUP(H186,Artikel!$A:$E,2,FALSE),"? Nummer prüfen"))</f>
        <v/>
      </c>
      <c r="J186" s="6">
        <f>IF(H186="","",IFERROR(VLOOKUP(H186,Artikel!$A:$E,3,FALSE)&amp;" ("&amp;VLOOKUP(H186,Artikel!$A:$E,4,FALSE)&amp;")",""))</f>
        <v/>
      </c>
      <c r="K186" s="5" t="n"/>
      <c r="L186" s="7">
        <f>IF(H186="","",IFERROR(VLOOKUP(H186,Artikel!$A:$E,5,FALSE),""))</f>
        <v/>
      </c>
      <c r="M186" s="5" t="n"/>
      <c r="N186" s="5" t="n"/>
      <c r="O186" s="5" t="n"/>
      <c r="P186" s="8" t="n"/>
    </row>
    <row r="187">
      <c r="A187" s="4" t="n"/>
      <c r="B187" s="5" t="n"/>
      <c r="C187" s="5" t="n"/>
      <c r="D187" s="5" t="n"/>
      <c r="E187" s="5" t="n"/>
      <c r="F187" s="5" t="n"/>
      <c r="G187" s="5" t="n"/>
      <c r="H187" s="5" t="n"/>
      <c r="I187" s="6">
        <f>IF(H187="","",IFERROR(VLOOKUP(H187,Artikel!$A:$E,2,FALSE),"? Nummer prüfen"))</f>
        <v/>
      </c>
      <c r="J187" s="6">
        <f>IF(H187="","",IFERROR(VLOOKUP(H187,Artikel!$A:$E,3,FALSE)&amp;" ("&amp;VLOOKUP(H187,Artikel!$A:$E,4,FALSE)&amp;")",""))</f>
        <v/>
      </c>
      <c r="K187" s="5" t="n"/>
      <c r="L187" s="7">
        <f>IF(H187="","",IFERROR(VLOOKUP(H187,Artikel!$A:$E,5,FALSE),""))</f>
        <v/>
      </c>
      <c r="M187" s="5" t="n"/>
      <c r="N187" s="5" t="n"/>
      <c r="O187" s="5" t="n"/>
      <c r="P187" s="8" t="n"/>
    </row>
    <row r="188">
      <c r="A188" s="4" t="n"/>
      <c r="B188" s="5" t="n"/>
      <c r="C188" s="5" t="n"/>
      <c r="D188" s="5" t="n"/>
      <c r="E188" s="5" t="n"/>
      <c r="F188" s="5" t="n"/>
      <c r="G188" s="5" t="n"/>
      <c r="H188" s="5" t="n"/>
      <c r="I188" s="6">
        <f>IF(H188="","",IFERROR(VLOOKUP(H188,Artikel!$A:$E,2,FALSE),"? Nummer prüfen"))</f>
        <v/>
      </c>
      <c r="J188" s="6">
        <f>IF(H188="","",IFERROR(VLOOKUP(H188,Artikel!$A:$E,3,FALSE)&amp;" ("&amp;VLOOKUP(H188,Artikel!$A:$E,4,FALSE)&amp;")",""))</f>
        <v/>
      </c>
      <c r="K188" s="5" t="n"/>
      <c r="L188" s="7">
        <f>IF(H188="","",IFERROR(VLOOKUP(H188,Artikel!$A:$E,5,FALSE),""))</f>
        <v/>
      </c>
      <c r="M188" s="5" t="n"/>
      <c r="N188" s="5" t="n"/>
      <c r="O188" s="5" t="n"/>
      <c r="P188" s="8" t="n"/>
    </row>
    <row r="189">
      <c r="A189" s="4" t="n"/>
      <c r="B189" s="5" t="n"/>
      <c r="C189" s="5" t="n"/>
      <c r="D189" s="5" t="n"/>
      <c r="E189" s="5" t="n"/>
      <c r="F189" s="5" t="n"/>
      <c r="G189" s="5" t="n"/>
      <c r="H189" s="5" t="n"/>
      <c r="I189" s="6">
        <f>IF(H189="","",IFERROR(VLOOKUP(H189,Artikel!$A:$E,2,FALSE),"? Nummer prüfen"))</f>
        <v/>
      </c>
      <c r="J189" s="6">
        <f>IF(H189="","",IFERROR(VLOOKUP(H189,Artikel!$A:$E,3,FALSE)&amp;" ("&amp;VLOOKUP(H189,Artikel!$A:$E,4,FALSE)&amp;")",""))</f>
        <v/>
      </c>
      <c r="K189" s="5" t="n"/>
      <c r="L189" s="7">
        <f>IF(H189="","",IFERROR(VLOOKUP(H189,Artikel!$A:$E,5,FALSE),""))</f>
        <v/>
      </c>
      <c r="M189" s="5" t="n"/>
      <c r="N189" s="5" t="n"/>
      <c r="O189" s="5" t="n"/>
      <c r="P189" s="8" t="n"/>
    </row>
    <row r="190">
      <c r="A190" s="4" t="n"/>
      <c r="B190" s="5" t="n"/>
      <c r="C190" s="5" t="n"/>
      <c r="D190" s="5" t="n"/>
      <c r="E190" s="5" t="n"/>
      <c r="F190" s="5" t="n"/>
      <c r="G190" s="5" t="n"/>
      <c r="H190" s="5" t="n"/>
      <c r="I190" s="6">
        <f>IF(H190="","",IFERROR(VLOOKUP(H190,Artikel!$A:$E,2,FALSE),"? Nummer prüfen"))</f>
        <v/>
      </c>
      <c r="J190" s="6">
        <f>IF(H190="","",IFERROR(VLOOKUP(H190,Artikel!$A:$E,3,FALSE)&amp;" ("&amp;VLOOKUP(H190,Artikel!$A:$E,4,FALSE)&amp;")",""))</f>
        <v/>
      </c>
      <c r="K190" s="5" t="n"/>
      <c r="L190" s="7">
        <f>IF(H190="","",IFERROR(VLOOKUP(H190,Artikel!$A:$E,5,FALSE),""))</f>
        <v/>
      </c>
      <c r="M190" s="5" t="n"/>
      <c r="N190" s="5" t="n"/>
      <c r="O190" s="5" t="n"/>
      <c r="P190" s="8" t="n"/>
    </row>
    <row r="191">
      <c r="A191" s="4" t="n"/>
      <c r="B191" s="5" t="n"/>
      <c r="C191" s="5" t="n"/>
      <c r="D191" s="5" t="n"/>
      <c r="E191" s="5" t="n"/>
      <c r="F191" s="5" t="n"/>
      <c r="G191" s="5" t="n"/>
      <c r="H191" s="5" t="n"/>
      <c r="I191" s="6">
        <f>IF(H191="","",IFERROR(VLOOKUP(H191,Artikel!$A:$E,2,FALSE),"? Nummer prüfen"))</f>
        <v/>
      </c>
      <c r="J191" s="6">
        <f>IF(H191="","",IFERROR(VLOOKUP(H191,Artikel!$A:$E,3,FALSE)&amp;" ("&amp;VLOOKUP(H191,Artikel!$A:$E,4,FALSE)&amp;")",""))</f>
        <v/>
      </c>
      <c r="K191" s="5" t="n"/>
      <c r="L191" s="7">
        <f>IF(H191="","",IFERROR(VLOOKUP(H191,Artikel!$A:$E,5,FALSE),""))</f>
        <v/>
      </c>
      <c r="M191" s="5" t="n"/>
      <c r="N191" s="5" t="n"/>
      <c r="O191" s="5" t="n"/>
      <c r="P191" s="8" t="n"/>
    </row>
    <row r="192">
      <c r="A192" s="4" t="n"/>
      <c r="B192" s="5" t="n"/>
      <c r="C192" s="5" t="n"/>
      <c r="D192" s="5" t="n"/>
      <c r="E192" s="5" t="n"/>
      <c r="F192" s="5" t="n"/>
      <c r="G192" s="5" t="n"/>
      <c r="H192" s="5" t="n"/>
      <c r="I192" s="6">
        <f>IF(H192="","",IFERROR(VLOOKUP(H192,Artikel!$A:$E,2,FALSE),"? Nummer prüfen"))</f>
        <v/>
      </c>
      <c r="J192" s="6">
        <f>IF(H192="","",IFERROR(VLOOKUP(H192,Artikel!$A:$E,3,FALSE)&amp;" ("&amp;VLOOKUP(H192,Artikel!$A:$E,4,FALSE)&amp;")",""))</f>
        <v/>
      </c>
      <c r="K192" s="5" t="n"/>
      <c r="L192" s="7">
        <f>IF(H192="","",IFERROR(VLOOKUP(H192,Artikel!$A:$E,5,FALSE),""))</f>
        <v/>
      </c>
      <c r="M192" s="5" t="n"/>
      <c r="N192" s="5" t="n"/>
      <c r="O192" s="5" t="n"/>
      <c r="P192" s="8" t="n"/>
    </row>
    <row r="193">
      <c r="A193" s="4" t="n"/>
      <c r="B193" s="5" t="n"/>
      <c r="C193" s="5" t="n"/>
      <c r="D193" s="5" t="n"/>
      <c r="E193" s="5" t="n"/>
      <c r="F193" s="5" t="n"/>
      <c r="G193" s="5" t="n"/>
      <c r="H193" s="5" t="n"/>
      <c r="I193" s="6">
        <f>IF(H193="","",IFERROR(VLOOKUP(H193,Artikel!$A:$E,2,FALSE),"? Nummer prüfen"))</f>
        <v/>
      </c>
      <c r="J193" s="6">
        <f>IF(H193="","",IFERROR(VLOOKUP(H193,Artikel!$A:$E,3,FALSE)&amp;" ("&amp;VLOOKUP(H193,Artikel!$A:$E,4,FALSE)&amp;")",""))</f>
        <v/>
      </c>
      <c r="K193" s="5" t="n"/>
      <c r="L193" s="7">
        <f>IF(H193="","",IFERROR(VLOOKUP(H193,Artikel!$A:$E,5,FALSE),""))</f>
        <v/>
      </c>
      <c r="M193" s="5" t="n"/>
      <c r="N193" s="5" t="n"/>
      <c r="O193" s="5" t="n"/>
      <c r="P193" s="8" t="n"/>
    </row>
    <row r="194">
      <c r="A194" s="4" t="n"/>
      <c r="B194" s="5" t="n"/>
      <c r="C194" s="5" t="n"/>
      <c r="D194" s="5" t="n"/>
      <c r="E194" s="5" t="n"/>
      <c r="F194" s="5" t="n"/>
      <c r="G194" s="5" t="n"/>
      <c r="H194" s="5" t="n"/>
      <c r="I194" s="6">
        <f>IF(H194="","",IFERROR(VLOOKUP(H194,Artikel!$A:$E,2,FALSE),"? Nummer prüfen"))</f>
        <v/>
      </c>
      <c r="J194" s="6">
        <f>IF(H194="","",IFERROR(VLOOKUP(H194,Artikel!$A:$E,3,FALSE)&amp;" ("&amp;VLOOKUP(H194,Artikel!$A:$E,4,FALSE)&amp;")",""))</f>
        <v/>
      </c>
      <c r="K194" s="5" t="n"/>
      <c r="L194" s="7">
        <f>IF(H194="","",IFERROR(VLOOKUP(H194,Artikel!$A:$E,5,FALSE),""))</f>
        <v/>
      </c>
      <c r="M194" s="5" t="n"/>
      <c r="N194" s="5" t="n"/>
      <c r="O194" s="5" t="n"/>
      <c r="P194" s="8" t="n"/>
    </row>
    <row r="195">
      <c r="A195" s="4" t="n"/>
      <c r="B195" s="5" t="n"/>
      <c r="C195" s="5" t="n"/>
      <c r="D195" s="5" t="n"/>
      <c r="E195" s="5" t="n"/>
      <c r="F195" s="5" t="n"/>
      <c r="G195" s="5" t="n"/>
      <c r="H195" s="5" t="n"/>
      <c r="I195" s="6">
        <f>IF(H195="","",IFERROR(VLOOKUP(H195,Artikel!$A:$E,2,FALSE),"? Nummer prüfen"))</f>
        <v/>
      </c>
      <c r="J195" s="6">
        <f>IF(H195="","",IFERROR(VLOOKUP(H195,Artikel!$A:$E,3,FALSE)&amp;" ("&amp;VLOOKUP(H195,Artikel!$A:$E,4,FALSE)&amp;")",""))</f>
        <v/>
      </c>
      <c r="K195" s="5" t="n"/>
      <c r="L195" s="7">
        <f>IF(H195="","",IFERROR(VLOOKUP(H195,Artikel!$A:$E,5,FALSE),""))</f>
        <v/>
      </c>
      <c r="M195" s="5" t="n"/>
      <c r="N195" s="5" t="n"/>
      <c r="O195" s="5" t="n"/>
      <c r="P195" s="8" t="n"/>
    </row>
    <row r="196">
      <c r="A196" s="4" t="n"/>
      <c r="B196" s="5" t="n"/>
      <c r="C196" s="5" t="n"/>
      <c r="D196" s="5" t="n"/>
      <c r="E196" s="5" t="n"/>
      <c r="F196" s="5" t="n"/>
      <c r="G196" s="5" t="n"/>
      <c r="H196" s="5" t="n"/>
      <c r="I196" s="6">
        <f>IF(H196="","",IFERROR(VLOOKUP(H196,Artikel!$A:$E,2,FALSE),"? Nummer prüfen"))</f>
        <v/>
      </c>
      <c r="J196" s="6">
        <f>IF(H196="","",IFERROR(VLOOKUP(H196,Artikel!$A:$E,3,FALSE)&amp;" ("&amp;VLOOKUP(H196,Artikel!$A:$E,4,FALSE)&amp;")",""))</f>
        <v/>
      </c>
      <c r="K196" s="5" t="n"/>
      <c r="L196" s="7">
        <f>IF(H196="","",IFERROR(VLOOKUP(H196,Artikel!$A:$E,5,FALSE),""))</f>
        <v/>
      </c>
      <c r="M196" s="5" t="n"/>
      <c r="N196" s="5" t="n"/>
      <c r="O196" s="5" t="n"/>
      <c r="P196" s="8" t="n"/>
    </row>
    <row r="197">
      <c r="A197" s="4" t="n"/>
      <c r="B197" s="5" t="n"/>
      <c r="C197" s="5" t="n"/>
      <c r="D197" s="5" t="n"/>
      <c r="E197" s="5" t="n"/>
      <c r="F197" s="5" t="n"/>
      <c r="G197" s="5" t="n"/>
      <c r="H197" s="5" t="n"/>
      <c r="I197" s="6">
        <f>IF(H197="","",IFERROR(VLOOKUP(H197,Artikel!$A:$E,2,FALSE),"? Nummer prüfen"))</f>
        <v/>
      </c>
      <c r="J197" s="6">
        <f>IF(H197="","",IFERROR(VLOOKUP(H197,Artikel!$A:$E,3,FALSE)&amp;" ("&amp;VLOOKUP(H197,Artikel!$A:$E,4,FALSE)&amp;")",""))</f>
        <v/>
      </c>
      <c r="K197" s="5" t="n"/>
      <c r="L197" s="7">
        <f>IF(H197="","",IFERROR(VLOOKUP(H197,Artikel!$A:$E,5,FALSE),""))</f>
        <v/>
      </c>
      <c r="M197" s="5" t="n"/>
      <c r="N197" s="5" t="n"/>
      <c r="O197" s="5" t="n"/>
      <c r="P197" s="8" t="n"/>
    </row>
    <row r="198">
      <c r="A198" s="4" t="n"/>
      <c r="B198" s="5" t="n"/>
      <c r="C198" s="5" t="n"/>
      <c r="D198" s="5" t="n"/>
      <c r="E198" s="5" t="n"/>
      <c r="F198" s="5" t="n"/>
      <c r="G198" s="5" t="n"/>
      <c r="H198" s="5" t="n"/>
      <c r="I198" s="6">
        <f>IF(H198="","",IFERROR(VLOOKUP(H198,Artikel!$A:$E,2,FALSE),"? Nummer prüfen"))</f>
        <v/>
      </c>
      <c r="J198" s="6">
        <f>IF(H198="","",IFERROR(VLOOKUP(H198,Artikel!$A:$E,3,FALSE)&amp;" ("&amp;VLOOKUP(H198,Artikel!$A:$E,4,FALSE)&amp;")",""))</f>
        <v/>
      </c>
      <c r="K198" s="5" t="n"/>
      <c r="L198" s="7">
        <f>IF(H198="","",IFERROR(VLOOKUP(H198,Artikel!$A:$E,5,FALSE),""))</f>
        <v/>
      </c>
      <c r="M198" s="5" t="n"/>
      <c r="N198" s="5" t="n"/>
      <c r="O198" s="5" t="n"/>
      <c r="P198" s="8" t="n"/>
    </row>
    <row r="199">
      <c r="A199" s="4" t="n"/>
      <c r="B199" s="5" t="n"/>
      <c r="C199" s="5" t="n"/>
      <c r="D199" s="5" t="n"/>
      <c r="E199" s="5" t="n"/>
      <c r="F199" s="5" t="n"/>
      <c r="G199" s="5" t="n"/>
      <c r="H199" s="5" t="n"/>
      <c r="I199" s="6">
        <f>IF(H199="","",IFERROR(VLOOKUP(H199,Artikel!$A:$E,2,FALSE),"? Nummer prüfen"))</f>
        <v/>
      </c>
      <c r="J199" s="6">
        <f>IF(H199="","",IFERROR(VLOOKUP(H199,Artikel!$A:$E,3,FALSE)&amp;" ("&amp;VLOOKUP(H199,Artikel!$A:$E,4,FALSE)&amp;")",""))</f>
        <v/>
      </c>
      <c r="K199" s="5" t="n"/>
      <c r="L199" s="7">
        <f>IF(H199="","",IFERROR(VLOOKUP(H199,Artikel!$A:$E,5,FALSE),""))</f>
        <v/>
      </c>
      <c r="M199" s="5" t="n"/>
      <c r="N199" s="5" t="n"/>
      <c r="O199" s="5" t="n"/>
      <c r="P199" s="8" t="n"/>
    </row>
    <row r="200">
      <c r="A200" s="4" t="n"/>
      <c r="B200" s="5" t="n"/>
      <c r="C200" s="5" t="n"/>
      <c r="D200" s="5" t="n"/>
      <c r="E200" s="5" t="n"/>
      <c r="F200" s="5" t="n"/>
      <c r="G200" s="5" t="n"/>
      <c r="H200" s="5" t="n"/>
      <c r="I200" s="6">
        <f>IF(H200="","",IFERROR(VLOOKUP(H200,Artikel!$A:$E,2,FALSE),"? Nummer prüfen"))</f>
        <v/>
      </c>
      <c r="J200" s="6">
        <f>IF(H200="","",IFERROR(VLOOKUP(H200,Artikel!$A:$E,3,FALSE)&amp;" ("&amp;VLOOKUP(H200,Artikel!$A:$E,4,FALSE)&amp;")",""))</f>
        <v/>
      </c>
      <c r="K200" s="5" t="n"/>
      <c r="L200" s="7">
        <f>IF(H200="","",IFERROR(VLOOKUP(H200,Artikel!$A:$E,5,FALSE),""))</f>
        <v/>
      </c>
      <c r="M200" s="5" t="n"/>
      <c r="N200" s="5" t="n"/>
      <c r="O200" s="5" t="n"/>
      <c r="P200" s="8" t="n"/>
    </row>
    <row r="201">
      <c r="A201" s="4" t="n"/>
      <c r="B201" s="5" t="n"/>
      <c r="C201" s="5" t="n"/>
      <c r="D201" s="5" t="n"/>
      <c r="E201" s="5" t="n"/>
      <c r="F201" s="5" t="n"/>
      <c r="G201" s="5" t="n"/>
      <c r="H201" s="5" t="n"/>
      <c r="I201" s="6">
        <f>IF(H201="","",IFERROR(VLOOKUP(H201,Artikel!$A:$E,2,FALSE),"? Nummer prüfen"))</f>
        <v/>
      </c>
      <c r="J201" s="6">
        <f>IF(H201="","",IFERROR(VLOOKUP(H201,Artikel!$A:$E,3,FALSE)&amp;" ("&amp;VLOOKUP(H201,Artikel!$A:$E,4,FALSE)&amp;")",""))</f>
        <v/>
      </c>
      <c r="K201" s="5" t="n"/>
      <c r="L201" s="7">
        <f>IF(H201="","",IFERROR(VLOOKUP(H201,Artikel!$A:$E,5,FALSE),""))</f>
        <v/>
      </c>
      <c r="M201" s="5" t="n"/>
      <c r="N201" s="5" t="n"/>
      <c r="O201" s="5" t="n"/>
      <c r="P201" s="8" t="n"/>
    </row>
    <row r="202">
      <c r="A202" s="4" t="n"/>
      <c r="B202" s="5" t="n"/>
      <c r="C202" s="5" t="n"/>
      <c r="D202" s="5" t="n"/>
      <c r="E202" s="5" t="n"/>
      <c r="F202" s="5" t="n"/>
      <c r="G202" s="5" t="n"/>
      <c r="H202" s="5" t="n"/>
      <c r="I202" s="6">
        <f>IF(H202="","",IFERROR(VLOOKUP(H202,Artikel!$A:$E,2,FALSE),"? Nummer prüfen"))</f>
        <v/>
      </c>
      <c r="J202" s="6">
        <f>IF(H202="","",IFERROR(VLOOKUP(H202,Artikel!$A:$E,3,FALSE)&amp;" ("&amp;VLOOKUP(H202,Artikel!$A:$E,4,FALSE)&amp;")",""))</f>
        <v/>
      </c>
      <c r="K202" s="5" t="n"/>
      <c r="L202" s="7">
        <f>IF(H202="","",IFERROR(VLOOKUP(H202,Artikel!$A:$E,5,FALSE),""))</f>
        <v/>
      </c>
      <c r="M202" s="5" t="n"/>
      <c r="N202" s="5" t="n"/>
      <c r="O202" s="5" t="n"/>
      <c r="P202" s="8" t="n"/>
    </row>
    <row r="203">
      <c r="A203" s="4" t="n"/>
      <c r="B203" s="5" t="n"/>
      <c r="C203" s="5" t="n"/>
      <c r="D203" s="5" t="n"/>
      <c r="E203" s="5" t="n"/>
      <c r="F203" s="5" t="n"/>
      <c r="G203" s="5" t="n"/>
      <c r="H203" s="5" t="n"/>
      <c r="I203" s="6">
        <f>IF(H203="","",IFERROR(VLOOKUP(H203,Artikel!$A:$E,2,FALSE),"? Nummer prüfen"))</f>
        <v/>
      </c>
      <c r="J203" s="6">
        <f>IF(H203="","",IFERROR(VLOOKUP(H203,Artikel!$A:$E,3,FALSE)&amp;" ("&amp;VLOOKUP(H203,Artikel!$A:$E,4,FALSE)&amp;")",""))</f>
        <v/>
      </c>
      <c r="K203" s="5" t="n"/>
      <c r="L203" s="7">
        <f>IF(H203="","",IFERROR(VLOOKUP(H203,Artikel!$A:$E,5,FALSE),""))</f>
        <v/>
      </c>
      <c r="M203" s="5" t="n"/>
      <c r="N203" s="5" t="n"/>
      <c r="O203" s="5" t="n"/>
      <c r="P203" s="8" t="n"/>
    </row>
    <row r="204">
      <c r="A204" s="4" t="n"/>
      <c r="B204" s="5" t="n"/>
      <c r="C204" s="5" t="n"/>
      <c r="D204" s="5" t="n"/>
      <c r="E204" s="5" t="n"/>
      <c r="F204" s="5" t="n"/>
      <c r="G204" s="5" t="n"/>
      <c r="H204" s="5" t="n"/>
      <c r="I204" s="6">
        <f>IF(H204="","",IFERROR(VLOOKUP(H204,Artikel!$A:$E,2,FALSE),"? Nummer prüfen"))</f>
        <v/>
      </c>
      <c r="J204" s="6">
        <f>IF(H204="","",IFERROR(VLOOKUP(H204,Artikel!$A:$E,3,FALSE)&amp;" ("&amp;VLOOKUP(H204,Artikel!$A:$E,4,FALSE)&amp;")",""))</f>
        <v/>
      </c>
      <c r="K204" s="5" t="n"/>
      <c r="L204" s="7">
        <f>IF(H204="","",IFERROR(VLOOKUP(H204,Artikel!$A:$E,5,FALSE),""))</f>
        <v/>
      </c>
      <c r="M204" s="5" t="n"/>
      <c r="N204" s="5" t="n"/>
      <c r="O204" s="5" t="n"/>
      <c r="P204" s="8" t="n"/>
    </row>
    <row r="205">
      <c r="A205" s="4" t="n"/>
      <c r="B205" s="5" t="n"/>
      <c r="C205" s="5" t="n"/>
      <c r="D205" s="5" t="n"/>
      <c r="E205" s="5" t="n"/>
      <c r="F205" s="5" t="n"/>
      <c r="G205" s="5" t="n"/>
      <c r="H205" s="5" t="n"/>
      <c r="I205" s="6">
        <f>IF(H205="","",IFERROR(VLOOKUP(H205,Artikel!$A:$E,2,FALSE),"? Nummer prüfen"))</f>
        <v/>
      </c>
      <c r="J205" s="6">
        <f>IF(H205="","",IFERROR(VLOOKUP(H205,Artikel!$A:$E,3,FALSE)&amp;" ("&amp;VLOOKUP(H205,Artikel!$A:$E,4,FALSE)&amp;")",""))</f>
        <v/>
      </c>
      <c r="K205" s="5" t="n"/>
      <c r="L205" s="7">
        <f>IF(H205="","",IFERROR(VLOOKUP(H205,Artikel!$A:$E,5,FALSE),""))</f>
        <v/>
      </c>
      <c r="M205" s="5" t="n"/>
      <c r="N205" s="5" t="n"/>
      <c r="O205" s="5" t="n"/>
      <c r="P205" s="8" t="n"/>
    </row>
    <row r="206">
      <c r="A206" s="4" t="n"/>
      <c r="B206" s="5" t="n"/>
      <c r="C206" s="5" t="n"/>
      <c r="D206" s="5" t="n"/>
      <c r="E206" s="5" t="n"/>
      <c r="F206" s="5" t="n"/>
      <c r="G206" s="5" t="n"/>
      <c r="H206" s="5" t="n"/>
      <c r="I206" s="6">
        <f>IF(H206="","",IFERROR(VLOOKUP(H206,Artikel!$A:$E,2,FALSE),"? Nummer prüfen"))</f>
        <v/>
      </c>
      <c r="J206" s="6">
        <f>IF(H206="","",IFERROR(VLOOKUP(H206,Artikel!$A:$E,3,FALSE)&amp;" ("&amp;VLOOKUP(H206,Artikel!$A:$E,4,FALSE)&amp;")",""))</f>
        <v/>
      </c>
      <c r="K206" s="5" t="n"/>
      <c r="L206" s="7">
        <f>IF(H206="","",IFERROR(VLOOKUP(H206,Artikel!$A:$E,5,FALSE),""))</f>
        <v/>
      </c>
      <c r="M206" s="5" t="n"/>
      <c r="N206" s="5" t="n"/>
      <c r="O206" s="5" t="n"/>
      <c r="P206" s="8" t="n"/>
    </row>
    <row r="207">
      <c r="A207" s="4" t="n"/>
      <c r="B207" s="5" t="n"/>
      <c r="C207" s="5" t="n"/>
      <c r="D207" s="5" t="n"/>
      <c r="E207" s="5" t="n"/>
      <c r="F207" s="5" t="n"/>
      <c r="G207" s="5" t="n"/>
      <c r="H207" s="5" t="n"/>
      <c r="I207" s="6">
        <f>IF(H207="","",IFERROR(VLOOKUP(H207,Artikel!$A:$E,2,FALSE),"? Nummer prüfen"))</f>
        <v/>
      </c>
      <c r="J207" s="6">
        <f>IF(H207="","",IFERROR(VLOOKUP(H207,Artikel!$A:$E,3,FALSE)&amp;" ("&amp;VLOOKUP(H207,Artikel!$A:$E,4,FALSE)&amp;")",""))</f>
        <v/>
      </c>
      <c r="K207" s="5" t="n"/>
      <c r="L207" s="7">
        <f>IF(H207="","",IFERROR(VLOOKUP(H207,Artikel!$A:$E,5,FALSE),""))</f>
        <v/>
      </c>
      <c r="M207" s="5" t="n"/>
      <c r="N207" s="5" t="n"/>
      <c r="O207" s="5" t="n"/>
      <c r="P207" s="8" t="n"/>
    </row>
    <row r="208">
      <c r="A208" s="4" t="n"/>
      <c r="B208" s="5" t="n"/>
      <c r="C208" s="5" t="n"/>
      <c r="D208" s="5" t="n"/>
      <c r="E208" s="5" t="n"/>
      <c r="F208" s="5" t="n"/>
      <c r="G208" s="5" t="n"/>
      <c r="H208" s="5" t="n"/>
      <c r="I208" s="6">
        <f>IF(H208="","",IFERROR(VLOOKUP(H208,Artikel!$A:$E,2,FALSE),"? Nummer prüfen"))</f>
        <v/>
      </c>
      <c r="J208" s="6">
        <f>IF(H208="","",IFERROR(VLOOKUP(H208,Artikel!$A:$E,3,FALSE)&amp;" ("&amp;VLOOKUP(H208,Artikel!$A:$E,4,FALSE)&amp;")",""))</f>
        <v/>
      </c>
      <c r="K208" s="5" t="n"/>
      <c r="L208" s="7">
        <f>IF(H208="","",IFERROR(VLOOKUP(H208,Artikel!$A:$E,5,FALSE),""))</f>
        <v/>
      </c>
      <c r="M208" s="5" t="n"/>
      <c r="N208" s="5" t="n"/>
      <c r="O208" s="5" t="n"/>
      <c r="P208" s="8" t="n"/>
    </row>
    <row r="209">
      <c r="A209" s="4" t="n"/>
      <c r="B209" s="5" t="n"/>
      <c r="C209" s="5" t="n"/>
      <c r="D209" s="5" t="n"/>
      <c r="E209" s="5" t="n"/>
      <c r="F209" s="5" t="n"/>
      <c r="G209" s="5" t="n"/>
      <c r="H209" s="5" t="n"/>
      <c r="I209" s="6">
        <f>IF(H209="","",IFERROR(VLOOKUP(H209,Artikel!$A:$E,2,FALSE),"? Nummer prüfen"))</f>
        <v/>
      </c>
      <c r="J209" s="6">
        <f>IF(H209="","",IFERROR(VLOOKUP(H209,Artikel!$A:$E,3,FALSE)&amp;" ("&amp;VLOOKUP(H209,Artikel!$A:$E,4,FALSE)&amp;")",""))</f>
        <v/>
      </c>
      <c r="K209" s="5" t="n"/>
      <c r="L209" s="7">
        <f>IF(H209="","",IFERROR(VLOOKUP(H209,Artikel!$A:$E,5,FALSE),""))</f>
        <v/>
      </c>
      <c r="M209" s="5" t="n"/>
      <c r="N209" s="5" t="n"/>
      <c r="O209" s="5" t="n"/>
      <c r="P209" s="8" t="n"/>
    </row>
    <row r="210">
      <c r="A210" s="4" t="n"/>
      <c r="B210" s="5" t="n"/>
      <c r="C210" s="5" t="n"/>
      <c r="D210" s="5" t="n"/>
      <c r="E210" s="5" t="n"/>
      <c r="F210" s="5" t="n"/>
      <c r="G210" s="5" t="n"/>
      <c r="H210" s="5" t="n"/>
      <c r="I210" s="6">
        <f>IF(H210="","",IFERROR(VLOOKUP(H210,Artikel!$A:$E,2,FALSE),"? Nummer prüfen"))</f>
        <v/>
      </c>
      <c r="J210" s="6">
        <f>IF(H210="","",IFERROR(VLOOKUP(H210,Artikel!$A:$E,3,FALSE)&amp;" ("&amp;VLOOKUP(H210,Artikel!$A:$E,4,FALSE)&amp;")",""))</f>
        <v/>
      </c>
      <c r="K210" s="5" t="n"/>
      <c r="L210" s="7">
        <f>IF(H210="","",IFERROR(VLOOKUP(H210,Artikel!$A:$E,5,FALSE),""))</f>
        <v/>
      </c>
      <c r="M210" s="5" t="n"/>
      <c r="N210" s="5" t="n"/>
      <c r="O210" s="5" t="n"/>
      <c r="P210" s="8" t="n"/>
    </row>
    <row r="211">
      <c r="A211" s="4" t="n"/>
      <c r="B211" s="5" t="n"/>
      <c r="C211" s="5" t="n"/>
      <c r="D211" s="5" t="n"/>
      <c r="E211" s="5" t="n"/>
      <c r="F211" s="5" t="n"/>
      <c r="G211" s="5" t="n"/>
      <c r="H211" s="5" t="n"/>
      <c r="I211" s="6">
        <f>IF(H211="","",IFERROR(VLOOKUP(H211,Artikel!$A:$E,2,FALSE),"? Nummer prüfen"))</f>
        <v/>
      </c>
      <c r="J211" s="6">
        <f>IF(H211="","",IFERROR(VLOOKUP(H211,Artikel!$A:$E,3,FALSE)&amp;" ("&amp;VLOOKUP(H211,Artikel!$A:$E,4,FALSE)&amp;")",""))</f>
        <v/>
      </c>
      <c r="K211" s="5" t="n"/>
      <c r="L211" s="7">
        <f>IF(H211="","",IFERROR(VLOOKUP(H211,Artikel!$A:$E,5,FALSE),""))</f>
        <v/>
      </c>
      <c r="M211" s="5" t="n"/>
      <c r="N211" s="5" t="n"/>
      <c r="O211" s="5" t="n"/>
      <c r="P211" s="8" t="n"/>
    </row>
    <row r="212">
      <c r="A212" s="4" t="n"/>
      <c r="B212" s="5" t="n"/>
      <c r="C212" s="5" t="n"/>
      <c r="D212" s="5" t="n"/>
      <c r="E212" s="5" t="n"/>
      <c r="F212" s="5" t="n"/>
      <c r="G212" s="5" t="n"/>
      <c r="H212" s="5" t="n"/>
      <c r="I212" s="6">
        <f>IF(H212="","",IFERROR(VLOOKUP(H212,Artikel!$A:$E,2,FALSE),"? Nummer prüfen"))</f>
        <v/>
      </c>
      <c r="J212" s="6">
        <f>IF(H212="","",IFERROR(VLOOKUP(H212,Artikel!$A:$E,3,FALSE)&amp;" ("&amp;VLOOKUP(H212,Artikel!$A:$E,4,FALSE)&amp;")",""))</f>
        <v/>
      </c>
      <c r="K212" s="5" t="n"/>
      <c r="L212" s="7">
        <f>IF(H212="","",IFERROR(VLOOKUP(H212,Artikel!$A:$E,5,FALSE),""))</f>
        <v/>
      </c>
      <c r="M212" s="5" t="n"/>
      <c r="N212" s="5" t="n"/>
      <c r="O212" s="5" t="n"/>
      <c r="P212" s="8" t="n"/>
    </row>
    <row r="213">
      <c r="A213" s="4" t="n"/>
      <c r="B213" s="5" t="n"/>
      <c r="C213" s="5" t="n"/>
      <c r="D213" s="5" t="n"/>
      <c r="E213" s="5" t="n"/>
      <c r="F213" s="5" t="n"/>
      <c r="G213" s="5" t="n"/>
      <c r="H213" s="5" t="n"/>
      <c r="I213" s="6">
        <f>IF(H213="","",IFERROR(VLOOKUP(H213,Artikel!$A:$E,2,FALSE),"? Nummer prüfen"))</f>
        <v/>
      </c>
      <c r="J213" s="6">
        <f>IF(H213="","",IFERROR(VLOOKUP(H213,Artikel!$A:$E,3,FALSE)&amp;" ("&amp;VLOOKUP(H213,Artikel!$A:$E,4,FALSE)&amp;")",""))</f>
        <v/>
      </c>
      <c r="K213" s="5" t="n"/>
      <c r="L213" s="7">
        <f>IF(H213="","",IFERROR(VLOOKUP(H213,Artikel!$A:$E,5,FALSE),""))</f>
        <v/>
      </c>
      <c r="M213" s="5" t="n"/>
      <c r="N213" s="5" t="n"/>
      <c r="O213" s="5" t="n"/>
      <c r="P213" s="8" t="n"/>
    </row>
    <row r="214">
      <c r="A214" s="4" t="n"/>
      <c r="B214" s="5" t="n"/>
      <c r="C214" s="5" t="n"/>
      <c r="D214" s="5" t="n"/>
      <c r="E214" s="5" t="n"/>
      <c r="F214" s="5" t="n"/>
      <c r="G214" s="5" t="n"/>
      <c r="H214" s="5" t="n"/>
      <c r="I214" s="6">
        <f>IF(H214="","",IFERROR(VLOOKUP(H214,Artikel!$A:$E,2,FALSE),"? Nummer prüfen"))</f>
        <v/>
      </c>
      <c r="J214" s="6">
        <f>IF(H214="","",IFERROR(VLOOKUP(H214,Artikel!$A:$E,3,FALSE)&amp;" ("&amp;VLOOKUP(H214,Artikel!$A:$E,4,FALSE)&amp;")",""))</f>
        <v/>
      </c>
      <c r="K214" s="5" t="n"/>
      <c r="L214" s="7">
        <f>IF(H214="","",IFERROR(VLOOKUP(H214,Artikel!$A:$E,5,FALSE),""))</f>
        <v/>
      </c>
      <c r="M214" s="5" t="n"/>
      <c r="N214" s="5" t="n"/>
      <c r="O214" s="5" t="n"/>
      <c r="P214" s="8" t="n"/>
    </row>
    <row r="215">
      <c r="A215" s="4" t="n"/>
      <c r="B215" s="5" t="n"/>
      <c r="C215" s="5" t="n"/>
      <c r="D215" s="5" t="n"/>
      <c r="E215" s="5" t="n"/>
      <c r="F215" s="5" t="n"/>
      <c r="G215" s="5" t="n"/>
      <c r="H215" s="5" t="n"/>
      <c r="I215" s="6">
        <f>IF(H215="","",IFERROR(VLOOKUP(H215,Artikel!$A:$E,2,FALSE),"? Nummer prüfen"))</f>
        <v/>
      </c>
      <c r="J215" s="6">
        <f>IF(H215="","",IFERROR(VLOOKUP(H215,Artikel!$A:$E,3,FALSE)&amp;" ("&amp;VLOOKUP(H215,Artikel!$A:$E,4,FALSE)&amp;")",""))</f>
        <v/>
      </c>
      <c r="K215" s="5" t="n"/>
      <c r="L215" s="7">
        <f>IF(H215="","",IFERROR(VLOOKUP(H215,Artikel!$A:$E,5,FALSE),""))</f>
        <v/>
      </c>
      <c r="M215" s="5" t="n"/>
      <c r="N215" s="5" t="n"/>
      <c r="O215" s="5" t="n"/>
      <c r="P215" s="8" t="n"/>
    </row>
    <row r="216">
      <c r="A216" s="4" t="n"/>
      <c r="B216" s="5" t="n"/>
      <c r="C216" s="5" t="n"/>
      <c r="D216" s="5" t="n"/>
      <c r="E216" s="5" t="n"/>
      <c r="F216" s="5" t="n"/>
      <c r="G216" s="5" t="n"/>
      <c r="H216" s="5" t="n"/>
      <c r="I216" s="6">
        <f>IF(H216="","",IFERROR(VLOOKUP(H216,Artikel!$A:$E,2,FALSE),"? Nummer prüfen"))</f>
        <v/>
      </c>
      <c r="J216" s="6">
        <f>IF(H216="","",IFERROR(VLOOKUP(H216,Artikel!$A:$E,3,FALSE)&amp;" ("&amp;VLOOKUP(H216,Artikel!$A:$E,4,FALSE)&amp;")",""))</f>
        <v/>
      </c>
      <c r="K216" s="5" t="n"/>
      <c r="L216" s="7">
        <f>IF(H216="","",IFERROR(VLOOKUP(H216,Artikel!$A:$E,5,FALSE),""))</f>
        <v/>
      </c>
      <c r="M216" s="5" t="n"/>
      <c r="N216" s="5" t="n"/>
      <c r="O216" s="5" t="n"/>
      <c r="P216" s="8" t="n"/>
    </row>
    <row r="217">
      <c r="A217" s="4" t="n"/>
      <c r="B217" s="5" t="n"/>
      <c r="C217" s="5" t="n"/>
      <c r="D217" s="5" t="n"/>
      <c r="E217" s="5" t="n"/>
      <c r="F217" s="5" t="n"/>
      <c r="G217" s="5" t="n"/>
      <c r="H217" s="5" t="n"/>
      <c r="I217" s="6">
        <f>IF(H217="","",IFERROR(VLOOKUP(H217,Artikel!$A:$E,2,FALSE),"? Nummer prüfen"))</f>
        <v/>
      </c>
      <c r="J217" s="6">
        <f>IF(H217="","",IFERROR(VLOOKUP(H217,Artikel!$A:$E,3,FALSE)&amp;" ("&amp;VLOOKUP(H217,Artikel!$A:$E,4,FALSE)&amp;")",""))</f>
        <v/>
      </c>
      <c r="K217" s="5" t="n"/>
      <c r="L217" s="7">
        <f>IF(H217="","",IFERROR(VLOOKUP(H217,Artikel!$A:$E,5,FALSE),""))</f>
        <v/>
      </c>
      <c r="M217" s="5" t="n"/>
      <c r="N217" s="5" t="n"/>
      <c r="O217" s="5" t="n"/>
      <c r="P217" s="8" t="n"/>
    </row>
    <row r="218">
      <c r="A218" s="4" t="n"/>
      <c r="B218" s="5" t="n"/>
      <c r="C218" s="5" t="n"/>
      <c r="D218" s="5" t="n"/>
      <c r="E218" s="5" t="n"/>
      <c r="F218" s="5" t="n"/>
      <c r="G218" s="5" t="n"/>
      <c r="H218" s="5" t="n"/>
      <c r="I218" s="6">
        <f>IF(H218="","",IFERROR(VLOOKUP(H218,Artikel!$A:$E,2,FALSE),"? Nummer prüfen"))</f>
        <v/>
      </c>
      <c r="J218" s="6">
        <f>IF(H218="","",IFERROR(VLOOKUP(H218,Artikel!$A:$E,3,FALSE)&amp;" ("&amp;VLOOKUP(H218,Artikel!$A:$E,4,FALSE)&amp;")",""))</f>
        <v/>
      </c>
      <c r="K218" s="5" t="n"/>
      <c r="L218" s="7">
        <f>IF(H218="","",IFERROR(VLOOKUP(H218,Artikel!$A:$E,5,FALSE),""))</f>
        <v/>
      </c>
      <c r="M218" s="5" t="n"/>
      <c r="N218" s="5" t="n"/>
      <c r="O218" s="5" t="n"/>
      <c r="P218" s="8" t="n"/>
    </row>
    <row r="219">
      <c r="A219" s="4" t="n"/>
      <c r="B219" s="5" t="n"/>
      <c r="C219" s="5" t="n"/>
      <c r="D219" s="5" t="n"/>
      <c r="E219" s="5" t="n"/>
      <c r="F219" s="5" t="n"/>
      <c r="G219" s="5" t="n"/>
      <c r="H219" s="5" t="n"/>
      <c r="I219" s="6">
        <f>IF(H219="","",IFERROR(VLOOKUP(H219,Artikel!$A:$E,2,FALSE),"? Nummer prüfen"))</f>
        <v/>
      </c>
      <c r="J219" s="6">
        <f>IF(H219="","",IFERROR(VLOOKUP(H219,Artikel!$A:$E,3,FALSE)&amp;" ("&amp;VLOOKUP(H219,Artikel!$A:$E,4,FALSE)&amp;")",""))</f>
        <v/>
      </c>
      <c r="K219" s="5" t="n"/>
      <c r="L219" s="7">
        <f>IF(H219="","",IFERROR(VLOOKUP(H219,Artikel!$A:$E,5,FALSE),""))</f>
        <v/>
      </c>
      <c r="M219" s="5" t="n"/>
      <c r="N219" s="5" t="n"/>
      <c r="O219" s="5" t="n"/>
      <c r="P219" s="8" t="n"/>
    </row>
    <row r="220">
      <c r="A220" s="4" t="n"/>
      <c r="B220" s="5" t="n"/>
      <c r="C220" s="5" t="n"/>
      <c r="D220" s="5" t="n"/>
      <c r="E220" s="5" t="n"/>
      <c r="F220" s="5" t="n"/>
      <c r="G220" s="5" t="n"/>
      <c r="H220" s="5" t="n"/>
      <c r="I220" s="6">
        <f>IF(H220="","",IFERROR(VLOOKUP(H220,Artikel!$A:$E,2,FALSE),"? Nummer prüfen"))</f>
        <v/>
      </c>
      <c r="J220" s="6">
        <f>IF(H220="","",IFERROR(VLOOKUP(H220,Artikel!$A:$E,3,FALSE)&amp;" ("&amp;VLOOKUP(H220,Artikel!$A:$E,4,FALSE)&amp;")",""))</f>
        <v/>
      </c>
      <c r="K220" s="5" t="n"/>
      <c r="L220" s="7">
        <f>IF(H220="","",IFERROR(VLOOKUP(H220,Artikel!$A:$E,5,FALSE),""))</f>
        <v/>
      </c>
      <c r="M220" s="5" t="n"/>
      <c r="N220" s="5" t="n"/>
      <c r="O220" s="5" t="n"/>
      <c r="P220" s="8" t="n"/>
    </row>
    <row r="221">
      <c r="A221" s="4" t="n"/>
      <c r="B221" s="5" t="n"/>
      <c r="C221" s="5" t="n"/>
      <c r="D221" s="5" t="n"/>
      <c r="E221" s="5" t="n"/>
      <c r="F221" s="5" t="n"/>
      <c r="G221" s="5" t="n"/>
      <c r="H221" s="5" t="n"/>
      <c r="I221" s="6">
        <f>IF(H221="","",IFERROR(VLOOKUP(H221,Artikel!$A:$E,2,FALSE),"? Nummer prüfen"))</f>
        <v/>
      </c>
      <c r="J221" s="6">
        <f>IF(H221="","",IFERROR(VLOOKUP(H221,Artikel!$A:$E,3,FALSE)&amp;" ("&amp;VLOOKUP(H221,Artikel!$A:$E,4,FALSE)&amp;")",""))</f>
        <v/>
      </c>
      <c r="K221" s="5" t="n"/>
      <c r="L221" s="7">
        <f>IF(H221="","",IFERROR(VLOOKUP(H221,Artikel!$A:$E,5,FALSE),""))</f>
        <v/>
      </c>
      <c r="M221" s="5" t="n"/>
      <c r="N221" s="5" t="n"/>
      <c r="O221" s="5" t="n"/>
      <c r="P221" s="8" t="n"/>
    </row>
    <row r="222">
      <c r="A222" s="4" t="n"/>
      <c r="B222" s="5" t="n"/>
      <c r="C222" s="5" t="n"/>
      <c r="D222" s="5" t="n"/>
      <c r="E222" s="5" t="n"/>
      <c r="F222" s="5" t="n"/>
      <c r="G222" s="5" t="n"/>
      <c r="H222" s="5" t="n"/>
      <c r="I222" s="6">
        <f>IF(H222="","",IFERROR(VLOOKUP(H222,Artikel!$A:$E,2,FALSE),"? Nummer prüfen"))</f>
        <v/>
      </c>
      <c r="J222" s="6">
        <f>IF(H222="","",IFERROR(VLOOKUP(H222,Artikel!$A:$E,3,FALSE)&amp;" ("&amp;VLOOKUP(H222,Artikel!$A:$E,4,FALSE)&amp;")",""))</f>
        <v/>
      </c>
      <c r="K222" s="5" t="n"/>
      <c r="L222" s="7">
        <f>IF(H222="","",IFERROR(VLOOKUP(H222,Artikel!$A:$E,5,FALSE),""))</f>
        <v/>
      </c>
      <c r="M222" s="5" t="n"/>
      <c r="N222" s="5" t="n"/>
      <c r="O222" s="5" t="n"/>
      <c r="P222" s="8" t="n"/>
    </row>
    <row r="223">
      <c r="A223" s="4" t="n"/>
      <c r="B223" s="5" t="n"/>
      <c r="C223" s="5" t="n"/>
      <c r="D223" s="5" t="n"/>
      <c r="E223" s="5" t="n"/>
      <c r="F223" s="5" t="n"/>
      <c r="G223" s="5" t="n"/>
      <c r="H223" s="5" t="n"/>
      <c r="I223" s="6">
        <f>IF(H223="","",IFERROR(VLOOKUP(H223,Artikel!$A:$E,2,FALSE),"? Nummer prüfen"))</f>
        <v/>
      </c>
      <c r="J223" s="6">
        <f>IF(H223="","",IFERROR(VLOOKUP(H223,Artikel!$A:$E,3,FALSE)&amp;" ("&amp;VLOOKUP(H223,Artikel!$A:$E,4,FALSE)&amp;")",""))</f>
        <v/>
      </c>
      <c r="K223" s="5" t="n"/>
      <c r="L223" s="7">
        <f>IF(H223="","",IFERROR(VLOOKUP(H223,Artikel!$A:$E,5,FALSE),""))</f>
        <v/>
      </c>
      <c r="M223" s="5" t="n"/>
      <c r="N223" s="5" t="n"/>
      <c r="O223" s="5" t="n"/>
      <c r="P223" s="8" t="n"/>
    </row>
    <row r="224">
      <c r="A224" s="4" t="n"/>
      <c r="B224" s="5" t="n"/>
      <c r="C224" s="5" t="n"/>
      <c r="D224" s="5" t="n"/>
      <c r="E224" s="5" t="n"/>
      <c r="F224" s="5" t="n"/>
      <c r="G224" s="5" t="n"/>
      <c r="H224" s="5" t="n"/>
      <c r="I224" s="6">
        <f>IF(H224="","",IFERROR(VLOOKUP(H224,Artikel!$A:$E,2,FALSE),"? Nummer prüfen"))</f>
        <v/>
      </c>
      <c r="J224" s="6">
        <f>IF(H224="","",IFERROR(VLOOKUP(H224,Artikel!$A:$E,3,FALSE)&amp;" ("&amp;VLOOKUP(H224,Artikel!$A:$E,4,FALSE)&amp;")",""))</f>
        <v/>
      </c>
      <c r="K224" s="5" t="n"/>
      <c r="L224" s="7">
        <f>IF(H224="","",IFERROR(VLOOKUP(H224,Artikel!$A:$E,5,FALSE),""))</f>
        <v/>
      </c>
      <c r="M224" s="5" t="n"/>
      <c r="N224" s="5" t="n"/>
      <c r="O224" s="5" t="n"/>
      <c r="P224" s="8" t="n"/>
    </row>
    <row r="225">
      <c r="A225" s="4" t="n"/>
      <c r="B225" s="5" t="n"/>
      <c r="C225" s="5" t="n"/>
      <c r="D225" s="5" t="n"/>
      <c r="E225" s="5" t="n"/>
      <c r="F225" s="5" t="n"/>
      <c r="G225" s="5" t="n"/>
      <c r="H225" s="5" t="n"/>
      <c r="I225" s="6">
        <f>IF(H225="","",IFERROR(VLOOKUP(H225,Artikel!$A:$E,2,FALSE),"? Nummer prüfen"))</f>
        <v/>
      </c>
      <c r="J225" s="6">
        <f>IF(H225="","",IFERROR(VLOOKUP(H225,Artikel!$A:$E,3,FALSE)&amp;" ("&amp;VLOOKUP(H225,Artikel!$A:$E,4,FALSE)&amp;")",""))</f>
        <v/>
      </c>
      <c r="K225" s="5" t="n"/>
      <c r="L225" s="7">
        <f>IF(H225="","",IFERROR(VLOOKUP(H225,Artikel!$A:$E,5,FALSE),""))</f>
        <v/>
      </c>
      <c r="M225" s="5" t="n"/>
      <c r="N225" s="5" t="n"/>
      <c r="O225" s="5" t="n"/>
      <c r="P225" s="8" t="n"/>
    </row>
    <row r="226">
      <c r="A226" s="4" t="n"/>
      <c r="B226" s="5" t="n"/>
      <c r="C226" s="5" t="n"/>
      <c r="D226" s="5" t="n"/>
      <c r="E226" s="5" t="n"/>
      <c r="F226" s="5" t="n"/>
      <c r="G226" s="5" t="n"/>
      <c r="H226" s="5" t="n"/>
      <c r="I226" s="6">
        <f>IF(H226="","",IFERROR(VLOOKUP(H226,Artikel!$A:$E,2,FALSE),"? Nummer prüfen"))</f>
        <v/>
      </c>
      <c r="J226" s="6">
        <f>IF(H226="","",IFERROR(VLOOKUP(H226,Artikel!$A:$E,3,FALSE)&amp;" ("&amp;VLOOKUP(H226,Artikel!$A:$E,4,FALSE)&amp;")",""))</f>
        <v/>
      </c>
      <c r="K226" s="5" t="n"/>
      <c r="L226" s="7">
        <f>IF(H226="","",IFERROR(VLOOKUP(H226,Artikel!$A:$E,5,FALSE),""))</f>
        <v/>
      </c>
      <c r="M226" s="5" t="n"/>
      <c r="N226" s="5" t="n"/>
      <c r="O226" s="5" t="n"/>
      <c r="P226" s="8" t="n"/>
    </row>
    <row r="227">
      <c r="A227" s="4" t="n"/>
      <c r="B227" s="5" t="n"/>
      <c r="C227" s="5" t="n"/>
      <c r="D227" s="5" t="n"/>
      <c r="E227" s="5" t="n"/>
      <c r="F227" s="5" t="n"/>
      <c r="G227" s="5" t="n"/>
      <c r="H227" s="5" t="n"/>
      <c r="I227" s="6">
        <f>IF(H227="","",IFERROR(VLOOKUP(H227,Artikel!$A:$E,2,FALSE),"? Nummer prüfen"))</f>
        <v/>
      </c>
      <c r="J227" s="6">
        <f>IF(H227="","",IFERROR(VLOOKUP(H227,Artikel!$A:$E,3,FALSE)&amp;" ("&amp;VLOOKUP(H227,Artikel!$A:$E,4,FALSE)&amp;")",""))</f>
        <v/>
      </c>
      <c r="K227" s="5" t="n"/>
      <c r="L227" s="7">
        <f>IF(H227="","",IFERROR(VLOOKUP(H227,Artikel!$A:$E,5,FALSE),""))</f>
        <v/>
      </c>
      <c r="M227" s="5" t="n"/>
      <c r="N227" s="5" t="n"/>
      <c r="O227" s="5" t="n"/>
      <c r="P227" s="8" t="n"/>
    </row>
    <row r="228">
      <c r="A228" s="4" t="n"/>
      <c r="B228" s="5" t="n"/>
      <c r="C228" s="5" t="n"/>
      <c r="D228" s="5" t="n"/>
      <c r="E228" s="5" t="n"/>
      <c r="F228" s="5" t="n"/>
      <c r="G228" s="5" t="n"/>
      <c r="H228" s="5" t="n"/>
      <c r="I228" s="6">
        <f>IF(H228="","",IFERROR(VLOOKUP(H228,Artikel!$A:$E,2,FALSE),"? Nummer prüfen"))</f>
        <v/>
      </c>
      <c r="J228" s="6">
        <f>IF(H228="","",IFERROR(VLOOKUP(H228,Artikel!$A:$E,3,FALSE)&amp;" ("&amp;VLOOKUP(H228,Artikel!$A:$E,4,FALSE)&amp;")",""))</f>
        <v/>
      </c>
      <c r="K228" s="5" t="n"/>
      <c r="L228" s="7">
        <f>IF(H228="","",IFERROR(VLOOKUP(H228,Artikel!$A:$E,5,FALSE),""))</f>
        <v/>
      </c>
      <c r="M228" s="5" t="n"/>
      <c r="N228" s="5" t="n"/>
      <c r="O228" s="5" t="n"/>
      <c r="P228" s="8" t="n"/>
    </row>
    <row r="229">
      <c r="A229" s="4" t="n"/>
      <c r="B229" s="5" t="n"/>
      <c r="C229" s="5" t="n"/>
      <c r="D229" s="5" t="n"/>
      <c r="E229" s="5" t="n"/>
      <c r="F229" s="5" t="n"/>
      <c r="G229" s="5" t="n"/>
      <c r="H229" s="5" t="n"/>
      <c r="I229" s="6">
        <f>IF(H229="","",IFERROR(VLOOKUP(H229,Artikel!$A:$E,2,FALSE),"? Nummer prüfen"))</f>
        <v/>
      </c>
      <c r="J229" s="6">
        <f>IF(H229="","",IFERROR(VLOOKUP(H229,Artikel!$A:$E,3,FALSE)&amp;" ("&amp;VLOOKUP(H229,Artikel!$A:$E,4,FALSE)&amp;")",""))</f>
        <v/>
      </c>
      <c r="K229" s="5" t="n"/>
      <c r="L229" s="7">
        <f>IF(H229="","",IFERROR(VLOOKUP(H229,Artikel!$A:$E,5,FALSE),""))</f>
        <v/>
      </c>
      <c r="M229" s="5" t="n"/>
      <c r="N229" s="5" t="n"/>
      <c r="O229" s="5" t="n"/>
      <c r="P229" s="8" t="n"/>
    </row>
    <row r="230">
      <c r="A230" s="4" t="n"/>
      <c r="B230" s="5" t="n"/>
      <c r="C230" s="5" t="n"/>
      <c r="D230" s="5" t="n"/>
      <c r="E230" s="5" t="n"/>
      <c r="F230" s="5" t="n"/>
      <c r="G230" s="5" t="n"/>
      <c r="H230" s="5" t="n"/>
      <c r="I230" s="6">
        <f>IF(H230="","",IFERROR(VLOOKUP(H230,Artikel!$A:$E,2,FALSE),"? Nummer prüfen"))</f>
        <v/>
      </c>
      <c r="J230" s="6">
        <f>IF(H230="","",IFERROR(VLOOKUP(H230,Artikel!$A:$E,3,FALSE)&amp;" ("&amp;VLOOKUP(H230,Artikel!$A:$E,4,FALSE)&amp;")",""))</f>
        <v/>
      </c>
      <c r="K230" s="5" t="n"/>
      <c r="L230" s="7">
        <f>IF(H230="","",IFERROR(VLOOKUP(H230,Artikel!$A:$E,5,FALSE),""))</f>
        <v/>
      </c>
      <c r="M230" s="5" t="n"/>
      <c r="N230" s="5" t="n"/>
      <c r="O230" s="5" t="n"/>
      <c r="P230" s="8" t="n"/>
    </row>
    <row r="231">
      <c r="A231" s="4" t="n"/>
      <c r="B231" s="5" t="n"/>
      <c r="C231" s="5" t="n"/>
      <c r="D231" s="5" t="n"/>
      <c r="E231" s="5" t="n"/>
      <c r="F231" s="5" t="n"/>
      <c r="G231" s="5" t="n"/>
      <c r="H231" s="5" t="n"/>
      <c r="I231" s="6">
        <f>IF(H231="","",IFERROR(VLOOKUP(H231,Artikel!$A:$E,2,FALSE),"? Nummer prüfen"))</f>
        <v/>
      </c>
      <c r="J231" s="6">
        <f>IF(H231="","",IFERROR(VLOOKUP(H231,Artikel!$A:$E,3,FALSE)&amp;" ("&amp;VLOOKUP(H231,Artikel!$A:$E,4,FALSE)&amp;")",""))</f>
        <v/>
      </c>
      <c r="K231" s="5" t="n"/>
      <c r="L231" s="7">
        <f>IF(H231="","",IFERROR(VLOOKUP(H231,Artikel!$A:$E,5,FALSE),""))</f>
        <v/>
      </c>
      <c r="M231" s="5" t="n"/>
      <c r="N231" s="5" t="n"/>
      <c r="O231" s="5" t="n"/>
      <c r="P231" s="8" t="n"/>
    </row>
    <row r="232">
      <c r="A232" s="4" t="n"/>
      <c r="B232" s="5" t="n"/>
      <c r="C232" s="5" t="n"/>
      <c r="D232" s="5" t="n"/>
      <c r="E232" s="5" t="n"/>
      <c r="F232" s="5" t="n"/>
      <c r="G232" s="5" t="n"/>
      <c r="H232" s="5" t="n"/>
      <c r="I232" s="6">
        <f>IF(H232="","",IFERROR(VLOOKUP(H232,Artikel!$A:$E,2,FALSE),"? Nummer prüfen"))</f>
        <v/>
      </c>
      <c r="J232" s="6">
        <f>IF(H232="","",IFERROR(VLOOKUP(H232,Artikel!$A:$E,3,FALSE)&amp;" ("&amp;VLOOKUP(H232,Artikel!$A:$E,4,FALSE)&amp;")",""))</f>
        <v/>
      </c>
      <c r="K232" s="5" t="n"/>
      <c r="L232" s="7">
        <f>IF(H232="","",IFERROR(VLOOKUP(H232,Artikel!$A:$E,5,FALSE),""))</f>
        <v/>
      </c>
      <c r="M232" s="5" t="n"/>
      <c r="N232" s="5" t="n"/>
      <c r="O232" s="5" t="n"/>
      <c r="P232" s="8" t="n"/>
    </row>
    <row r="233">
      <c r="A233" s="4" t="n"/>
      <c r="B233" s="5" t="n"/>
      <c r="C233" s="5" t="n"/>
      <c r="D233" s="5" t="n"/>
      <c r="E233" s="5" t="n"/>
      <c r="F233" s="5" t="n"/>
      <c r="G233" s="5" t="n"/>
      <c r="H233" s="5" t="n"/>
      <c r="I233" s="6">
        <f>IF(H233="","",IFERROR(VLOOKUP(H233,Artikel!$A:$E,2,FALSE),"? Nummer prüfen"))</f>
        <v/>
      </c>
      <c r="J233" s="6">
        <f>IF(H233="","",IFERROR(VLOOKUP(H233,Artikel!$A:$E,3,FALSE)&amp;" ("&amp;VLOOKUP(H233,Artikel!$A:$E,4,FALSE)&amp;")",""))</f>
        <v/>
      </c>
      <c r="K233" s="5" t="n"/>
      <c r="L233" s="7">
        <f>IF(H233="","",IFERROR(VLOOKUP(H233,Artikel!$A:$E,5,FALSE),""))</f>
        <v/>
      </c>
      <c r="M233" s="5" t="n"/>
      <c r="N233" s="5" t="n"/>
      <c r="O233" s="5" t="n"/>
      <c r="P233" s="8" t="n"/>
    </row>
    <row r="234">
      <c r="A234" s="4" t="n"/>
      <c r="B234" s="5" t="n"/>
      <c r="C234" s="5" t="n"/>
      <c r="D234" s="5" t="n"/>
      <c r="E234" s="5" t="n"/>
      <c r="F234" s="5" t="n"/>
      <c r="G234" s="5" t="n"/>
      <c r="H234" s="5" t="n"/>
      <c r="I234" s="6">
        <f>IF(H234="","",IFERROR(VLOOKUP(H234,Artikel!$A:$E,2,FALSE),"? Nummer prüfen"))</f>
        <v/>
      </c>
      <c r="J234" s="6">
        <f>IF(H234="","",IFERROR(VLOOKUP(H234,Artikel!$A:$E,3,FALSE)&amp;" ("&amp;VLOOKUP(H234,Artikel!$A:$E,4,FALSE)&amp;")",""))</f>
        <v/>
      </c>
      <c r="K234" s="5" t="n"/>
      <c r="L234" s="7">
        <f>IF(H234="","",IFERROR(VLOOKUP(H234,Artikel!$A:$E,5,FALSE),""))</f>
        <v/>
      </c>
      <c r="M234" s="5" t="n"/>
      <c r="N234" s="5" t="n"/>
      <c r="O234" s="5" t="n"/>
      <c r="P234" s="8" t="n"/>
    </row>
    <row r="235">
      <c r="A235" s="4" t="n"/>
      <c r="B235" s="5" t="n"/>
      <c r="C235" s="5" t="n"/>
      <c r="D235" s="5" t="n"/>
      <c r="E235" s="5" t="n"/>
      <c r="F235" s="5" t="n"/>
      <c r="G235" s="5" t="n"/>
      <c r="H235" s="5" t="n"/>
      <c r="I235" s="6">
        <f>IF(H235="","",IFERROR(VLOOKUP(H235,Artikel!$A:$E,2,FALSE),"? Nummer prüfen"))</f>
        <v/>
      </c>
      <c r="J235" s="6">
        <f>IF(H235="","",IFERROR(VLOOKUP(H235,Artikel!$A:$E,3,FALSE)&amp;" ("&amp;VLOOKUP(H235,Artikel!$A:$E,4,FALSE)&amp;")",""))</f>
        <v/>
      </c>
      <c r="K235" s="5" t="n"/>
      <c r="L235" s="7">
        <f>IF(H235="","",IFERROR(VLOOKUP(H235,Artikel!$A:$E,5,FALSE),""))</f>
        <v/>
      </c>
      <c r="M235" s="5" t="n"/>
      <c r="N235" s="5" t="n"/>
      <c r="O235" s="5" t="n"/>
      <c r="P235" s="8" t="n"/>
    </row>
    <row r="236">
      <c r="A236" s="4" t="n"/>
      <c r="B236" s="5" t="n"/>
      <c r="C236" s="5" t="n"/>
      <c r="D236" s="5" t="n"/>
      <c r="E236" s="5" t="n"/>
      <c r="F236" s="5" t="n"/>
      <c r="G236" s="5" t="n"/>
      <c r="H236" s="5" t="n"/>
      <c r="I236" s="6">
        <f>IF(H236="","",IFERROR(VLOOKUP(H236,Artikel!$A:$E,2,FALSE),"? Nummer prüfen"))</f>
        <v/>
      </c>
      <c r="J236" s="6">
        <f>IF(H236="","",IFERROR(VLOOKUP(H236,Artikel!$A:$E,3,FALSE)&amp;" ("&amp;VLOOKUP(H236,Artikel!$A:$E,4,FALSE)&amp;")",""))</f>
        <v/>
      </c>
      <c r="K236" s="5" t="n"/>
      <c r="L236" s="7">
        <f>IF(H236="","",IFERROR(VLOOKUP(H236,Artikel!$A:$E,5,FALSE),""))</f>
        <v/>
      </c>
      <c r="M236" s="5" t="n"/>
      <c r="N236" s="5" t="n"/>
      <c r="O236" s="5" t="n"/>
      <c r="P236" s="8" t="n"/>
    </row>
    <row r="237">
      <c r="A237" s="4" t="n"/>
      <c r="B237" s="5" t="n"/>
      <c r="C237" s="5" t="n"/>
      <c r="D237" s="5" t="n"/>
      <c r="E237" s="5" t="n"/>
      <c r="F237" s="5" t="n"/>
      <c r="G237" s="5" t="n"/>
      <c r="H237" s="5" t="n"/>
      <c r="I237" s="6">
        <f>IF(H237="","",IFERROR(VLOOKUP(H237,Artikel!$A:$E,2,FALSE),"? Nummer prüfen"))</f>
        <v/>
      </c>
      <c r="J237" s="6">
        <f>IF(H237="","",IFERROR(VLOOKUP(H237,Artikel!$A:$E,3,FALSE)&amp;" ("&amp;VLOOKUP(H237,Artikel!$A:$E,4,FALSE)&amp;")",""))</f>
        <v/>
      </c>
      <c r="K237" s="5" t="n"/>
      <c r="L237" s="7">
        <f>IF(H237="","",IFERROR(VLOOKUP(H237,Artikel!$A:$E,5,FALSE),""))</f>
        <v/>
      </c>
      <c r="M237" s="5" t="n"/>
      <c r="N237" s="5" t="n"/>
      <c r="O237" s="5" t="n"/>
      <c r="P237" s="8" t="n"/>
    </row>
    <row r="238">
      <c r="A238" s="4" t="n"/>
      <c r="B238" s="5" t="n"/>
      <c r="C238" s="5" t="n"/>
      <c r="D238" s="5" t="n"/>
      <c r="E238" s="5" t="n"/>
      <c r="F238" s="5" t="n"/>
      <c r="G238" s="5" t="n"/>
      <c r="H238" s="5" t="n"/>
      <c r="I238" s="6">
        <f>IF(H238="","",IFERROR(VLOOKUP(H238,Artikel!$A:$E,2,FALSE),"? Nummer prüfen"))</f>
        <v/>
      </c>
      <c r="J238" s="6">
        <f>IF(H238="","",IFERROR(VLOOKUP(H238,Artikel!$A:$E,3,FALSE)&amp;" ("&amp;VLOOKUP(H238,Artikel!$A:$E,4,FALSE)&amp;")",""))</f>
        <v/>
      </c>
      <c r="K238" s="5" t="n"/>
      <c r="L238" s="7">
        <f>IF(H238="","",IFERROR(VLOOKUP(H238,Artikel!$A:$E,5,FALSE),""))</f>
        <v/>
      </c>
      <c r="M238" s="5" t="n"/>
      <c r="N238" s="5" t="n"/>
      <c r="O238" s="5" t="n"/>
      <c r="P238" s="8" t="n"/>
    </row>
    <row r="239">
      <c r="A239" s="4" t="n"/>
      <c r="B239" s="5" t="n"/>
      <c r="C239" s="5" t="n"/>
      <c r="D239" s="5" t="n"/>
      <c r="E239" s="5" t="n"/>
      <c r="F239" s="5" t="n"/>
      <c r="G239" s="5" t="n"/>
      <c r="H239" s="5" t="n"/>
      <c r="I239" s="6">
        <f>IF(H239="","",IFERROR(VLOOKUP(H239,Artikel!$A:$E,2,FALSE),"? Nummer prüfen"))</f>
        <v/>
      </c>
      <c r="J239" s="6">
        <f>IF(H239="","",IFERROR(VLOOKUP(H239,Artikel!$A:$E,3,FALSE)&amp;" ("&amp;VLOOKUP(H239,Artikel!$A:$E,4,FALSE)&amp;")",""))</f>
        <v/>
      </c>
      <c r="K239" s="5" t="n"/>
      <c r="L239" s="7">
        <f>IF(H239="","",IFERROR(VLOOKUP(H239,Artikel!$A:$E,5,FALSE),""))</f>
        <v/>
      </c>
      <c r="M239" s="5" t="n"/>
      <c r="N239" s="5" t="n"/>
      <c r="O239" s="5" t="n"/>
      <c r="P239" s="8" t="n"/>
    </row>
    <row r="240">
      <c r="A240" s="4" t="n"/>
      <c r="B240" s="5" t="n"/>
      <c r="C240" s="5" t="n"/>
      <c r="D240" s="5" t="n"/>
      <c r="E240" s="5" t="n"/>
      <c r="F240" s="5" t="n"/>
      <c r="G240" s="5" t="n"/>
      <c r="H240" s="5" t="n"/>
      <c r="I240" s="6">
        <f>IF(H240="","",IFERROR(VLOOKUP(H240,Artikel!$A:$E,2,FALSE),"? Nummer prüfen"))</f>
        <v/>
      </c>
      <c r="J240" s="6">
        <f>IF(H240="","",IFERROR(VLOOKUP(H240,Artikel!$A:$E,3,FALSE)&amp;" ("&amp;VLOOKUP(H240,Artikel!$A:$E,4,FALSE)&amp;")",""))</f>
        <v/>
      </c>
      <c r="K240" s="5" t="n"/>
      <c r="L240" s="7">
        <f>IF(H240="","",IFERROR(VLOOKUP(H240,Artikel!$A:$E,5,FALSE),""))</f>
        <v/>
      </c>
      <c r="M240" s="5" t="n"/>
      <c r="N240" s="5" t="n"/>
      <c r="O240" s="5" t="n"/>
      <c r="P240" s="8" t="n"/>
    </row>
    <row r="241">
      <c r="A241" s="4" t="n"/>
      <c r="B241" s="5" t="n"/>
      <c r="C241" s="5" t="n"/>
      <c r="D241" s="5" t="n"/>
      <c r="E241" s="5" t="n"/>
      <c r="F241" s="5" t="n"/>
      <c r="G241" s="5" t="n"/>
      <c r="H241" s="5" t="n"/>
      <c r="I241" s="6">
        <f>IF(H241="","",IFERROR(VLOOKUP(H241,Artikel!$A:$E,2,FALSE),"? Nummer prüfen"))</f>
        <v/>
      </c>
      <c r="J241" s="6">
        <f>IF(H241="","",IFERROR(VLOOKUP(H241,Artikel!$A:$E,3,FALSE)&amp;" ("&amp;VLOOKUP(H241,Artikel!$A:$E,4,FALSE)&amp;")",""))</f>
        <v/>
      </c>
      <c r="K241" s="5" t="n"/>
      <c r="L241" s="7">
        <f>IF(H241="","",IFERROR(VLOOKUP(H241,Artikel!$A:$E,5,FALSE),""))</f>
        <v/>
      </c>
      <c r="M241" s="5" t="n"/>
      <c r="N241" s="5" t="n"/>
      <c r="O241" s="5" t="n"/>
      <c r="P241" s="8" t="n"/>
    </row>
    <row r="242">
      <c r="A242" s="4" t="n"/>
      <c r="B242" s="5" t="n"/>
      <c r="C242" s="5" t="n"/>
      <c r="D242" s="5" t="n"/>
      <c r="E242" s="5" t="n"/>
      <c r="F242" s="5" t="n"/>
      <c r="G242" s="5" t="n"/>
      <c r="H242" s="5" t="n"/>
      <c r="I242" s="6">
        <f>IF(H242="","",IFERROR(VLOOKUP(H242,Artikel!$A:$E,2,FALSE),"? Nummer prüfen"))</f>
        <v/>
      </c>
      <c r="J242" s="6">
        <f>IF(H242="","",IFERROR(VLOOKUP(H242,Artikel!$A:$E,3,FALSE)&amp;" ("&amp;VLOOKUP(H242,Artikel!$A:$E,4,FALSE)&amp;")",""))</f>
        <v/>
      </c>
      <c r="K242" s="5" t="n"/>
      <c r="L242" s="7">
        <f>IF(H242="","",IFERROR(VLOOKUP(H242,Artikel!$A:$E,5,FALSE),""))</f>
        <v/>
      </c>
      <c r="M242" s="5" t="n"/>
      <c r="N242" s="5" t="n"/>
      <c r="O242" s="5" t="n"/>
      <c r="P242" s="8" t="n"/>
    </row>
    <row r="243">
      <c r="A243" s="4" t="n"/>
      <c r="B243" s="5" t="n"/>
      <c r="C243" s="5" t="n"/>
      <c r="D243" s="5" t="n"/>
      <c r="E243" s="5" t="n"/>
      <c r="F243" s="5" t="n"/>
      <c r="G243" s="5" t="n"/>
      <c r="H243" s="5" t="n"/>
      <c r="I243" s="6">
        <f>IF(H243="","",IFERROR(VLOOKUP(H243,Artikel!$A:$E,2,FALSE),"? Nummer prüfen"))</f>
        <v/>
      </c>
      <c r="J243" s="6">
        <f>IF(H243="","",IFERROR(VLOOKUP(H243,Artikel!$A:$E,3,FALSE)&amp;" ("&amp;VLOOKUP(H243,Artikel!$A:$E,4,FALSE)&amp;")",""))</f>
        <v/>
      </c>
      <c r="K243" s="5" t="n"/>
      <c r="L243" s="7">
        <f>IF(H243="","",IFERROR(VLOOKUP(H243,Artikel!$A:$E,5,FALSE),""))</f>
        <v/>
      </c>
      <c r="M243" s="5" t="n"/>
      <c r="N243" s="5" t="n"/>
      <c r="O243" s="5" t="n"/>
      <c r="P243" s="8" t="n"/>
    </row>
    <row r="244">
      <c r="A244" s="4" t="n"/>
      <c r="B244" s="5" t="n"/>
      <c r="C244" s="5" t="n"/>
      <c r="D244" s="5" t="n"/>
      <c r="E244" s="5" t="n"/>
      <c r="F244" s="5" t="n"/>
      <c r="G244" s="5" t="n"/>
      <c r="H244" s="5" t="n"/>
      <c r="I244" s="6">
        <f>IF(H244="","",IFERROR(VLOOKUP(H244,Artikel!$A:$E,2,FALSE),"? Nummer prüfen"))</f>
        <v/>
      </c>
      <c r="J244" s="6">
        <f>IF(H244="","",IFERROR(VLOOKUP(H244,Artikel!$A:$E,3,FALSE)&amp;" ("&amp;VLOOKUP(H244,Artikel!$A:$E,4,FALSE)&amp;")",""))</f>
        <v/>
      </c>
      <c r="K244" s="5" t="n"/>
      <c r="L244" s="7">
        <f>IF(H244="","",IFERROR(VLOOKUP(H244,Artikel!$A:$E,5,FALSE),""))</f>
        <v/>
      </c>
      <c r="M244" s="5" t="n"/>
      <c r="N244" s="5" t="n"/>
      <c r="O244" s="5" t="n"/>
      <c r="P244" s="8" t="n"/>
    </row>
    <row r="245">
      <c r="A245" s="4" t="n"/>
      <c r="B245" s="5" t="n"/>
      <c r="C245" s="5" t="n"/>
      <c r="D245" s="5" t="n"/>
      <c r="E245" s="5" t="n"/>
      <c r="F245" s="5" t="n"/>
      <c r="G245" s="5" t="n"/>
      <c r="H245" s="5" t="n"/>
      <c r="I245" s="6">
        <f>IF(H245="","",IFERROR(VLOOKUP(H245,Artikel!$A:$E,2,FALSE),"? Nummer prüfen"))</f>
        <v/>
      </c>
      <c r="J245" s="6">
        <f>IF(H245="","",IFERROR(VLOOKUP(H245,Artikel!$A:$E,3,FALSE)&amp;" ("&amp;VLOOKUP(H245,Artikel!$A:$E,4,FALSE)&amp;")",""))</f>
        <v/>
      </c>
      <c r="K245" s="5" t="n"/>
      <c r="L245" s="7">
        <f>IF(H245="","",IFERROR(VLOOKUP(H245,Artikel!$A:$E,5,FALSE),""))</f>
        <v/>
      </c>
      <c r="M245" s="5" t="n"/>
      <c r="N245" s="5" t="n"/>
      <c r="O245" s="5" t="n"/>
      <c r="P245" s="8" t="n"/>
    </row>
    <row r="246">
      <c r="A246" s="4" t="n"/>
      <c r="B246" s="5" t="n"/>
      <c r="C246" s="5" t="n"/>
      <c r="D246" s="5" t="n"/>
      <c r="E246" s="5" t="n"/>
      <c r="F246" s="5" t="n"/>
      <c r="G246" s="5" t="n"/>
      <c r="H246" s="5" t="n"/>
      <c r="I246" s="6">
        <f>IF(H246="","",IFERROR(VLOOKUP(H246,Artikel!$A:$E,2,FALSE),"? Nummer prüfen"))</f>
        <v/>
      </c>
      <c r="J246" s="6">
        <f>IF(H246="","",IFERROR(VLOOKUP(H246,Artikel!$A:$E,3,FALSE)&amp;" ("&amp;VLOOKUP(H246,Artikel!$A:$E,4,FALSE)&amp;")",""))</f>
        <v/>
      </c>
      <c r="K246" s="5" t="n"/>
      <c r="L246" s="7">
        <f>IF(H246="","",IFERROR(VLOOKUP(H246,Artikel!$A:$E,5,FALSE),""))</f>
        <v/>
      </c>
      <c r="M246" s="5" t="n"/>
      <c r="N246" s="5" t="n"/>
      <c r="O246" s="5" t="n"/>
      <c r="P246" s="8" t="n"/>
    </row>
    <row r="247">
      <c r="A247" s="4" t="n"/>
      <c r="B247" s="5" t="n"/>
      <c r="C247" s="5" t="n"/>
      <c r="D247" s="5" t="n"/>
      <c r="E247" s="5" t="n"/>
      <c r="F247" s="5" t="n"/>
      <c r="G247" s="5" t="n"/>
      <c r="H247" s="5" t="n"/>
      <c r="I247" s="6">
        <f>IF(H247="","",IFERROR(VLOOKUP(H247,Artikel!$A:$E,2,FALSE),"? Nummer prüfen"))</f>
        <v/>
      </c>
      <c r="J247" s="6">
        <f>IF(H247="","",IFERROR(VLOOKUP(H247,Artikel!$A:$E,3,FALSE)&amp;" ("&amp;VLOOKUP(H247,Artikel!$A:$E,4,FALSE)&amp;")",""))</f>
        <v/>
      </c>
      <c r="K247" s="5" t="n"/>
      <c r="L247" s="7">
        <f>IF(H247="","",IFERROR(VLOOKUP(H247,Artikel!$A:$E,5,FALSE),""))</f>
        <v/>
      </c>
      <c r="M247" s="5" t="n"/>
      <c r="N247" s="5" t="n"/>
      <c r="O247" s="5" t="n"/>
      <c r="P247" s="8" t="n"/>
    </row>
    <row r="248">
      <c r="A248" s="4" t="n"/>
      <c r="B248" s="5" t="n"/>
      <c r="C248" s="5" t="n"/>
      <c r="D248" s="5" t="n"/>
      <c r="E248" s="5" t="n"/>
      <c r="F248" s="5" t="n"/>
      <c r="G248" s="5" t="n"/>
      <c r="H248" s="5" t="n"/>
      <c r="I248" s="6">
        <f>IF(H248="","",IFERROR(VLOOKUP(H248,Artikel!$A:$E,2,FALSE),"? Nummer prüfen"))</f>
        <v/>
      </c>
      <c r="J248" s="6">
        <f>IF(H248="","",IFERROR(VLOOKUP(H248,Artikel!$A:$E,3,FALSE)&amp;" ("&amp;VLOOKUP(H248,Artikel!$A:$E,4,FALSE)&amp;")",""))</f>
        <v/>
      </c>
      <c r="K248" s="5" t="n"/>
      <c r="L248" s="7">
        <f>IF(H248="","",IFERROR(VLOOKUP(H248,Artikel!$A:$E,5,FALSE),""))</f>
        <v/>
      </c>
      <c r="M248" s="5" t="n"/>
      <c r="N248" s="5" t="n"/>
      <c r="O248" s="5" t="n"/>
      <c r="P248" s="8" t="n"/>
    </row>
    <row r="249">
      <c r="A249" s="4" t="n"/>
      <c r="B249" s="5" t="n"/>
      <c r="C249" s="5" t="n"/>
      <c r="D249" s="5" t="n"/>
      <c r="E249" s="5" t="n"/>
      <c r="F249" s="5" t="n"/>
      <c r="G249" s="5" t="n"/>
      <c r="H249" s="5" t="n"/>
      <c r="I249" s="6">
        <f>IF(H249="","",IFERROR(VLOOKUP(H249,Artikel!$A:$E,2,FALSE),"? Nummer prüfen"))</f>
        <v/>
      </c>
      <c r="J249" s="6">
        <f>IF(H249="","",IFERROR(VLOOKUP(H249,Artikel!$A:$E,3,FALSE)&amp;" ("&amp;VLOOKUP(H249,Artikel!$A:$E,4,FALSE)&amp;")",""))</f>
        <v/>
      </c>
      <c r="K249" s="5" t="n"/>
      <c r="L249" s="7">
        <f>IF(H249="","",IFERROR(VLOOKUP(H249,Artikel!$A:$E,5,FALSE),""))</f>
        <v/>
      </c>
      <c r="M249" s="5" t="n"/>
      <c r="N249" s="5" t="n"/>
      <c r="O249" s="5" t="n"/>
      <c r="P249" s="8" t="n"/>
    </row>
    <row r="250">
      <c r="A250" s="4" t="n"/>
      <c r="B250" s="5" t="n"/>
      <c r="C250" s="5" t="n"/>
      <c r="D250" s="5" t="n"/>
      <c r="E250" s="5" t="n"/>
      <c r="F250" s="5" t="n"/>
      <c r="G250" s="5" t="n"/>
      <c r="H250" s="5" t="n"/>
      <c r="I250" s="6">
        <f>IF(H250="","",IFERROR(VLOOKUP(H250,Artikel!$A:$E,2,FALSE),"? Nummer prüfen"))</f>
        <v/>
      </c>
      <c r="J250" s="6">
        <f>IF(H250="","",IFERROR(VLOOKUP(H250,Artikel!$A:$E,3,FALSE)&amp;" ("&amp;VLOOKUP(H250,Artikel!$A:$E,4,FALSE)&amp;")",""))</f>
        <v/>
      </c>
      <c r="K250" s="5" t="n"/>
      <c r="L250" s="7">
        <f>IF(H250="","",IFERROR(VLOOKUP(H250,Artikel!$A:$E,5,FALSE),""))</f>
        <v/>
      </c>
      <c r="M250" s="5" t="n"/>
      <c r="N250" s="5" t="n"/>
      <c r="O250" s="5" t="n"/>
      <c r="P250" s="8" t="n"/>
    </row>
    <row r="251">
      <c r="A251" s="4" t="n"/>
      <c r="B251" s="5" t="n"/>
      <c r="C251" s="5" t="n"/>
      <c r="D251" s="5" t="n"/>
      <c r="E251" s="5" t="n"/>
      <c r="F251" s="5" t="n"/>
      <c r="G251" s="5" t="n"/>
      <c r="H251" s="5" t="n"/>
      <c r="I251" s="6">
        <f>IF(H251="","",IFERROR(VLOOKUP(H251,Artikel!$A:$E,2,FALSE),"? Nummer prüfen"))</f>
        <v/>
      </c>
      <c r="J251" s="6">
        <f>IF(H251="","",IFERROR(VLOOKUP(H251,Artikel!$A:$E,3,FALSE)&amp;" ("&amp;VLOOKUP(H251,Artikel!$A:$E,4,FALSE)&amp;")",""))</f>
        <v/>
      </c>
      <c r="K251" s="5" t="n"/>
      <c r="L251" s="7">
        <f>IF(H251="","",IFERROR(VLOOKUP(H251,Artikel!$A:$E,5,FALSE),""))</f>
        <v/>
      </c>
      <c r="M251" s="5" t="n"/>
      <c r="N251" s="5" t="n"/>
      <c r="O251" s="5" t="n"/>
      <c r="P251" s="8" t="n"/>
    </row>
    <row r="252">
      <c r="A252" s="4" t="n"/>
      <c r="B252" s="5" t="n"/>
      <c r="C252" s="5" t="n"/>
      <c r="D252" s="5" t="n"/>
      <c r="E252" s="5" t="n"/>
      <c r="F252" s="5" t="n"/>
      <c r="G252" s="5" t="n"/>
      <c r="H252" s="5" t="n"/>
      <c r="I252" s="6">
        <f>IF(H252="","",IFERROR(VLOOKUP(H252,Artikel!$A:$E,2,FALSE),"? Nummer prüfen"))</f>
        <v/>
      </c>
      <c r="J252" s="6">
        <f>IF(H252="","",IFERROR(VLOOKUP(H252,Artikel!$A:$E,3,FALSE)&amp;" ("&amp;VLOOKUP(H252,Artikel!$A:$E,4,FALSE)&amp;")",""))</f>
        <v/>
      </c>
      <c r="K252" s="5" t="n"/>
      <c r="L252" s="7">
        <f>IF(H252="","",IFERROR(VLOOKUP(H252,Artikel!$A:$E,5,FALSE),""))</f>
        <v/>
      </c>
      <c r="M252" s="5" t="n"/>
      <c r="N252" s="5" t="n"/>
      <c r="O252" s="5" t="n"/>
      <c r="P252" s="8" t="n"/>
    </row>
    <row r="253">
      <c r="A253" s="4" t="n"/>
      <c r="B253" s="5" t="n"/>
      <c r="C253" s="5" t="n"/>
      <c r="D253" s="5" t="n"/>
      <c r="E253" s="5" t="n"/>
      <c r="F253" s="5" t="n"/>
      <c r="G253" s="5" t="n"/>
      <c r="H253" s="5" t="n"/>
      <c r="I253" s="6">
        <f>IF(H253="","",IFERROR(VLOOKUP(H253,Artikel!$A:$E,2,FALSE),"? Nummer prüfen"))</f>
        <v/>
      </c>
      <c r="J253" s="6">
        <f>IF(H253="","",IFERROR(VLOOKUP(H253,Artikel!$A:$E,3,FALSE)&amp;" ("&amp;VLOOKUP(H253,Artikel!$A:$E,4,FALSE)&amp;")",""))</f>
        <v/>
      </c>
      <c r="K253" s="5" t="n"/>
      <c r="L253" s="7">
        <f>IF(H253="","",IFERROR(VLOOKUP(H253,Artikel!$A:$E,5,FALSE),""))</f>
        <v/>
      </c>
      <c r="M253" s="5" t="n"/>
      <c r="N253" s="5" t="n"/>
      <c r="O253" s="5" t="n"/>
      <c r="P253" s="8" t="n"/>
    </row>
    <row r="254">
      <c r="A254" s="4" t="n"/>
      <c r="B254" s="5" t="n"/>
      <c r="C254" s="5" t="n"/>
      <c r="D254" s="5" t="n"/>
      <c r="E254" s="5" t="n"/>
      <c r="F254" s="5" t="n"/>
      <c r="G254" s="5" t="n"/>
      <c r="H254" s="5" t="n"/>
      <c r="I254" s="6">
        <f>IF(H254="","",IFERROR(VLOOKUP(H254,Artikel!$A:$E,2,FALSE),"? Nummer prüfen"))</f>
        <v/>
      </c>
      <c r="J254" s="6">
        <f>IF(H254="","",IFERROR(VLOOKUP(H254,Artikel!$A:$E,3,FALSE)&amp;" ("&amp;VLOOKUP(H254,Artikel!$A:$E,4,FALSE)&amp;")",""))</f>
        <v/>
      </c>
      <c r="K254" s="5" t="n"/>
      <c r="L254" s="7">
        <f>IF(H254="","",IFERROR(VLOOKUP(H254,Artikel!$A:$E,5,FALSE),""))</f>
        <v/>
      </c>
      <c r="M254" s="5" t="n"/>
      <c r="N254" s="5" t="n"/>
      <c r="O254" s="5" t="n"/>
      <c r="P254" s="8" t="n"/>
    </row>
    <row r="255">
      <c r="A255" s="4" t="n"/>
      <c r="B255" s="5" t="n"/>
      <c r="C255" s="5" t="n"/>
      <c r="D255" s="5" t="n"/>
      <c r="E255" s="5" t="n"/>
      <c r="F255" s="5" t="n"/>
      <c r="G255" s="5" t="n"/>
      <c r="H255" s="5" t="n"/>
      <c r="I255" s="6">
        <f>IF(H255="","",IFERROR(VLOOKUP(H255,Artikel!$A:$E,2,FALSE),"? Nummer prüfen"))</f>
        <v/>
      </c>
      <c r="J255" s="6">
        <f>IF(H255="","",IFERROR(VLOOKUP(H255,Artikel!$A:$E,3,FALSE)&amp;" ("&amp;VLOOKUP(H255,Artikel!$A:$E,4,FALSE)&amp;")",""))</f>
        <v/>
      </c>
      <c r="K255" s="5" t="n"/>
      <c r="L255" s="7">
        <f>IF(H255="","",IFERROR(VLOOKUP(H255,Artikel!$A:$E,5,FALSE),""))</f>
        <v/>
      </c>
      <c r="M255" s="5" t="n"/>
      <c r="N255" s="5" t="n"/>
      <c r="O255" s="5" t="n"/>
      <c r="P255" s="8" t="n"/>
    </row>
    <row r="256">
      <c r="A256" s="4" t="n"/>
      <c r="B256" s="5" t="n"/>
      <c r="C256" s="5" t="n"/>
      <c r="D256" s="5" t="n"/>
      <c r="E256" s="5" t="n"/>
      <c r="F256" s="5" t="n"/>
      <c r="G256" s="5" t="n"/>
      <c r="H256" s="5" t="n"/>
      <c r="I256" s="6">
        <f>IF(H256="","",IFERROR(VLOOKUP(H256,Artikel!$A:$E,2,FALSE),"? Nummer prüfen"))</f>
        <v/>
      </c>
      <c r="J256" s="6">
        <f>IF(H256="","",IFERROR(VLOOKUP(H256,Artikel!$A:$E,3,FALSE)&amp;" ("&amp;VLOOKUP(H256,Artikel!$A:$E,4,FALSE)&amp;")",""))</f>
        <v/>
      </c>
      <c r="K256" s="5" t="n"/>
      <c r="L256" s="7">
        <f>IF(H256="","",IFERROR(VLOOKUP(H256,Artikel!$A:$E,5,FALSE),""))</f>
        <v/>
      </c>
      <c r="M256" s="5" t="n"/>
      <c r="N256" s="5" t="n"/>
      <c r="O256" s="5" t="n"/>
      <c r="P256" s="8" t="n"/>
    </row>
    <row r="257">
      <c r="A257" s="4" t="n"/>
      <c r="B257" s="5" t="n"/>
      <c r="C257" s="5" t="n"/>
      <c r="D257" s="5" t="n"/>
      <c r="E257" s="5" t="n"/>
      <c r="F257" s="5" t="n"/>
      <c r="G257" s="5" t="n"/>
      <c r="H257" s="5" t="n"/>
      <c r="I257" s="6">
        <f>IF(H257="","",IFERROR(VLOOKUP(H257,Artikel!$A:$E,2,FALSE),"? Nummer prüfen"))</f>
        <v/>
      </c>
      <c r="J257" s="6">
        <f>IF(H257="","",IFERROR(VLOOKUP(H257,Artikel!$A:$E,3,FALSE)&amp;" ("&amp;VLOOKUP(H257,Artikel!$A:$E,4,FALSE)&amp;")",""))</f>
        <v/>
      </c>
      <c r="K257" s="5" t="n"/>
      <c r="L257" s="7">
        <f>IF(H257="","",IFERROR(VLOOKUP(H257,Artikel!$A:$E,5,FALSE),""))</f>
        <v/>
      </c>
      <c r="M257" s="5" t="n"/>
      <c r="N257" s="5" t="n"/>
      <c r="O257" s="5" t="n"/>
      <c r="P257" s="8" t="n"/>
    </row>
    <row r="258">
      <c r="A258" s="4" t="n"/>
      <c r="B258" s="5" t="n"/>
      <c r="C258" s="5" t="n"/>
      <c r="D258" s="5" t="n"/>
      <c r="E258" s="5" t="n"/>
      <c r="F258" s="5" t="n"/>
      <c r="G258" s="5" t="n"/>
      <c r="H258" s="5" t="n"/>
      <c r="I258" s="6">
        <f>IF(H258="","",IFERROR(VLOOKUP(H258,Artikel!$A:$E,2,FALSE),"? Nummer prüfen"))</f>
        <v/>
      </c>
      <c r="J258" s="6">
        <f>IF(H258="","",IFERROR(VLOOKUP(H258,Artikel!$A:$E,3,FALSE)&amp;" ("&amp;VLOOKUP(H258,Artikel!$A:$E,4,FALSE)&amp;")",""))</f>
        <v/>
      </c>
      <c r="K258" s="5" t="n"/>
      <c r="L258" s="7">
        <f>IF(H258="","",IFERROR(VLOOKUP(H258,Artikel!$A:$E,5,FALSE),""))</f>
        <v/>
      </c>
      <c r="M258" s="5" t="n"/>
      <c r="N258" s="5" t="n"/>
      <c r="O258" s="5" t="n"/>
      <c r="P258" s="8" t="n"/>
    </row>
    <row r="259">
      <c r="A259" s="4" t="n"/>
      <c r="B259" s="5" t="n"/>
      <c r="C259" s="5" t="n"/>
      <c r="D259" s="5" t="n"/>
      <c r="E259" s="5" t="n"/>
      <c r="F259" s="5" t="n"/>
      <c r="G259" s="5" t="n"/>
      <c r="H259" s="5" t="n"/>
      <c r="I259" s="6">
        <f>IF(H259="","",IFERROR(VLOOKUP(H259,Artikel!$A:$E,2,FALSE),"? Nummer prüfen"))</f>
        <v/>
      </c>
      <c r="J259" s="6">
        <f>IF(H259="","",IFERROR(VLOOKUP(H259,Artikel!$A:$E,3,FALSE)&amp;" ("&amp;VLOOKUP(H259,Artikel!$A:$E,4,FALSE)&amp;")",""))</f>
        <v/>
      </c>
      <c r="K259" s="5" t="n"/>
      <c r="L259" s="7">
        <f>IF(H259="","",IFERROR(VLOOKUP(H259,Artikel!$A:$E,5,FALSE),""))</f>
        <v/>
      </c>
      <c r="M259" s="5" t="n"/>
      <c r="N259" s="5" t="n"/>
      <c r="O259" s="5" t="n"/>
      <c r="P259" s="8" t="n"/>
    </row>
    <row r="260">
      <c r="A260" s="4" t="n"/>
      <c r="B260" s="5" t="n"/>
      <c r="C260" s="5" t="n"/>
      <c r="D260" s="5" t="n"/>
      <c r="E260" s="5" t="n"/>
      <c r="F260" s="5" t="n"/>
      <c r="G260" s="5" t="n"/>
      <c r="H260" s="5" t="n"/>
      <c r="I260" s="6">
        <f>IF(H260="","",IFERROR(VLOOKUP(H260,Artikel!$A:$E,2,FALSE),"? Nummer prüfen"))</f>
        <v/>
      </c>
      <c r="J260" s="6">
        <f>IF(H260="","",IFERROR(VLOOKUP(H260,Artikel!$A:$E,3,FALSE)&amp;" ("&amp;VLOOKUP(H260,Artikel!$A:$E,4,FALSE)&amp;")",""))</f>
        <v/>
      </c>
      <c r="K260" s="5" t="n"/>
      <c r="L260" s="7">
        <f>IF(H260="","",IFERROR(VLOOKUP(H260,Artikel!$A:$E,5,FALSE),""))</f>
        <v/>
      </c>
      <c r="M260" s="5" t="n"/>
      <c r="N260" s="5" t="n"/>
      <c r="O260" s="5" t="n"/>
      <c r="P260" s="8" t="n"/>
    </row>
    <row r="261">
      <c r="A261" s="4" t="n"/>
      <c r="B261" s="5" t="n"/>
      <c r="C261" s="5" t="n"/>
      <c r="D261" s="5" t="n"/>
      <c r="E261" s="5" t="n"/>
      <c r="F261" s="5" t="n"/>
      <c r="G261" s="5" t="n"/>
      <c r="H261" s="5" t="n"/>
      <c r="I261" s="6">
        <f>IF(H261="","",IFERROR(VLOOKUP(H261,Artikel!$A:$E,2,FALSE),"? Nummer prüfen"))</f>
        <v/>
      </c>
      <c r="J261" s="6">
        <f>IF(H261="","",IFERROR(VLOOKUP(H261,Artikel!$A:$E,3,FALSE)&amp;" ("&amp;VLOOKUP(H261,Artikel!$A:$E,4,FALSE)&amp;")",""))</f>
        <v/>
      </c>
      <c r="K261" s="5" t="n"/>
      <c r="L261" s="7">
        <f>IF(H261="","",IFERROR(VLOOKUP(H261,Artikel!$A:$E,5,FALSE),""))</f>
        <v/>
      </c>
      <c r="M261" s="5" t="n"/>
      <c r="N261" s="5" t="n"/>
      <c r="O261" s="5" t="n"/>
      <c r="P261" s="8" t="n"/>
    </row>
    <row r="262">
      <c r="A262" s="4" t="n"/>
      <c r="B262" s="5" t="n"/>
      <c r="C262" s="5" t="n"/>
      <c r="D262" s="5" t="n"/>
      <c r="E262" s="5" t="n"/>
      <c r="F262" s="5" t="n"/>
      <c r="G262" s="5" t="n"/>
      <c r="H262" s="5" t="n"/>
      <c r="I262" s="6">
        <f>IF(H262="","",IFERROR(VLOOKUP(H262,Artikel!$A:$E,2,FALSE),"? Nummer prüfen"))</f>
        <v/>
      </c>
      <c r="J262" s="6">
        <f>IF(H262="","",IFERROR(VLOOKUP(H262,Artikel!$A:$E,3,FALSE)&amp;" ("&amp;VLOOKUP(H262,Artikel!$A:$E,4,FALSE)&amp;")",""))</f>
        <v/>
      </c>
      <c r="K262" s="5" t="n"/>
      <c r="L262" s="7">
        <f>IF(H262="","",IFERROR(VLOOKUP(H262,Artikel!$A:$E,5,FALSE),""))</f>
        <v/>
      </c>
      <c r="M262" s="5" t="n"/>
      <c r="N262" s="5" t="n"/>
      <c r="O262" s="5" t="n"/>
      <c r="P262" s="8" t="n"/>
    </row>
    <row r="263">
      <c r="A263" s="4" t="n"/>
      <c r="B263" s="5" t="n"/>
      <c r="C263" s="5" t="n"/>
      <c r="D263" s="5" t="n"/>
      <c r="E263" s="5" t="n"/>
      <c r="F263" s="5" t="n"/>
      <c r="G263" s="5" t="n"/>
      <c r="H263" s="5" t="n"/>
      <c r="I263" s="6">
        <f>IF(H263="","",IFERROR(VLOOKUP(H263,Artikel!$A:$E,2,FALSE),"? Nummer prüfen"))</f>
        <v/>
      </c>
      <c r="J263" s="6">
        <f>IF(H263="","",IFERROR(VLOOKUP(H263,Artikel!$A:$E,3,FALSE)&amp;" ("&amp;VLOOKUP(H263,Artikel!$A:$E,4,FALSE)&amp;")",""))</f>
        <v/>
      </c>
      <c r="K263" s="5" t="n"/>
      <c r="L263" s="7">
        <f>IF(H263="","",IFERROR(VLOOKUP(H263,Artikel!$A:$E,5,FALSE),""))</f>
        <v/>
      </c>
      <c r="M263" s="5" t="n"/>
      <c r="N263" s="5" t="n"/>
      <c r="O263" s="5" t="n"/>
      <c r="P263" s="8" t="n"/>
    </row>
    <row r="264">
      <c r="A264" s="4" t="n"/>
      <c r="B264" s="5" t="n"/>
      <c r="C264" s="5" t="n"/>
      <c r="D264" s="5" t="n"/>
      <c r="E264" s="5" t="n"/>
      <c r="F264" s="5" t="n"/>
      <c r="G264" s="5" t="n"/>
      <c r="H264" s="5" t="n"/>
      <c r="I264" s="6">
        <f>IF(H264="","",IFERROR(VLOOKUP(H264,Artikel!$A:$E,2,FALSE),"? Nummer prüfen"))</f>
        <v/>
      </c>
      <c r="J264" s="6">
        <f>IF(H264="","",IFERROR(VLOOKUP(H264,Artikel!$A:$E,3,FALSE)&amp;" ("&amp;VLOOKUP(H264,Artikel!$A:$E,4,FALSE)&amp;")",""))</f>
        <v/>
      </c>
      <c r="K264" s="5" t="n"/>
      <c r="L264" s="7">
        <f>IF(H264="","",IFERROR(VLOOKUP(H264,Artikel!$A:$E,5,FALSE),""))</f>
        <v/>
      </c>
      <c r="M264" s="5" t="n"/>
      <c r="N264" s="5" t="n"/>
      <c r="O264" s="5" t="n"/>
      <c r="P264" s="8" t="n"/>
    </row>
    <row r="265">
      <c r="A265" s="4" t="n"/>
      <c r="B265" s="5" t="n"/>
      <c r="C265" s="5" t="n"/>
      <c r="D265" s="5" t="n"/>
      <c r="E265" s="5" t="n"/>
      <c r="F265" s="5" t="n"/>
      <c r="G265" s="5" t="n"/>
      <c r="H265" s="5" t="n"/>
      <c r="I265" s="6">
        <f>IF(H265="","",IFERROR(VLOOKUP(H265,Artikel!$A:$E,2,FALSE),"? Nummer prüfen"))</f>
        <v/>
      </c>
      <c r="J265" s="6">
        <f>IF(H265="","",IFERROR(VLOOKUP(H265,Artikel!$A:$E,3,FALSE)&amp;" ("&amp;VLOOKUP(H265,Artikel!$A:$E,4,FALSE)&amp;")",""))</f>
        <v/>
      </c>
      <c r="K265" s="5" t="n"/>
      <c r="L265" s="7">
        <f>IF(H265="","",IFERROR(VLOOKUP(H265,Artikel!$A:$E,5,FALSE),""))</f>
        <v/>
      </c>
      <c r="M265" s="5" t="n"/>
      <c r="N265" s="5" t="n"/>
      <c r="O265" s="5" t="n"/>
      <c r="P265" s="8" t="n"/>
    </row>
    <row r="266">
      <c r="A266" s="4" t="n"/>
      <c r="B266" s="5" t="n"/>
      <c r="C266" s="5" t="n"/>
      <c r="D266" s="5" t="n"/>
      <c r="E266" s="5" t="n"/>
      <c r="F266" s="5" t="n"/>
      <c r="G266" s="5" t="n"/>
      <c r="H266" s="5" t="n"/>
      <c r="I266" s="6">
        <f>IF(H266="","",IFERROR(VLOOKUP(H266,Artikel!$A:$E,2,FALSE),"? Nummer prüfen"))</f>
        <v/>
      </c>
      <c r="J266" s="6">
        <f>IF(H266="","",IFERROR(VLOOKUP(H266,Artikel!$A:$E,3,FALSE)&amp;" ("&amp;VLOOKUP(H266,Artikel!$A:$E,4,FALSE)&amp;")",""))</f>
        <v/>
      </c>
      <c r="K266" s="5" t="n"/>
      <c r="L266" s="7">
        <f>IF(H266="","",IFERROR(VLOOKUP(H266,Artikel!$A:$E,5,FALSE),""))</f>
        <v/>
      </c>
      <c r="M266" s="5" t="n"/>
      <c r="N266" s="5" t="n"/>
      <c r="O266" s="5" t="n"/>
      <c r="P266" s="8" t="n"/>
    </row>
    <row r="267">
      <c r="A267" s="4" t="n"/>
      <c r="B267" s="5" t="n"/>
      <c r="C267" s="5" t="n"/>
      <c r="D267" s="5" t="n"/>
      <c r="E267" s="5" t="n"/>
      <c r="F267" s="5" t="n"/>
      <c r="G267" s="5" t="n"/>
      <c r="H267" s="5" t="n"/>
      <c r="I267" s="6">
        <f>IF(H267="","",IFERROR(VLOOKUP(H267,Artikel!$A:$E,2,FALSE),"? Nummer prüfen"))</f>
        <v/>
      </c>
      <c r="J267" s="6">
        <f>IF(H267="","",IFERROR(VLOOKUP(H267,Artikel!$A:$E,3,FALSE)&amp;" ("&amp;VLOOKUP(H267,Artikel!$A:$E,4,FALSE)&amp;")",""))</f>
        <v/>
      </c>
      <c r="K267" s="5" t="n"/>
      <c r="L267" s="7">
        <f>IF(H267="","",IFERROR(VLOOKUP(H267,Artikel!$A:$E,5,FALSE),""))</f>
        <v/>
      </c>
      <c r="M267" s="5" t="n"/>
      <c r="N267" s="5" t="n"/>
      <c r="O267" s="5" t="n"/>
      <c r="P267" s="8" t="n"/>
    </row>
    <row r="268">
      <c r="A268" s="4" t="n"/>
      <c r="B268" s="5" t="n"/>
      <c r="C268" s="5" t="n"/>
      <c r="D268" s="5" t="n"/>
      <c r="E268" s="5" t="n"/>
      <c r="F268" s="5" t="n"/>
      <c r="G268" s="5" t="n"/>
      <c r="H268" s="5" t="n"/>
      <c r="I268" s="6">
        <f>IF(H268="","",IFERROR(VLOOKUP(H268,Artikel!$A:$E,2,FALSE),"? Nummer prüfen"))</f>
        <v/>
      </c>
      <c r="J268" s="6">
        <f>IF(H268="","",IFERROR(VLOOKUP(H268,Artikel!$A:$E,3,FALSE)&amp;" ("&amp;VLOOKUP(H268,Artikel!$A:$E,4,FALSE)&amp;")",""))</f>
        <v/>
      </c>
      <c r="K268" s="5" t="n"/>
      <c r="L268" s="7">
        <f>IF(H268="","",IFERROR(VLOOKUP(H268,Artikel!$A:$E,5,FALSE),""))</f>
        <v/>
      </c>
      <c r="M268" s="5" t="n"/>
      <c r="N268" s="5" t="n"/>
      <c r="O268" s="5" t="n"/>
      <c r="P268" s="8" t="n"/>
    </row>
    <row r="269">
      <c r="A269" s="4" t="n"/>
      <c r="B269" s="5" t="n"/>
      <c r="C269" s="5" t="n"/>
      <c r="D269" s="5" t="n"/>
      <c r="E269" s="5" t="n"/>
      <c r="F269" s="5" t="n"/>
      <c r="G269" s="5" t="n"/>
      <c r="H269" s="5" t="n"/>
      <c r="I269" s="6">
        <f>IF(H269="","",IFERROR(VLOOKUP(H269,Artikel!$A:$E,2,FALSE),"? Nummer prüfen"))</f>
        <v/>
      </c>
      <c r="J269" s="6">
        <f>IF(H269="","",IFERROR(VLOOKUP(H269,Artikel!$A:$E,3,FALSE)&amp;" ("&amp;VLOOKUP(H269,Artikel!$A:$E,4,FALSE)&amp;")",""))</f>
        <v/>
      </c>
      <c r="K269" s="5" t="n"/>
      <c r="L269" s="7">
        <f>IF(H269="","",IFERROR(VLOOKUP(H269,Artikel!$A:$E,5,FALSE),""))</f>
        <v/>
      </c>
      <c r="M269" s="5" t="n"/>
      <c r="N269" s="5" t="n"/>
      <c r="O269" s="5" t="n"/>
      <c r="P269" s="8" t="n"/>
    </row>
    <row r="270">
      <c r="A270" s="4" t="n"/>
      <c r="B270" s="5" t="n"/>
      <c r="C270" s="5" t="n"/>
      <c r="D270" s="5" t="n"/>
      <c r="E270" s="5" t="n"/>
      <c r="F270" s="5" t="n"/>
      <c r="G270" s="5" t="n"/>
      <c r="H270" s="5" t="n"/>
      <c r="I270" s="6">
        <f>IF(H270="","",IFERROR(VLOOKUP(H270,Artikel!$A:$E,2,FALSE),"? Nummer prüfen"))</f>
        <v/>
      </c>
      <c r="J270" s="6">
        <f>IF(H270="","",IFERROR(VLOOKUP(H270,Artikel!$A:$E,3,FALSE)&amp;" ("&amp;VLOOKUP(H270,Artikel!$A:$E,4,FALSE)&amp;")",""))</f>
        <v/>
      </c>
      <c r="K270" s="5" t="n"/>
      <c r="L270" s="7">
        <f>IF(H270="","",IFERROR(VLOOKUP(H270,Artikel!$A:$E,5,FALSE),""))</f>
        <v/>
      </c>
      <c r="M270" s="5" t="n"/>
      <c r="N270" s="5" t="n"/>
      <c r="O270" s="5" t="n"/>
      <c r="P270" s="8" t="n"/>
    </row>
    <row r="271">
      <c r="A271" s="4" t="n"/>
      <c r="B271" s="5" t="n"/>
      <c r="C271" s="5" t="n"/>
      <c r="D271" s="5" t="n"/>
      <c r="E271" s="5" t="n"/>
      <c r="F271" s="5" t="n"/>
      <c r="G271" s="5" t="n"/>
      <c r="H271" s="5" t="n"/>
      <c r="I271" s="6">
        <f>IF(H271="","",IFERROR(VLOOKUP(H271,Artikel!$A:$E,2,FALSE),"? Nummer prüfen"))</f>
        <v/>
      </c>
      <c r="J271" s="6">
        <f>IF(H271="","",IFERROR(VLOOKUP(H271,Artikel!$A:$E,3,FALSE)&amp;" ("&amp;VLOOKUP(H271,Artikel!$A:$E,4,FALSE)&amp;")",""))</f>
        <v/>
      </c>
      <c r="K271" s="5" t="n"/>
      <c r="L271" s="7">
        <f>IF(H271="","",IFERROR(VLOOKUP(H271,Artikel!$A:$E,5,FALSE),""))</f>
        <v/>
      </c>
      <c r="M271" s="5" t="n"/>
      <c r="N271" s="5" t="n"/>
      <c r="O271" s="5" t="n"/>
      <c r="P271" s="8" t="n"/>
    </row>
    <row r="272">
      <c r="A272" s="4" t="n"/>
      <c r="B272" s="5" t="n"/>
      <c r="C272" s="5" t="n"/>
      <c r="D272" s="5" t="n"/>
      <c r="E272" s="5" t="n"/>
      <c r="F272" s="5" t="n"/>
      <c r="G272" s="5" t="n"/>
      <c r="H272" s="5" t="n"/>
      <c r="I272" s="6">
        <f>IF(H272="","",IFERROR(VLOOKUP(H272,Artikel!$A:$E,2,FALSE),"? Nummer prüfen"))</f>
        <v/>
      </c>
      <c r="J272" s="6">
        <f>IF(H272="","",IFERROR(VLOOKUP(H272,Artikel!$A:$E,3,FALSE)&amp;" ("&amp;VLOOKUP(H272,Artikel!$A:$E,4,FALSE)&amp;")",""))</f>
        <v/>
      </c>
      <c r="K272" s="5" t="n"/>
      <c r="L272" s="7">
        <f>IF(H272="","",IFERROR(VLOOKUP(H272,Artikel!$A:$E,5,FALSE),""))</f>
        <v/>
      </c>
      <c r="M272" s="5" t="n"/>
      <c r="N272" s="5" t="n"/>
      <c r="O272" s="5" t="n"/>
      <c r="P272" s="8" t="n"/>
    </row>
    <row r="273">
      <c r="A273" s="4" t="n"/>
      <c r="B273" s="5" t="n"/>
      <c r="C273" s="5" t="n"/>
      <c r="D273" s="5" t="n"/>
      <c r="E273" s="5" t="n"/>
      <c r="F273" s="5" t="n"/>
      <c r="G273" s="5" t="n"/>
      <c r="H273" s="5" t="n"/>
      <c r="I273" s="6">
        <f>IF(H273="","",IFERROR(VLOOKUP(H273,Artikel!$A:$E,2,FALSE),"? Nummer prüfen"))</f>
        <v/>
      </c>
      <c r="J273" s="6">
        <f>IF(H273="","",IFERROR(VLOOKUP(H273,Artikel!$A:$E,3,FALSE)&amp;" ("&amp;VLOOKUP(H273,Artikel!$A:$E,4,FALSE)&amp;")",""))</f>
        <v/>
      </c>
      <c r="K273" s="5" t="n"/>
      <c r="L273" s="7">
        <f>IF(H273="","",IFERROR(VLOOKUP(H273,Artikel!$A:$E,5,FALSE),""))</f>
        <v/>
      </c>
      <c r="M273" s="5" t="n"/>
      <c r="N273" s="5" t="n"/>
      <c r="O273" s="5" t="n"/>
      <c r="P273" s="8" t="n"/>
    </row>
    <row r="274">
      <c r="A274" s="4" t="n"/>
      <c r="B274" s="5" t="n"/>
      <c r="C274" s="5" t="n"/>
      <c r="D274" s="5" t="n"/>
      <c r="E274" s="5" t="n"/>
      <c r="F274" s="5" t="n"/>
      <c r="G274" s="5" t="n"/>
      <c r="H274" s="5" t="n"/>
      <c r="I274" s="6">
        <f>IF(H274="","",IFERROR(VLOOKUP(H274,Artikel!$A:$E,2,FALSE),"? Nummer prüfen"))</f>
        <v/>
      </c>
      <c r="J274" s="6">
        <f>IF(H274="","",IFERROR(VLOOKUP(H274,Artikel!$A:$E,3,FALSE)&amp;" ("&amp;VLOOKUP(H274,Artikel!$A:$E,4,FALSE)&amp;")",""))</f>
        <v/>
      </c>
      <c r="K274" s="5" t="n"/>
      <c r="L274" s="7">
        <f>IF(H274="","",IFERROR(VLOOKUP(H274,Artikel!$A:$E,5,FALSE),""))</f>
        <v/>
      </c>
      <c r="M274" s="5" t="n"/>
      <c r="N274" s="5" t="n"/>
      <c r="O274" s="5" t="n"/>
      <c r="P274" s="8" t="n"/>
    </row>
    <row r="275">
      <c r="A275" s="4" t="n"/>
      <c r="B275" s="5" t="n"/>
      <c r="C275" s="5" t="n"/>
      <c r="D275" s="5" t="n"/>
      <c r="E275" s="5" t="n"/>
      <c r="F275" s="5" t="n"/>
      <c r="G275" s="5" t="n"/>
      <c r="H275" s="5" t="n"/>
      <c r="I275" s="6">
        <f>IF(H275="","",IFERROR(VLOOKUP(H275,Artikel!$A:$E,2,FALSE),"? Nummer prüfen"))</f>
        <v/>
      </c>
      <c r="J275" s="6">
        <f>IF(H275="","",IFERROR(VLOOKUP(H275,Artikel!$A:$E,3,FALSE)&amp;" ("&amp;VLOOKUP(H275,Artikel!$A:$E,4,FALSE)&amp;")",""))</f>
        <v/>
      </c>
      <c r="K275" s="5" t="n"/>
      <c r="L275" s="7">
        <f>IF(H275="","",IFERROR(VLOOKUP(H275,Artikel!$A:$E,5,FALSE),""))</f>
        <v/>
      </c>
      <c r="M275" s="5" t="n"/>
      <c r="N275" s="5" t="n"/>
      <c r="O275" s="5" t="n"/>
      <c r="P275" s="8" t="n"/>
    </row>
    <row r="276">
      <c r="A276" s="4" t="n"/>
      <c r="B276" s="5" t="n"/>
      <c r="C276" s="5" t="n"/>
      <c r="D276" s="5" t="n"/>
      <c r="E276" s="5" t="n"/>
      <c r="F276" s="5" t="n"/>
      <c r="G276" s="5" t="n"/>
      <c r="H276" s="5" t="n"/>
      <c r="I276" s="6">
        <f>IF(H276="","",IFERROR(VLOOKUP(H276,Artikel!$A:$E,2,FALSE),"? Nummer prüfen"))</f>
        <v/>
      </c>
      <c r="J276" s="6">
        <f>IF(H276="","",IFERROR(VLOOKUP(H276,Artikel!$A:$E,3,FALSE)&amp;" ("&amp;VLOOKUP(H276,Artikel!$A:$E,4,FALSE)&amp;")",""))</f>
        <v/>
      </c>
      <c r="K276" s="5" t="n"/>
      <c r="L276" s="7">
        <f>IF(H276="","",IFERROR(VLOOKUP(H276,Artikel!$A:$E,5,FALSE),""))</f>
        <v/>
      </c>
      <c r="M276" s="5" t="n"/>
      <c r="N276" s="5" t="n"/>
      <c r="O276" s="5" t="n"/>
      <c r="P276" s="8" t="n"/>
    </row>
    <row r="277">
      <c r="A277" s="4" t="n"/>
      <c r="B277" s="5" t="n"/>
      <c r="C277" s="5" t="n"/>
      <c r="D277" s="5" t="n"/>
      <c r="E277" s="5" t="n"/>
      <c r="F277" s="5" t="n"/>
      <c r="G277" s="5" t="n"/>
      <c r="H277" s="5" t="n"/>
      <c r="I277" s="6">
        <f>IF(H277="","",IFERROR(VLOOKUP(H277,Artikel!$A:$E,2,FALSE),"? Nummer prüfen"))</f>
        <v/>
      </c>
      <c r="J277" s="6">
        <f>IF(H277="","",IFERROR(VLOOKUP(H277,Artikel!$A:$E,3,FALSE)&amp;" ("&amp;VLOOKUP(H277,Artikel!$A:$E,4,FALSE)&amp;")",""))</f>
        <v/>
      </c>
      <c r="K277" s="5" t="n"/>
      <c r="L277" s="7">
        <f>IF(H277="","",IFERROR(VLOOKUP(H277,Artikel!$A:$E,5,FALSE),""))</f>
        <v/>
      </c>
      <c r="M277" s="5" t="n"/>
      <c r="N277" s="5" t="n"/>
      <c r="O277" s="5" t="n"/>
      <c r="P277" s="8" t="n"/>
    </row>
    <row r="278">
      <c r="A278" s="4" t="n"/>
      <c r="B278" s="5" t="n"/>
      <c r="C278" s="5" t="n"/>
      <c r="D278" s="5" t="n"/>
      <c r="E278" s="5" t="n"/>
      <c r="F278" s="5" t="n"/>
      <c r="G278" s="5" t="n"/>
      <c r="H278" s="5" t="n"/>
      <c r="I278" s="6">
        <f>IF(H278="","",IFERROR(VLOOKUP(H278,Artikel!$A:$E,2,FALSE),"? Nummer prüfen"))</f>
        <v/>
      </c>
      <c r="J278" s="6">
        <f>IF(H278="","",IFERROR(VLOOKUP(H278,Artikel!$A:$E,3,FALSE)&amp;" ("&amp;VLOOKUP(H278,Artikel!$A:$E,4,FALSE)&amp;")",""))</f>
        <v/>
      </c>
      <c r="K278" s="5" t="n"/>
      <c r="L278" s="7">
        <f>IF(H278="","",IFERROR(VLOOKUP(H278,Artikel!$A:$E,5,FALSE),""))</f>
        <v/>
      </c>
      <c r="M278" s="5" t="n"/>
      <c r="N278" s="5" t="n"/>
      <c r="O278" s="5" t="n"/>
      <c r="P278" s="8" t="n"/>
    </row>
    <row r="279">
      <c r="A279" s="4" t="n"/>
      <c r="B279" s="5" t="n"/>
      <c r="C279" s="5" t="n"/>
      <c r="D279" s="5" t="n"/>
      <c r="E279" s="5" t="n"/>
      <c r="F279" s="5" t="n"/>
      <c r="G279" s="5" t="n"/>
      <c r="H279" s="5" t="n"/>
      <c r="I279" s="6">
        <f>IF(H279="","",IFERROR(VLOOKUP(H279,Artikel!$A:$E,2,FALSE),"? Nummer prüfen"))</f>
        <v/>
      </c>
      <c r="J279" s="6">
        <f>IF(H279="","",IFERROR(VLOOKUP(H279,Artikel!$A:$E,3,FALSE)&amp;" ("&amp;VLOOKUP(H279,Artikel!$A:$E,4,FALSE)&amp;")",""))</f>
        <v/>
      </c>
      <c r="K279" s="5" t="n"/>
      <c r="L279" s="7">
        <f>IF(H279="","",IFERROR(VLOOKUP(H279,Artikel!$A:$E,5,FALSE),""))</f>
        <v/>
      </c>
      <c r="M279" s="5" t="n"/>
      <c r="N279" s="5" t="n"/>
      <c r="O279" s="5" t="n"/>
      <c r="P279" s="8" t="n"/>
    </row>
    <row r="280">
      <c r="A280" s="4" t="n"/>
      <c r="B280" s="5" t="n"/>
      <c r="C280" s="5" t="n"/>
      <c r="D280" s="5" t="n"/>
      <c r="E280" s="5" t="n"/>
      <c r="F280" s="5" t="n"/>
      <c r="G280" s="5" t="n"/>
      <c r="H280" s="5" t="n"/>
      <c r="I280" s="6">
        <f>IF(H280="","",IFERROR(VLOOKUP(H280,Artikel!$A:$E,2,FALSE),"? Nummer prüfen"))</f>
        <v/>
      </c>
      <c r="J280" s="6">
        <f>IF(H280="","",IFERROR(VLOOKUP(H280,Artikel!$A:$E,3,FALSE)&amp;" ("&amp;VLOOKUP(H280,Artikel!$A:$E,4,FALSE)&amp;")",""))</f>
        <v/>
      </c>
      <c r="K280" s="5" t="n"/>
      <c r="L280" s="7">
        <f>IF(H280="","",IFERROR(VLOOKUP(H280,Artikel!$A:$E,5,FALSE),""))</f>
        <v/>
      </c>
      <c r="M280" s="5" t="n"/>
      <c r="N280" s="5" t="n"/>
      <c r="O280" s="5" t="n"/>
      <c r="P280" s="8" t="n"/>
    </row>
    <row r="281">
      <c r="A281" s="4" t="n"/>
      <c r="B281" s="5" t="n"/>
      <c r="C281" s="5" t="n"/>
      <c r="D281" s="5" t="n"/>
      <c r="E281" s="5" t="n"/>
      <c r="F281" s="5" t="n"/>
      <c r="G281" s="5" t="n"/>
      <c r="H281" s="5" t="n"/>
      <c r="I281" s="6">
        <f>IF(H281="","",IFERROR(VLOOKUP(H281,Artikel!$A:$E,2,FALSE),"? Nummer prüfen"))</f>
        <v/>
      </c>
      <c r="J281" s="6">
        <f>IF(H281="","",IFERROR(VLOOKUP(H281,Artikel!$A:$E,3,FALSE)&amp;" ("&amp;VLOOKUP(H281,Artikel!$A:$E,4,FALSE)&amp;")",""))</f>
        <v/>
      </c>
      <c r="K281" s="5" t="n"/>
      <c r="L281" s="7">
        <f>IF(H281="","",IFERROR(VLOOKUP(H281,Artikel!$A:$E,5,FALSE),""))</f>
        <v/>
      </c>
      <c r="M281" s="5" t="n"/>
      <c r="N281" s="5" t="n"/>
      <c r="O281" s="5" t="n"/>
      <c r="P281" s="8" t="n"/>
    </row>
    <row r="282">
      <c r="A282" s="4" t="n"/>
      <c r="B282" s="5" t="n"/>
      <c r="C282" s="5" t="n"/>
      <c r="D282" s="5" t="n"/>
      <c r="E282" s="5" t="n"/>
      <c r="F282" s="5" t="n"/>
      <c r="G282" s="5" t="n"/>
      <c r="H282" s="5" t="n"/>
      <c r="I282" s="6">
        <f>IF(H282="","",IFERROR(VLOOKUP(H282,Artikel!$A:$E,2,FALSE),"? Nummer prüfen"))</f>
        <v/>
      </c>
      <c r="J282" s="6">
        <f>IF(H282="","",IFERROR(VLOOKUP(H282,Artikel!$A:$E,3,FALSE)&amp;" ("&amp;VLOOKUP(H282,Artikel!$A:$E,4,FALSE)&amp;")",""))</f>
        <v/>
      </c>
      <c r="K282" s="5" t="n"/>
      <c r="L282" s="7">
        <f>IF(H282="","",IFERROR(VLOOKUP(H282,Artikel!$A:$E,5,FALSE),""))</f>
        <v/>
      </c>
      <c r="M282" s="5" t="n"/>
      <c r="N282" s="5" t="n"/>
      <c r="O282" s="5" t="n"/>
      <c r="P282" s="8" t="n"/>
    </row>
    <row r="283">
      <c r="A283" s="4" t="n"/>
      <c r="B283" s="5" t="n"/>
      <c r="C283" s="5" t="n"/>
      <c r="D283" s="5" t="n"/>
      <c r="E283" s="5" t="n"/>
      <c r="F283" s="5" t="n"/>
      <c r="G283" s="5" t="n"/>
      <c r="H283" s="5" t="n"/>
      <c r="I283" s="6">
        <f>IF(H283="","",IFERROR(VLOOKUP(H283,Artikel!$A:$E,2,FALSE),"? Nummer prüfen"))</f>
        <v/>
      </c>
      <c r="J283" s="6">
        <f>IF(H283="","",IFERROR(VLOOKUP(H283,Artikel!$A:$E,3,FALSE)&amp;" ("&amp;VLOOKUP(H283,Artikel!$A:$E,4,FALSE)&amp;")",""))</f>
        <v/>
      </c>
      <c r="K283" s="5" t="n"/>
      <c r="L283" s="7">
        <f>IF(H283="","",IFERROR(VLOOKUP(H283,Artikel!$A:$E,5,FALSE),""))</f>
        <v/>
      </c>
      <c r="M283" s="5" t="n"/>
      <c r="N283" s="5" t="n"/>
      <c r="O283" s="5" t="n"/>
      <c r="P283" s="8" t="n"/>
    </row>
    <row r="284">
      <c r="A284" s="4" t="n"/>
      <c r="B284" s="5" t="n"/>
      <c r="C284" s="5" t="n"/>
      <c r="D284" s="5" t="n"/>
      <c r="E284" s="5" t="n"/>
      <c r="F284" s="5" t="n"/>
      <c r="G284" s="5" t="n"/>
      <c r="H284" s="5" t="n"/>
      <c r="I284" s="6">
        <f>IF(H284="","",IFERROR(VLOOKUP(H284,Artikel!$A:$E,2,FALSE),"? Nummer prüfen"))</f>
        <v/>
      </c>
      <c r="J284" s="6">
        <f>IF(H284="","",IFERROR(VLOOKUP(H284,Artikel!$A:$E,3,FALSE)&amp;" ("&amp;VLOOKUP(H284,Artikel!$A:$E,4,FALSE)&amp;")",""))</f>
        <v/>
      </c>
      <c r="K284" s="5" t="n"/>
      <c r="L284" s="7">
        <f>IF(H284="","",IFERROR(VLOOKUP(H284,Artikel!$A:$E,5,FALSE),""))</f>
        <v/>
      </c>
      <c r="M284" s="5" t="n"/>
      <c r="N284" s="5" t="n"/>
      <c r="O284" s="5" t="n"/>
      <c r="P284" s="8" t="n"/>
    </row>
    <row r="285">
      <c r="A285" s="4" t="n"/>
      <c r="B285" s="5" t="n"/>
      <c r="C285" s="5" t="n"/>
      <c r="D285" s="5" t="n"/>
      <c r="E285" s="5" t="n"/>
      <c r="F285" s="5" t="n"/>
      <c r="G285" s="5" t="n"/>
      <c r="H285" s="5" t="n"/>
      <c r="I285" s="6">
        <f>IF(H285="","",IFERROR(VLOOKUP(H285,Artikel!$A:$E,2,FALSE),"? Nummer prüfen"))</f>
        <v/>
      </c>
      <c r="J285" s="6">
        <f>IF(H285="","",IFERROR(VLOOKUP(H285,Artikel!$A:$E,3,FALSE)&amp;" ("&amp;VLOOKUP(H285,Artikel!$A:$E,4,FALSE)&amp;")",""))</f>
        <v/>
      </c>
      <c r="K285" s="5" t="n"/>
      <c r="L285" s="7">
        <f>IF(H285="","",IFERROR(VLOOKUP(H285,Artikel!$A:$E,5,FALSE),""))</f>
        <v/>
      </c>
      <c r="M285" s="5" t="n"/>
      <c r="N285" s="5" t="n"/>
      <c r="O285" s="5" t="n"/>
      <c r="P285" s="8" t="n"/>
    </row>
    <row r="286">
      <c r="A286" s="4" t="n"/>
      <c r="B286" s="5" t="n"/>
      <c r="C286" s="5" t="n"/>
      <c r="D286" s="5" t="n"/>
      <c r="E286" s="5" t="n"/>
      <c r="F286" s="5" t="n"/>
      <c r="G286" s="5" t="n"/>
      <c r="H286" s="5" t="n"/>
      <c r="I286" s="6">
        <f>IF(H286="","",IFERROR(VLOOKUP(H286,Artikel!$A:$E,2,FALSE),"? Nummer prüfen"))</f>
        <v/>
      </c>
      <c r="J286" s="6">
        <f>IF(H286="","",IFERROR(VLOOKUP(H286,Artikel!$A:$E,3,FALSE)&amp;" ("&amp;VLOOKUP(H286,Artikel!$A:$E,4,FALSE)&amp;")",""))</f>
        <v/>
      </c>
      <c r="K286" s="5" t="n"/>
      <c r="L286" s="7">
        <f>IF(H286="","",IFERROR(VLOOKUP(H286,Artikel!$A:$E,5,FALSE),""))</f>
        <v/>
      </c>
      <c r="M286" s="5" t="n"/>
      <c r="N286" s="5" t="n"/>
      <c r="O286" s="5" t="n"/>
      <c r="P286" s="8" t="n"/>
    </row>
    <row r="287">
      <c r="A287" s="4" t="n"/>
      <c r="B287" s="5" t="n"/>
      <c r="C287" s="5" t="n"/>
      <c r="D287" s="5" t="n"/>
      <c r="E287" s="5" t="n"/>
      <c r="F287" s="5" t="n"/>
      <c r="G287" s="5" t="n"/>
      <c r="H287" s="5" t="n"/>
      <c r="I287" s="6">
        <f>IF(H287="","",IFERROR(VLOOKUP(H287,Artikel!$A:$E,2,FALSE),"? Nummer prüfen"))</f>
        <v/>
      </c>
      <c r="J287" s="6">
        <f>IF(H287="","",IFERROR(VLOOKUP(H287,Artikel!$A:$E,3,FALSE)&amp;" ("&amp;VLOOKUP(H287,Artikel!$A:$E,4,FALSE)&amp;")",""))</f>
        <v/>
      </c>
      <c r="K287" s="5" t="n"/>
      <c r="L287" s="7">
        <f>IF(H287="","",IFERROR(VLOOKUP(H287,Artikel!$A:$E,5,FALSE),""))</f>
        <v/>
      </c>
      <c r="M287" s="5" t="n"/>
      <c r="N287" s="5" t="n"/>
      <c r="O287" s="5" t="n"/>
      <c r="P287" s="8" t="n"/>
    </row>
    <row r="288">
      <c r="A288" s="4" t="n"/>
      <c r="B288" s="5" t="n"/>
      <c r="C288" s="5" t="n"/>
      <c r="D288" s="5" t="n"/>
      <c r="E288" s="5" t="n"/>
      <c r="F288" s="5" t="n"/>
      <c r="G288" s="5" t="n"/>
      <c r="H288" s="5" t="n"/>
      <c r="I288" s="6">
        <f>IF(H288="","",IFERROR(VLOOKUP(H288,Artikel!$A:$E,2,FALSE),"? Nummer prüfen"))</f>
        <v/>
      </c>
      <c r="J288" s="6">
        <f>IF(H288="","",IFERROR(VLOOKUP(H288,Artikel!$A:$E,3,FALSE)&amp;" ("&amp;VLOOKUP(H288,Artikel!$A:$E,4,FALSE)&amp;")",""))</f>
        <v/>
      </c>
      <c r="K288" s="5" t="n"/>
      <c r="L288" s="7">
        <f>IF(H288="","",IFERROR(VLOOKUP(H288,Artikel!$A:$E,5,FALSE),""))</f>
        <v/>
      </c>
      <c r="M288" s="5" t="n"/>
      <c r="N288" s="5" t="n"/>
      <c r="O288" s="5" t="n"/>
      <c r="P288" s="8" t="n"/>
    </row>
    <row r="289">
      <c r="A289" s="4" t="n"/>
      <c r="B289" s="5" t="n"/>
      <c r="C289" s="5" t="n"/>
      <c r="D289" s="5" t="n"/>
      <c r="E289" s="5" t="n"/>
      <c r="F289" s="5" t="n"/>
      <c r="G289" s="5" t="n"/>
      <c r="H289" s="5" t="n"/>
      <c r="I289" s="6">
        <f>IF(H289="","",IFERROR(VLOOKUP(H289,Artikel!$A:$E,2,FALSE),"? Nummer prüfen"))</f>
        <v/>
      </c>
      <c r="J289" s="6">
        <f>IF(H289="","",IFERROR(VLOOKUP(H289,Artikel!$A:$E,3,FALSE)&amp;" ("&amp;VLOOKUP(H289,Artikel!$A:$E,4,FALSE)&amp;")",""))</f>
        <v/>
      </c>
      <c r="K289" s="5" t="n"/>
      <c r="L289" s="7">
        <f>IF(H289="","",IFERROR(VLOOKUP(H289,Artikel!$A:$E,5,FALSE),""))</f>
        <v/>
      </c>
      <c r="M289" s="5" t="n"/>
      <c r="N289" s="5" t="n"/>
      <c r="O289" s="5" t="n"/>
      <c r="P289" s="8" t="n"/>
    </row>
    <row r="290">
      <c r="A290" s="4" t="n"/>
      <c r="B290" s="5" t="n"/>
      <c r="C290" s="5" t="n"/>
      <c r="D290" s="5" t="n"/>
      <c r="E290" s="5" t="n"/>
      <c r="F290" s="5" t="n"/>
      <c r="G290" s="5" t="n"/>
      <c r="H290" s="5" t="n"/>
      <c r="I290" s="6">
        <f>IF(H290="","",IFERROR(VLOOKUP(H290,Artikel!$A:$E,2,FALSE),"? Nummer prüfen"))</f>
        <v/>
      </c>
      <c r="J290" s="6">
        <f>IF(H290="","",IFERROR(VLOOKUP(H290,Artikel!$A:$E,3,FALSE)&amp;" ("&amp;VLOOKUP(H290,Artikel!$A:$E,4,FALSE)&amp;")",""))</f>
        <v/>
      </c>
      <c r="K290" s="5" t="n"/>
      <c r="L290" s="7">
        <f>IF(H290="","",IFERROR(VLOOKUP(H290,Artikel!$A:$E,5,FALSE),""))</f>
        <v/>
      </c>
      <c r="M290" s="5" t="n"/>
      <c r="N290" s="5" t="n"/>
      <c r="O290" s="5" t="n"/>
      <c r="P290" s="8" t="n"/>
    </row>
    <row r="291">
      <c r="A291" s="4" t="n"/>
      <c r="B291" s="5" t="n"/>
      <c r="C291" s="5" t="n"/>
      <c r="D291" s="5" t="n"/>
      <c r="E291" s="5" t="n"/>
      <c r="F291" s="5" t="n"/>
      <c r="G291" s="5" t="n"/>
      <c r="H291" s="5" t="n"/>
      <c r="I291" s="6">
        <f>IF(H291="","",IFERROR(VLOOKUP(H291,Artikel!$A:$E,2,FALSE),"? Nummer prüfen"))</f>
        <v/>
      </c>
      <c r="J291" s="6">
        <f>IF(H291="","",IFERROR(VLOOKUP(H291,Artikel!$A:$E,3,FALSE)&amp;" ("&amp;VLOOKUP(H291,Artikel!$A:$E,4,FALSE)&amp;")",""))</f>
        <v/>
      </c>
      <c r="K291" s="5" t="n"/>
      <c r="L291" s="7">
        <f>IF(H291="","",IFERROR(VLOOKUP(H291,Artikel!$A:$E,5,FALSE),""))</f>
        <v/>
      </c>
      <c r="M291" s="5" t="n"/>
      <c r="N291" s="5" t="n"/>
      <c r="O291" s="5" t="n"/>
      <c r="P291" s="8" t="n"/>
    </row>
    <row r="292">
      <c r="A292" s="4" t="n"/>
      <c r="B292" s="5" t="n"/>
      <c r="C292" s="5" t="n"/>
      <c r="D292" s="5" t="n"/>
      <c r="E292" s="5" t="n"/>
      <c r="F292" s="5" t="n"/>
      <c r="G292" s="5" t="n"/>
      <c r="H292" s="5" t="n"/>
      <c r="I292" s="6">
        <f>IF(H292="","",IFERROR(VLOOKUP(H292,Artikel!$A:$E,2,FALSE),"? Nummer prüfen"))</f>
        <v/>
      </c>
      <c r="J292" s="6">
        <f>IF(H292="","",IFERROR(VLOOKUP(H292,Artikel!$A:$E,3,FALSE)&amp;" ("&amp;VLOOKUP(H292,Artikel!$A:$E,4,FALSE)&amp;")",""))</f>
        <v/>
      </c>
      <c r="K292" s="5" t="n"/>
      <c r="L292" s="7">
        <f>IF(H292="","",IFERROR(VLOOKUP(H292,Artikel!$A:$E,5,FALSE),""))</f>
        <v/>
      </c>
      <c r="M292" s="5" t="n"/>
      <c r="N292" s="5" t="n"/>
      <c r="O292" s="5" t="n"/>
      <c r="P292" s="8" t="n"/>
    </row>
    <row r="293">
      <c r="A293" s="4" t="n"/>
      <c r="B293" s="5" t="n"/>
      <c r="C293" s="5" t="n"/>
      <c r="D293" s="5" t="n"/>
      <c r="E293" s="5" t="n"/>
      <c r="F293" s="5" t="n"/>
      <c r="G293" s="5" t="n"/>
      <c r="H293" s="5" t="n"/>
      <c r="I293" s="6">
        <f>IF(H293="","",IFERROR(VLOOKUP(H293,Artikel!$A:$E,2,FALSE),"? Nummer prüfen"))</f>
        <v/>
      </c>
      <c r="J293" s="6">
        <f>IF(H293="","",IFERROR(VLOOKUP(H293,Artikel!$A:$E,3,FALSE)&amp;" ("&amp;VLOOKUP(H293,Artikel!$A:$E,4,FALSE)&amp;")",""))</f>
        <v/>
      </c>
      <c r="K293" s="5" t="n"/>
      <c r="L293" s="7">
        <f>IF(H293="","",IFERROR(VLOOKUP(H293,Artikel!$A:$E,5,FALSE),""))</f>
        <v/>
      </c>
      <c r="M293" s="5" t="n"/>
      <c r="N293" s="5" t="n"/>
      <c r="O293" s="5" t="n"/>
      <c r="P293" s="8" t="n"/>
    </row>
    <row r="294">
      <c r="A294" s="4" t="n"/>
      <c r="B294" s="5" t="n"/>
      <c r="C294" s="5" t="n"/>
      <c r="D294" s="5" t="n"/>
      <c r="E294" s="5" t="n"/>
      <c r="F294" s="5" t="n"/>
      <c r="G294" s="5" t="n"/>
      <c r="H294" s="5" t="n"/>
      <c r="I294" s="6">
        <f>IF(H294="","",IFERROR(VLOOKUP(H294,Artikel!$A:$E,2,FALSE),"? Nummer prüfen"))</f>
        <v/>
      </c>
      <c r="J294" s="6">
        <f>IF(H294="","",IFERROR(VLOOKUP(H294,Artikel!$A:$E,3,FALSE)&amp;" ("&amp;VLOOKUP(H294,Artikel!$A:$E,4,FALSE)&amp;")",""))</f>
        <v/>
      </c>
      <c r="K294" s="5" t="n"/>
      <c r="L294" s="7">
        <f>IF(H294="","",IFERROR(VLOOKUP(H294,Artikel!$A:$E,5,FALSE),""))</f>
        <v/>
      </c>
      <c r="M294" s="5" t="n"/>
      <c r="N294" s="5" t="n"/>
      <c r="O294" s="5" t="n"/>
      <c r="P294" s="8" t="n"/>
    </row>
    <row r="295">
      <c r="A295" s="4" t="n"/>
      <c r="B295" s="5" t="n"/>
      <c r="C295" s="5" t="n"/>
      <c r="D295" s="5" t="n"/>
      <c r="E295" s="5" t="n"/>
      <c r="F295" s="5" t="n"/>
      <c r="G295" s="5" t="n"/>
      <c r="H295" s="5" t="n"/>
      <c r="I295" s="6">
        <f>IF(H295="","",IFERROR(VLOOKUP(H295,Artikel!$A:$E,2,FALSE),"? Nummer prüfen"))</f>
        <v/>
      </c>
      <c r="J295" s="6">
        <f>IF(H295="","",IFERROR(VLOOKUP(H295,Artikel!$A:$E,3,FALSE)&amp;" ("&amp;VLOOKUP(H295,Artikel!$A:$E,4,FALSE)&amp;")",""))</f>
        <v/>
      </c>
      <c r="K295" s="5" t="n"/>
      <c r="L295" s="7">
        <f>IF(H295="","",IFERROR(VLOOKUP(H295,Artikel!$A:$E,5,FALSE),""))</f>
        <v/>
      </c>
      <c r="M295" s="5" t="n"/>
      <c r="N295" s="5" t="n"/>
      <c r="O295" s="5" t="n"/>
      <c r="P295" s="8" t="n"/>
    </row>
    <row r="296">
      <c r="A296" s="4" t="n"/>
      <c r="B296" s="5" t="n"/>
      <c r="C296" s="5" t="n"/>
      <c r="D296" s="5" t="n"/>
      <c r="E296" s="5" t="n"/>
      <c r="F296" s="5" t="n"/>
      <c r="G296" s="5" t="n"/>
      <c r="H296" s="5" t="n"/>
      <c r="I296" s="6">
        <f>IF(H296="","",IFERROR(VLOOKUP(H296,Artikel!$A:$E,2,FALSE),"? Nummer prüfen"))</f>
        <v/>
      </c>
      <c r="J296" s="6">
        <f>IF(H296="","",IFERROR(VLOOKUP(H296,Artikel!$A:$E,3,FALSE)&amp;" ("&amp;VLOOKUP(H296,Artikel!$A:$E,4,FALSE)&amp;")",""))</f>
        <v/>
      </c>
      <c r="K296" s="5" t="n"/>
      <c r="L296" s="7">
        <f>IF(H296="","",IFERROR(VLOOKUP(H296,Artikel!$A:$E,5,FALSE),""))</f>
        <v/>
      </c>
      <c r="M296" s="5" t="n"/>
      <c r="N296" s="5" t="n"/>
      <c r="O296" s="5" t="n"/>
      <c r="P296" s="8" t="n"/>
    </row>
    <row r="297">
      <c r="A297" s="4" t="n"/>
      <c r="B297" s="5" t="n"/>
      <c r="C297" s="5" t="n"/>
      <c r="D297" s="5" t="n"/>
      <c r="E297" s="5" t="n"/>
      <c r="F297" s="5" t="n"/>
      <c r="G297" s="5" t="n"/>
      <c r="H297" s="5" t="n"/>
      <c r="I297" s="6">
        <f>IF(H297="","",IFERROR(VLOOKUP(H297,Artikel!$A:$E,2,FALSE),"? Nummer prüfen"))</f>
        <v/>
      </c>
      <c r="J297" s="6">
        <f>IF(H297="","",IFERROR(VLOOKUP(H297,Artikel!$A:$E,3,FALSE)&amp;" ("&amp;VLOOKUP(H297,Artikel!$A:$E,4,FALSE)&amp;")",""))</f>
        <v/>
      </c>
      <c r="K297" s="5" t="n"/>
      <c r="L297" s="7">
        <f>IF(H297="","",IFERROR(VLOOKUP(H297,Artikel!$A:$E,5,FALSE),""))</f>
        <v/>
      </c>
      <c r="M297" s="5" t="n"/>
      <c r="N297" s="5" t="n"/>
      <c r="O297" s="5" t="n"/>
      <c r="P297" s="8" t="n"/>
    </row>
    <row r="298">
      <c r="A298" s="4" t="n"/>
      <c r="B298" s="5" t="n"/>
      <c r="C298" s="5" t="n"/>
      <c r="D298" s="5" t="n"/>
      <c r="E298" s="5" t="n"/>
      <c r="F298" s="5" t="n"/>
      <c r="G298" s="5" t="n"/>
      <c r="H298" s="5" t="n"/>
      <c r="I298" s="6">
        <f>IF(H298="","",IFERROR(VLOOKUP(H298,Artikel!$A:$E,2,FALSE),"? Nummer prüfen"))</f>
        <v/>
      </c>
      <c r="J298" s="6">
        <f>IF(H298="","",IFERROR(VLOOKUP(H298,Artikel!$A:$E,3,FALSE)&amp;" ("&amp;VLOOKUP(H298,Artikel!$A:$E,4,FALSE)&amp;")",""))</f>
        <v/>
      </c>
      <c r="K298" s="5" t="n"/>
      <c r="L298" s="7">
        <f>IF(H298="","",IFERROR(VLOOKUP(H298,Artikel!$A:$E,5,FALSE),""))</f>
        <v/>
      </c>
      <c r="M298" s="5" t="n"/>
      <c r="N298" s="5" t="n"/>
      <c r="O298" s="5" t="n"/>
      <c r="P298" s="8" t="n"/>
    </row>
    <row r="299">
      <c r="A299" s="4" t="n"/>
      <c r="B299" s="5" t="n"/>
      <c r="C299" s="5" t="n"/>
      <c r="D299" s="5" t="n"/>
      <c r="E299" s="5" t="n"/>
      <c r="F299" s="5" t="n"/>
      <c r="G299" s="5" t="n"/>
      <c r="H299" s="5" t="n"/>
      <c r="I299" s="6">
        <f>IF(H299="","",IFERROR(VLOOKUP(H299,Artikel!$A:$E,2,FALSE),"? Nummer prüfen"))</f>
        <v/>
      </c>
      <c r="J299" s="6">
        <f>IF(H299="","",IFERROR(VLOOKUP(H299,Artikel!$A:$E,3,FALSE)&amp;" ("&amp;VLOOKUP(H299,Artikel!$A:$E,4,FALSE)&amp;")",""))</f>
        <v/>
      </c>
      <c r="K299" s="5" t="n"/>
      <c r="L299" s="7">
        <f>IF(H299="","",IFERROR(VLOOKUP(H299,Artikel!$A:$E,5,FALSE),""))</f>
        <v/>
      </c>
      <c r="M299" s="5" t="n"/>
      <c r="N299" s="5" t="n"/>
      <c r="O299" s="5" t="n"/>
      <c r="P299" s="8" t="n"/>
    </row>
    <row r="300">
      <c r="A300" s="4" t="n"/>
      <c r="B300" s="5" t="n"/>
      <c r="C300" s="5" t="n"/>
      <c r="D300" s="5" t="n"/>
      <c r="E300" s="5" t="n"/>
      <c r="F300" s="5" t="n"/>
      <c r="G300" s="5" t="n"/>
      <c r="H300" s="5" t="n"/>
      <c r="I300" s="6">
        <f>IF(H300="","",IFERROR(VLOOKUP(H300,Artikel!$A:$E,2,FALSE),"? Nummer prüfen"))</f>
        <v/>
      </c>
      <c r="J300" s="6">
        <f>IF(H300="","",IFERROR(VLOOKUP(H300,Artikel!$A:$E,3,FALSE)&amp;" ("&amp;VLOOKUP(H300,Artikel!$A:$E,4,FALSE)&amp;")",""))</f>
        <v/>
      </c>
      <c r="K300" s="5" t="n"/>
      <c r="L300" s="7">
        <f>IF(H300="","",IFERROR(VLOOKUP(H300,Artikel!$A:$E,5,FALSE),""))</f>
        <v/>
      </c>
      <c r="M300" s="5" t="n"/>
      <c r="N300" s="5" t="n"/>
      <c r="O300" s="5" t="n"/>
      <c r="P300" s="8" t="n"/>
    </row>
    <row r="301">
      <c r="A301" s="4" t="n"/>
      <c r="B301" s="5" t="n"/>
      <c r="C301" s="5" t="n"/>
      <c r="D301" s="5" t="n"/>
      <c r="E301" s="5" t="n"/>
      <c r="F301" s="5" t="n"/>
      <c r="G301" s="5" t="n"/>
      <c r="H301" s="5" t="n"/>
      <c r="I301" s="6">
        <f>IF(H301="","",IFERROR(VLOOKUP(H301,Artikel!$A:$E,2,FALSE),"? Nummer prüfen"))</f>
        <v/>
      </c>
      <c r="J301" s="6">
        <f>IF(H301="","",IFERROR(VLOOKUP(H301,Artikel!$A:$E,3,FALSE)&amp;" ("&amp;VLOOKUP(H301,Artikel!$A:$E,4,FALSE)&amp;")",""))</f>
        <v/>
      </c>
      <c r="K301" s="5" t="n"/>
      <c r="L301" s="7">
        <f>IF(H301="","",IFERROR(VLOOKUP(H301,Artikel!$A:$E,5,FALSE),""))</f>
        <v/>
      </c>
      <c r="M301" s="5" t="n"/>
      <c r="N301" s="5" t="n"/>
      <c r="O301" s="5" t="n"/>
      <c r="P301" s="8" t="n"/>
    </row>
    <row r="302">
      <c r="A302" s="4" t="n"/>
      <c r="B302" s="5" t="n"/>
      <c r="C302" s="5" t="n"/>
      <c r="D302" s="5" t="n"/>
      <c r="E302" s="5" t="n"/>
      <c r="F302" s="5" t="n"/>
      <c r="G302" s="5" t="n"/>
      <c r="H302" s="5" t="n"/>
      <c r="I302" s="6">
        <f>IF(H302="","",IFERROR(VLOOKUP(H302,Artikel!$A:$E,2,FALSE),"? Nummer prüfen"))</f>
        <v/>
      </c>
      <c r="J302" s="6">
        <f>IF(H302="","",IFERROR(VLOOKUP(H302,Artikel!$A:$E,3,FALSE)&amp;" ("&amp;VLOOKUP(H302,Artikel!$A:$E,4,FALSE)&amp;")",""))</f>
        <v/>
      </c>
      <c r="K302" s="5" t="n"/>
      <c r="L302" s="7">
        <f>IF(H302="","",IFERROR(VLOOKUP(H302,Artikel!$A:$E,5,FALSE),""))</f>
        <v/>
      </c>
      <c r="M302" s="5" t="n"/>
      <c r="N302" s="5" t="n"/>
      <c r="O302" s="5" t="n"/>
      <c r="P302" s="8" t="n"/>
    </row>
    <row r="303">
      <c r="A303" s="4" t="n"/>
      <c r="B303" s="5" t="n"/>
      <c r="C303" s="5" t="n"/>
      <c r="D303" s="5" t="n"/>
      <c r="E303" s="5" t="n"/>
      <c r="F303" s="5" t="n"/>
      <c r="G303" s="5" t="n"/>
      <c r="H303" s="5" t="n"/>
      <c r="I303" s="6">
        <f>IF(H303="","",IFERROR(VLOOKUP(H303,Artikel!$A:$E,2,FALSE),"? Nummer prüfen"))</f>
        <v/>
      </c>
      <c r="J303" s="6">
        <f>IF(H303="","",IFERROR(VLOOKUP(H303,Artikel!$A:$E,3,FALSE)&amp;" ("&amp;VLOOKUP(H303,Artikel!$A:$E,4,FALSE)&amp;")",""))</f>
        <v/>
      </c>
      <c r="K303" s="5" t="n"/>
      <c r="L303" s="7">
        <f>IF(H303="","",IFERROR(VLOOKUP(H303,Artikel!$A:$E,5,FALSE),""))</f>
        <v/>
      </c>
      <c r="M303" s="5" t="n"/>
      <c r="N303" s="5" t="n"/>
      <c r="O303" s="5" t="n"/>
      <c r="P303" s="8" t="n"/>
    </row>
    <row r="304">
      <c r="A304" s="4" t="n"/>
      <c r="B304" s="5" t="n"/>
      <c r="C304" s="5" t="n"/>
      <c r="D304" s="5" t="n"/>
      <c r="E304" s="5" t="n"/>
      <c r="F304" s="5" t="n"/>
      <c r="G304" s="5" t="n"/>
      <c r="H304" s="5" t="n"/>
      <c r="I304" s="6">
        <f>IF(H304="","",IFERROR(VLOOKUP(H304,Artikel!$A:$E,2,FALSE),"? Nummer prüfen"))</f>
        <v/>
      </c>
      <c r="J304" s="6">
        <f>IF(H304="","",IFERROR(VLOOKUP(H304,Artikel!$A:$E,3,FALSE)&amp;" ("&amp;VLOOKUP(H304,Artikel!$A:$E,4,FALSE)&amp;")",""))</f>
        <v/>
      </c>
      <c r="K304" s="5" t="n"/>
      <c r="L304" s="7">
        <f>IF(H304="","",IFERROR(VLOOKUP(H304,Artikel!$A:$E,5,FALSE),""))</f>
        <v/>
      </c>
      <c r="M304" s="5" t="n"/>
      <c r="N304" s="5" t="n"/>
      <c r="O304" s="5" t="n"/>
      <c r="P304" s="8" t="n"/>
    </row>
    <row r="305">
      <c r="A305" s="4" t="n"/>
      <c r="B305" s="5" t="n"/>
      <c r="C305" s="5" t="n"/>
      <c r="D305" s="5" t="n"/>
      <c r="E305" s="5" t="n"/>
      <c r="F305" s="5" t="n"/>
      <c r="G305" s="5" t="n"/>
      <c r="H305" s="5" t="n"/>
      <c r="I305" s="6">
        <f>IF(H305="","",IFERROR(VLOOKUP(H305,Artikel!$A:$E,2,FALSE),"? Nummer prüfen"))</f>
        <v/>
      </c>
      <c r="J305" s="6">
        <f>IF(H305="","",IFERROR(VLOOKUP(H305,Artikel!$A:$E,3,FALSE)&amp;" ("&amp;VLOOKUP(H305,Artikel!$A:$E,4,FALSE)&amp;")",""))</f>
        <v/>
      </c>
      <c r="K305" s="5" t="n"/>
      <c r="L305" s="7">
        <f>IF(H305="","",IFERROR(VLOOKUP(H305,Artikel!$A:$E,5,FALSE),""))</f>
        <v/>
      </c>
      <c r="M305" s="5" t="n"/>
      <c r="N305" s="5" t="n"/>
      <c r="O305" s="5" t="n"/>
      <c r="P305" s="8" t="n"/>
    </row>
    <row r="306">
      <c r="A306" s="4" t="n"/>
      <c r="B306" s="5" t="n"/>
      <c r="C306" s="5" t="n"/>
      <c r="D306" s="5" t="n"/>
      <c r="E306" s="5" t="n"/>
      <c r="F306" s="5" t="n"/>
      <c r="G306" s="5" t="n"/>
      <c r="H306" s="5" t="n"/>
      <c r="I306" s="6">
        <f>IF(H306="","",IFERROR(VLOOKUP(H306,Artikel!$A:$E,2,FALSE),"? Nummer prüfen"))</f>
        <v/>
      </c>
      <c r="J306" s="6">
        <f>IF(H306="","",IFERROR(VLOOKUP(H306,Artikel!$A:$E,3,FALSE)&amp;" ("&amp;VLOOKUP(H306,Artikel!$A:$E,4,FALSE)&amp;")",""))</f>
        <v/>
      </c>
      <c r="K306" s="5" t="n"/>
      <c r="L306" s="7">
        <f>IF(H306="","",IFERROR(VLOOKUP(H306,Artikel!$A:$E,5,FALSE),""))</f>
        <v/>
      </c>
      <c r="M306" s="5" t="n"/>
      <c r="N306" s="5" t="n"/>
      <c r="O306" s="5" t="n"/>
      <c r="P306" s="8" t="n"/>
    </row>
    <row r="307">
      <c r="A307" s="4" t="n"/>
      <c r="B307" s="5" t="n"/>
      <c r="C307" s="5" t="n"/>
      <c r="D307" s="5" t="n"/>
      <c r="E307" s="5" t="n"/>
      <c r="F307" s="5" t="n"/>
      <c r="G307" s="5" t="n"/>
      <c r="H307" s="5" t="n"/>
      <c r="I307" s="6">
        <f>IF(H307="","",IFERROR(VLOOKUP(H307,Artikel!$A:$E,2,FALSE),"? Nummer prüfen"))</f>
        <v/>
      </c>
      <c r="J307" s="6">
        <f>IF(H307="","",IFERROR(VLOOKUP(H307,Artikel!$A:$E,3,FALSE)&amp;" ("&amp;VLOOKUP(H307,Artikel!$A:$E,4,FALSE)&amp;")",""))</f>
        <v/>
      </c>
      <c r="K307" s="5" t="n"/>
      <c r="L307" s="7">
        <f>IF(H307="","",IFERROR(VLOOKUP(H307,Artikel!$A:$E,5,FALSE),""))</f>
        <v/>
      </c>
      <c r="M307" s="5" t="n"/>
      <c r="N307" s="5" t="n"/>
      <c r="O307" s="5" t="n"/>
      <c r="P307" s="8" t="n"/>
    </row>
    <row r="308">
      <c r="A308" s="4" t="n"/>
      <c r="B308" s="5" t="n"/>
      <c r="C308" s="5" t="n"/>
      <c r="D308" s="5" t="n"/>
      <c r="E308" s="5" t="n"/>
      <c r="F308" s="5" t="n"/>
      <c r="G308" s="5" t="n"/>
      <c r="H308" s="5" t="n"/>
      <c r="I308" s="6">
        <f>IF(H308="","",IFERROR(VLOOKUP(H308,Artikel!$A:$E,2,FALSE),"? Nummer prüfen"))</f>
        <v/>
      </c>
      <c r="J308" s="6">
        <f>IF(H308="","",IFERROR(VLOOKUP(H308,Artikel!$A:$E,3,FALSE)&amp;" ("&amp;VLOOKUP(H308,Artikel!$A:$E,4,FALSE)&amp;")",""))</f>
        <v/>
      </c>
      <c r="K308" s="5" t="n"/>
      <c r="L308" s="7">
        <f>IF(H308="","",IFERROR(VLOOKUP(H308,Artikel!$A:$E,5,FALSE),""))</f>
        <v/>
      </c>
      <c r="M308" s="5" t="n"/>
      <c r="N308" s="5" t="n"/>
      <c r="O308" s="5" t="n"/>
      <c r="P308" s="8" t="n"/>
    </row>
    <row r="309">
      <c r="A309" s="4" t="n"/>
      <c r="B309" s="5" t="n"/>
      <c r="C309" s="5" t="n"/>
      <c r="D309" s="5" t="n"/>
      <c r="E309" s="5" t="n"/>
      <c r="F309" s="5" t="n"/>
      <c r="G309" s="5" t="n"/>
      <c r="H309" s="5" t="n"/>
      <c r="I309" s="6">
        <f>IF(H309="","",IFERROR(VLOOKUP(H309,Artikel!$A:$E,2,FALSE),"? Nummer prüfen"))</f>
        <v/>
      </c>
      <c r="J309" s="6">
        <f>IF(H309="","",IFERROR(VLOOKUP(H309,Artikel!$A:$E,3,FALSE)&amp;" ("&amp;VLOOKUP(H309,Artikel!$A:$E,4,FALSE)&amp;")",""))</f>
        <v/>
      </c>
      <c r="K309" s="5" t="n"/>
      <c r="L309" s="7">
        <f>IF(H309="","",IFERROR(VLOOKUP(H309,Artikel!$A:$E,5,FALSE),""))</f>
        <v/>
      </c>
      <c r="M309" s="5" t="n"/>
      <c r="N309" s="5" t="n"/>
      <c r="O309" s="5" t="n"/>
      <c r="P309" s="8" t="n"/>
    </row>
    <row r="310">
      <c r="A310" s="4" t="n"/>
      <c r="B310" s="5" t="n"/>
      <c r="C310" s="5" t="n"/>
      <c r="D310" s="5" t="n"/>
      <c r="E310" s="5" t="n"/>
      <c r="F310" s="5" t="n"/>
      <c r="G310" s="5" t="n"/>
      <c r="H310" s="5" t="n"/>
      <c r="I310" s="6">
        <f>IF(H310="","",IFERROR(VLOOKUP(H310,Artikel!$A:$E,2,FALSE),"? Nummer prüfen"))</f>
        <v/>
      </c>
      <c r="J310" s="6">
        <f>IF(H310="","",IFERROR(VLOOKUP(H310,Artikel!$A:$E,3,FALSE)&amp;" ("&amp;VLOOKUP(H310,Artikel!$A:$E,4,FALSE)&amp;")",""))</f>
        <v/>
      </c>
      <c r="K310" s="5" t="n"/>
      <c r="L310" s="7">
        <f>IF(H310="","",IFERROR(VLOOKUP(H310,Artikel!$A:$E,5,FALSE),""))</f>
        <v/>
      </c>
      <c r="M310" s="5" t="n"/>
      <c r="N310" s="5" t="n"/>
      <c r="O310" s="5" t="n"/>
      <c r="P310" s="8" t="n"/>
    </row>
    <row r="311">
      <c r="A311" s="4" t="n"/>
      <c r="B311" s="5" t="n"/>
      <c r="C311" s="5" t="n"/>
      <c r="D311" s="5" t="n"/>
      <c r="E311" s="5" t="n"/>
      <c r="F311" s="5" t="n"/>
      <c r="G311" s="5" t="n"/>
      <c r="H311" s="5" t="n"/>
      <c r="I311" s="6">
        <f>IF(H311="","",IFERROR(VLOOKUP(H311,Artikel!$A:$E,2,FALSE),"? Nummer prüfen"))</f>
        <v/>
      </c>
      <c r="J311" s="6">
        <f>IF(H311="","",IFERROR(VLOOKUP(H311,Artikel!$A:$E,3,FALSE)&amp;" ("&amp;VLOOKUP(H311,Artikel!$A:$E,4,FALSE)&amp;")",""))</f>
        <v/>
      </c>
      <c r="K311" s="5" t="n"/>
      <c r="L311" s="7">
        <f>IF(H311="","",IFERROR(VLOOKUP(H311,Artikel!$A:$E,5,FALSE),""))</f>
        <v/>
      </c>
      <c r="M311" s="5" t="n"/>
      <c r="N311" s="5" t="n"/>
      <c r="O311" s="5" t="n"/>
      <c r="P311" s="8" t="n"/>
    </row>
    <row r="312">
      <c r="A312" s="4" t="n"/>
      <c r="B312" s="5" t="n"/>
      <c r="C312" s="5" t="n"/>
      <c r="D312" s="5" t="n"/>
      <c r="E312" s="5" t="n"/>
      <c r="F312" s="5" t="n"/>
      <c r="G312" s="5" t="n"/>
      <c r="H312" s="5" t="n"/>
      <c r="I312" s="6">
        <f>IF(H312="","",IFERROR(VLOOKUP(H312,Artikel!$A:$E,2,FALSE),"? Nummer prüfen"))</f>
        <v/>
      </c>
      <c r="J312" s="6">
        <f>IF(H312="","",IFERROR(VLOOKUP(H312,Artikel!$A:$E,3,FALSE)&amp;" ("&amp;VLOOKUP(H312,Artikel!$A:$E,4,FALSE)&amp;")",""))</f>
        <v/>
      </c>
      <c r="K312" s="5" t="n"/>
      <c r="L312" s="7">
        <f>IF(H312="","",IFERROR(VLOOKUP(H312,Artikel!$A:$E,5,FALSE),""))</f>
        <v/>
      </c>
      <c r="M312" s="5" t="n"/>
      <c r="N312" s="5" t="n"/>
      <c r="O312" s="5" t="n"/>
      <c r="P312" s="8" t="n"/>
    </row>
    <row r="313">
      <c r="A313" s="4" t="n"/>
      <c r="B313" s="5" t="n"/>
      <c r="C313" s="5" t="n"/>
      <c r="D313" s="5" t="n"/>
      <c r="E313" s="5" t="n"/>
      <c r="F313" s="5" t="n"/>
      <c r="G313" s="5" t="n"/>
      <c r="H313" s="5" t="n"/>
      <c r="I313" s="6">
        <f>IF(H313="","",IFERROR(VLOOKUP(H313,Artikel!$A:$E,2,FALSE),"? Nummer prüfen"))</f>
        <v/>
      </c>
      <c r="J313" s="6">
        <f>IF(H313="","",IFERROR(VLOOKUP(H313,Artikel!$A:$E,3,FALSE)&amp;" ("&amp;VLOOKUP(H313,Artikel!$A:$E,4,FALSE)&amp;")",""))</f>
        <v/>
      </c>
      <c r="K313" s="5" t="n"/>
      <c r="L313" s="7">
        <f>IF(H313="","",IFERROR(VLOOKUP(H313,Artikel!$A:$E,5,FALSE),""))</f>
        <v/>
      </c>
      <c r="M313" s="5" t="n"/>
      <c r="N313" s="5" t="n"/>
      <c r="O313" s="5" t="n"/>
      <c r="P313" s="8" t="n"/>
    </row>
    <row r="314">
      <c r="A314" s="4" t="n"/>
      <c r="B314" s="5" t="n"/>
      <c r="C314" s="5" t="n"/>
      <c r="D314" s="5" t="n"/>
      <c r="E314" s="5" t="n"/>
      <c r="F314" s="5" t="n"/>
      <c r="G314" s="5" t="n"/>
      <c r="H314" s="5" t="n"/>
      <c r="I314" s="6">
        <f>IF(H314="","",IFERROR(VLOOKUP(H314,Artikel!$A:$E,2,FALSE),"? Nummer prüfen"))</f>
        <v/>
      </c>
      <c r="J314" s="6">
        <f>IF(H314="","",IFERROR(VLOOKUP(H314,Artikel!$A:$E,3,FALSE)&amp;" ("&amp;VLOOKUP(H314,Artikel!$A:$E,4,FALSE)&amp;")",""))</f>
        <v/>
      </c>
      <c r="K314" s="5" t="n"/>
      <c r="L314" s="7">
        <f>IF(H314="","",IFERROR(VLOOKUP(H314,Artikel!$A:$E,5,FALSE),""))</f>
        <v/>
      </c>
      <c r="M314" s="5" t="n"/>
      <c r="N314" s="5" t="n"/>
      <c r="O314" s="5" t="n"/>
      <c r="P314" s="8" t="n"/>
    </row>
    <row r="315">
      <c r="A315" s="4" t="n"/>
      <c r="B315" s="5" t="n"/>
      <c r="C315" s="5" t="n"/>
      <c r="D315" s="5" t="n"/>
      <c r="E315" s="5" t="n"/>
      <c r="F315" s="5" t="n"/>
      <c r="G315" s="5" t="n"/>
      <c r="H315" s="5" t="n"/>
      <c r="I315" s="6">
        <f>IF(H315="","",IFERROR(VLOOKUP(H315,Artikel!$A:$E,2,FALSE),"? Nummer prüfen"))</f>
        <v/>
      </c>
      <c r="J315" s="6">
        <f>IF(H315="","",IFERROR(VLOOKUP(H315,Artikel!$A:$E,3,FALSE)&amp;" ("&amp;VLOOKUP(H315,Artikel!$A:$E,4,FALSE)&amp;")",""))</f>
        <v/>
      </c>
      <c r="K315" s="5" t="n"/>
      <c r="L315" s="7">
        <f>IF(H315="","",IFERROR(VLOOKUP(H315,Artikel!$A:$E,5,FALSE),""))</f>
        <v/>
      </c>
      <c r="M315" s="5" t="n"/>
      <c r="N315" s="5" t="n"/>
      <c r="O315" s="5" t="n"/>
      <c r="P315" s="8" t="n"/>
    </row>
    <row r="316">
      <c r="A316" s="4" t="n"/>
      <c r="B316" s="5" t="n"/>
      <c r="C316" s="5" t="n"/>
      <c r="D316" s="5" t="n"/>
      <c r="E316" s="5" t="n"/>
      <c r="F316" s="5" t="n"/>
      <c r="G316" s="5" t="n"/>
      <c r="H316" s="5" t="n"/>
      <c r="I316" s="6">
        <f>IF(H316="","",IFERROR(VLOOKUP(H316,Artikel!$A:$E,2,FALSE),"? Nummer prüfen"))</f>
        <v/>
      </c>
      <c r="J316" s="6">
        <f>IF(H316="","",IFERROR(VLOOKUP(H316,Artikel!$A:$E,3,FALSE)&amp;" ("&amp;VLOOKUP(H316,Artikel!$A:$E,4,FALSE)&amp;")",""))</f>
        <v/>
      </c>
      <c r="K316" s="5" t="n"/>
      <c r="L316" s="7">
        <f>IF(H316="","",IFERROR(VLOOKUP(H316,Artikel!$A:$E,5,FALSE),""))</f>
        <v/>
      </c>
      <c r="M316" s="5" t="n"/>
      <c r="N316" s="5" t="n"/>
      <c r="O316" s="5" t="n"/>
      <c r="P316" s="8" t="n"/>
    </row>
    <row r="317">
      <c r="A317" s="4" t="n"/>
      <c r="B317" s="5" t="n"/>
      <c r="C317" s="5" t="n"/>
      <c r="D317" s="5" t="n"/>
      <c r="E317" s="5" t="n"/>
      <c r="F317" s="5" t="n"/>
      <c r="G317" s="5" t="n"/>
      <c r="H317" s="5" t="n"/>
      <c r="I317" s="6">
        <f>IF(H317="","",IFERROR(VLOOKUP(H317,Artikel!$A:$E,2,FALSE),"? Nummer prüfen"))</f>
        <v/>
      </c>
      <c r="J317" s="6">
        <f>IF(H317="","",IFERROR(VLOOKUP(H317,Artikel!$A:$E,3,FALSE)&amp;" ("&amp;VLOOKUP(H317,Artikel!$A:$E,4,FALSE)&amp;")",""))</f>
        <v/>
      </c>
      <c r="K317" s="5" t="n"/>
      <c r="L317" s="7">
        <f>IF(H317="","",IFERROR(VLOOKUP(H317,Artikel!$A:$E,5,FALSE),""))</f>
        <v/>
      </c>
      <c r="M317" s="5" t="n"/>
      <c r="N317" s="5" t="n"/>
      <c r="O317" s="5" t="n"/>
      <c r="P317" s="8" t="n"/>
    </row>
    <row r="318">
      <c r="A318" s="4" t="n"/>
      <c r="B318" s="5" t="n"/>
      <c r="C318" s="5" t="n"/>
      <c r="D318" s="5" t="n"/>
      <c r="E318" s="5" t="n"/>
      <c r="F318" s="5" t="n"/>
      <c r="G318" s="5" t="n"/>
      <c r="H318" s="5" t="n"/>
      <c r="I318" s="6">
        <f>IF(H318="","",IFERROR(VLOOKUP(H318,Artikel!$A:$E,2,FALSE),"? Nummer prüfen"))</f>
        <v/>
      </c>
      <c r="J318" s="6">
        <f>IF(H318="","",IFERROR(VLOOKUP(H318,Artikel!$A:$E,3,FALSE)&amp;" ("&amp;VLOOKUP(H318,Artikel!$A:$E,4,FALSE)&amp;")",""))</f>
        <v/>
      </c>
      <c r="K318" s="5" t="n"/>
      <c r="L318" s="7">
        <f>IF(H318="","",IFERROR(VLOOKUP(H318,Artikel!$A:$E,5,FALSE),""))</f>
        <v/>
      </c>
      <c r="M318" s="5" t="n"/>
      <c r="N318" s="5" t="n"/>
      <c r="O318" s="5" t="n"/>
      <c r="P318" s="8" t="n"/>
    </row>
    <row r="319">
      <c r="A319" s="4" t="n"/>
      <c r="B319" s="5" t="n"/>
      <c r="C319" s="5" t="n"/>
      <c r="D319" s="5" t="n"/>
      <c r="E319" s="5" t="n"/>
      <c r="F319" s="5" t="n"/>
      <c r="G319" s="5" t="n"/>
      <c r="H319" s="5" t="n"/>
      <c r="I319" s="6">
        <f>IF(H319="","",IFERROR(VLOOKUP(H319,Artikel!$A:$E,2,FALSE),"? Nummer prüfen"))</f>
        <v/>
      </c>
      <c r="J319" s="6">
        <f>IF(H319="","",IFERROR(VLOOKUP(H319,Artikel!$A:$E,3,FALSE)&amp;" ("&amp;VLOOKUP(H319,Artikel!$A:$E,4,FALSE)&amp;")",""))</f>
        <v/>
      </c>
      <c r="K319" s="5" t="n"/>
      <c r="L319" s="7">
        <f>IF(H319="","",IFERROR(VLOOKUP(H319,Artikel!$A:$E,5,FALSE),""))</f>
        <v/>
      </c>
      <c r="M319" s="5" t="n"/>
      <c r="N319" s="5" t="n"/>
      <c r="O319" s="5" t="n"/>
      <c r="P319" s="8" t="n"/>
    </row>
    <row r="320">
      <c r="A320" s="4" t="n"/>
      <c r="B320" s="5" t="n"/>
      <c r="C320" s="5" t="n"/>
      <c r="D320" s="5" t="n"/>
      <c r="E320" s="5" t="n"/>
      <c r="F320" s="5" t="n"/>
      <c r="G320" s="5" t="n"/>
      <c r="H320" s="5" t="n"/>
      <c r="I320" s="6">
        <f>IF(H320="","",IFERROR(VLOOKUP(H320,Artikel!$A:$E,2,FALSE),"? Nummer prüfen"))</f>
        <v/>
      </c>
      <c r="J320" s="6">
        <f>IF(H320="","",IFERROR(VLOOKUP(H320,Artikel!$A:$E,3,FALSE)&amp;" ("&amp;VLOOKUP(H320,Artikel!$A:$E,4,FALSE)&amp;")",""))</f>
        <v/>
      </c>
      <c r="K320" s="5" t="n"/>
      <c r="L320" s="7">
        <f>IF(H320="","",IFERROR(VLOOKUP(H320,Artikel!$A:$E,5,FALSE),""))</f>
        <v/>
      </c>
      <c r="M320" s="5" t="n"/>
      <c r="N320" s="5" t="n"/>
      <c r="O320" s="5" t="n"/>
      <c r="P320" s="8" t="n"/>
    </row>
    <row r="321">
      <c r="A321" s="4" t="n"/>
      <c r="B321" s="5" t="n"/>
      <c r="C321" s="5" t="n"/>
      <c r="D321" s="5" t="n"/>
      <c r="E321" s="5" t="n"/>
      <c r="F321" s="5" t="n"/>
      <c r="G321" s="5" t="n"/>
      <c r="H321" s="5" t="n"/>
      <c r="I321" s="6">
        <f>IF(H321="","",IFERROR(VLOOKUP(H321,Artikel!$A:$E,2,FALSE),"? Nummer prüfen"))</f>
        <v/>
      </c>
      <c r="J321" s="6">
        <f>IF(H321="","",IFERROR(VLOOKUP(H321,Artikel!$A:$E,3,FALSE)&amp;" ("&amp;VLOOKUP(H321,Artikel!$A:$E,4,FALSE)&amp;")",""))</f>
        <v/>
      </c>
      <c r="K321" s="5" t="n"/>
      <c r="L321" s="7">
        <f>IF(H321="","",IFERROR(VLOOKUP(H321,Artikel!$A:$E,5,FALSE),""))</f>
        <v/>
      </c>
      <c r="M321" s="5" t="n"/>
      <c r="N321" s="5" t="n"/>
      <c r="O321" s="5" t="n"/>
      <c r="P321" s="8" t="n"/>
    </row>
    <row r="322">
      <c r="A322" s="4" t="n"/>
      <c r="B322" s="5" t="n"/>
      <c r="C322" s="5" t="n"/>
      <c r="D322" s="5" t="n"/>
      <c r="E322" s="5" t="n"/>
      <c r="F322" s="5" t="n"/>
      <c r="G322" s="5" t="n"/>
      <c r="H322" s="5" t="n"/>
      <c r="I322" s="6">
        <f>IF(H322="","",IFERROR(VLOOKUP(H322,Artikel!$A:$E,2,FALSE),"? Nummer prüfen"))</f>
        <v/>
      </c>
      <c r="J322" s="6">
        <f>IF(H322="","",IFERROR(VLOOKUP(H322,Artikel!$A:$E,3,FALSE)&amp;" ("&amp;VLOOKUP(H322,Artikel!$A:$E,4,FALSE)&amp;")",""))</f>
        <v/>
      </c>
      <c r="K322" s="5" t="n"/>
      <c r="L322" s="7">
        <f>IF(H322="","",IFERROR(VLOOKUP(H322,Artikel!$A:$E,5,FALSE),""))</f>
        <v/>
      </c>
      <c r="M322" s="5" t="n"/>
      <c r="N322" s="5" t="n"/>
      <c r="O322" s="5" t="n"/>
      <c r="P322" s="8" t="n"/>
    </row>
    <row r="323">
      <c r="A323" s="4" t="n"/>
      <c r="B323" s="5" t="n"/>
      <c r="C323" s="5" t="n"/>
      <c r="D323" s="5" t="n"/>
      <c r="E323" s="5" t="n"/>
      <c r="F323" s="5" t="n"/>
      <c r="G323" s="5" t="n"/>
      <c r="H323" s="5" t="n"/>
      <c r="I323" s="6">
        <f>IF(H323="","",IFERROR(VLOOKUP(H323,Artikel!$A:$E,2,FALSE),"? Nummer prüfen"))</f>
        <v/>
      </c>
      <c r="J323" s="6">
        <f>IF(H323="","",IFERROR(VLOOKUP(H323,Artikel!$A:$E,3,FALSE)&amp;" ("&amp;VLOOKUP(H323,Artikel!$A:$E,4,FALSE)&amp;")",""))</f>
        <v/>
      </c>
      <c r="K323" s="5" t="n"/>
      <c r="L323" s="7">
        <f>IF(H323="","",IFERROR(VLOOKUP(H323,Artikel!$A:$E,5,FALSE),""))</f>
        <v/>
      </c>
      <c r="M323" s="5" t="n"/>
      <c r="N323" s="5" t="n"/>
      <c r="O323" s="5" t="n"/>
      <c r="P323" s="8" t="n"/>
    </row>
    <row r="324">
      <c r="A324" s="4" t="n"/>
      <c r="B324" s="5" t="n"/>
      <c r="C324" s="5" t="n"/>
      <c r="D324" s="5" t="n"/>
      <c r="E324" s="5" t="n"/>
      <c r="F324" s="5" t="n"/>
      <c r="G324" s="5" t="n"/>
      <c r="H324" s="5" t="n"/>
      <c r="I324" s="6">
        <f>IF(H324="","",IFERROR(VLOOKUP(H324,Artikel!$A:$E,2,FALSE),"? Nummer prüfen"))</f>
        <v/>
      </c>
      <c r="J324" s="6">
        <f>IF(H324="","",IFERROR(VLOOKUP(H324,Artikel!$A:$E,3,FALSE)&amp;" ("&amp;VLOOKUP(H324,Artikel!$A:$E,4,FALSE)&amp;")",""))</f>
        <v/>
      </c>
      <c r="K324" s="5" t="n"/>
      <c r="L324" s="7">
        <f>IF(H324="","",IFERROR(VLOOKUP(H324,Artikel!$A:$E,5,FALSE),""))</f>
        <v/>
      </c>
      <c r="M324" s="5" t="n"/>
      <c r="N324" s="5" t="n"/>
      <c r="O324" s="5" t="n"/>
      <c r="P324" s="8" t="n"/>
    </row>
    <row r="325">
      <c r="A325" s="4" t="n"/>
      <c r="B325" s="5" t="n"/>
      <c r="C325" s="5" t="n"/>
      <c r="D325" s="5" t="n"/>
      <c r="E325" s="5" t="n"/>
      <c r="F325" s="5" t="n"/>
      <c r="G325" s="5" t="n"/>
      <c r="H325" s="5" t="n"/>
      <c r="I325" s="6">
        <f>IF(H325="","",IFERROR(VLOOKUP(H325,Artikel!$A:$E,2,FALSE),"? Nummer prüfen"))</f>
        <v/>
      </c>
      <c r="J325" s="6">
        <f>IF(H325="","",IFERROR(VLOOKUP(H325,Artikel!$A:$E,3,FALSE)&amp;" ("&amp;VLOOKUP(H325,Artikel!$A:$E,4,FALSE)&amp;")",""))</f>
        <v/>
      </c>
      <c r="K325" s="5" t="n"/>
      <c r="L325" s="7">
        <f>IF(H325="","",IFERROR(VLOOKUP(H325,Artikel!$A:$E,5,FALSE),""))</f>
        <v/>
      </c>
      <c r="M325" s="5" t="n"/>
      <c r="N325" s="5" t="n"/>
      <c r="O325" s="5" t="n"/>
      <c r="P325" s="8" t="n"/>
    </row>
    <row r="326">
      <c r="A326" s="4" t="n"/>
      <c r="B326" s="5" t="n"/>
      <c r="C326" s="5" t="n"/>
      <c r="D326" s="5" t="n"/>
      <c r="E326" s="5" t="n"/>
      <c r="F326" s="5" t="n"/>
      <c r="G326" s="5" t="n"/>
      <c r="H326" s="5" t="n"/>
      <c r="I326" s="6">
        <f>IF(H326="","",IFERROR(VLOOKUP(H326,Artikel!$A:$E,2,FALSE),"? Nummer prüfen"))</f>
        <v/>
      </c>
      <c r="J326" s="6">
        <f>IF(H326="","",IFERROR(VLOOKUP(H326,Artikel!$A:$E,3,FALSE)&amp;" ("&amp;VLOOKUP(H326,Artikel!$A:$E,4,FALSE)&amp;")",""))</f>
        <v/>
      </c>
      <c r="K326" s="5" t="n"/>
      <c r="L326" s="7">
        <f>IF(H326="","",IFERROR(VLOOKUP(H326,Artikel!$A:$E,5,FALSE),""))</f>
        <v/>
      </c>
      <c r="M326" s="5" t="n"/>
      <c r="N326" s="5" t="n"/>
      <c r="O326" s="5" t="n"/>
      <c r="P326" s="8" t="n"/>
    </row>
    <row r="327">
      <c r="A327" s="4" t="n"/>
      <c r="B327" s="5" t="n"/>
      <c r="C327" s="5" t="n"/>
      <c r="D327" s="5" t="n"/>
      <c r="E327" s="5" t="n"/>
      <c r="F327" s="5" t="n"/>
      <c r="G327" s="5" t="n"/>
      <c r="H327" s="5" t="n"/>
      <c r="I327" s="6">
        <f>IF(H327="","",IFERROR(VLOOKUP(H327,Artikel!$A:$E,2,FALSE),"? Nummer prüfen"))</f>
        <v/>
      </c>
      <c r="J327" s="6">
        <f>IF(H327="","",IFERROR(VLOOKUP(H327,Artikel!$A:$E,3,FALSE)&amp;" ("&amp;VLOOKUP(H327,Artikel!$A:$E,4,FALSE)&amp;")",""))</f>
        <v/>
      </c>
      <c r="K327" s="5" t="n"/>
      <c r="L327" s="7">
        <f>IF(H327="","",IFERROR(VLOOKUP(H327,Artikel!$A:$E,5,FALSE),""))</f>
        <v/>
      </c>
      <c r="M327" s="5" t="n"/>
      <c r="N327" s="5" t="n"/>
      <c r="O327" s="5" t="n"/>
      <c r="P327" s="8" t="n"/>
    </row>
    <row r="328">
      <c r="A328" s="4" t="n"/>
      <c r="B328" s="5" t="n"/>
      <c r="C328" s="5" t="n"/>
      <c r="D328" s="5" t="n"/>
      <c r="E328" s="5" t="n"/>
      <c r="F328" s="5" t="n"/>
      <c r="G328" s="5" t="n"/>
      <c r="H328" s="5" t="n"/>
      <c r="I328" s="6">
        <f>IF(H328="","",IFERROR(VLOOKUP(H328,Artikel!$A:$E,2,FALSE),"? Nummer prüfen"))</f>
        <v/>
      </c>
      <c r="J328" s="6">
        <f>IF(H328="","",IFERROR(VLOOKUP(H328,Artikel!$A:$E,3,FALSE)&amp;" ("&amp;VLOOKUP(H328,Artikel!$A:$E,4,FALSE)&amp;")",""))</f>
        <v/>
      </c>
      <c r="K328" s="5" t="n"/>
      <c r="L328" s="7">
        <f>IF(H328="","",IFERROR(VLOOKUP(H328,Artikel!$A:$E,5,FALSE),""))</f>
        <v/>
      </c>
      <c r="M328" s="5" t="n"/>
      <c r="N328" s="5" t="n"/>
      <c r="O328" s="5" t="n"/>
      <c r="P328" s="8" t="n"/>
    </row>
    <row r="329">
      <c r="A329" s="4" t="n"/>
      <c r="B329" s="5" t="n"/>
      <c r="C329" s="5" t="n"/>
      <c r="D329" s="5" t="n"/>
      <c r="E329" s="5" t="n"/>
      <c r="F329" s="5" t="n"/>
      <c r="G329" s="5" t="n"/>
      <c r="H329" s="5" t="n"/>
      <c r="I329" s="6">
        <f>IF(H329="","",IFERROR(VLOOKUP(H329,Artikel!$A:$E,2,FALSE),"? Nummer prüfen"))</f>
        <v/>
      </c>
      <c r="J329" s="6">
        <f>IF(H329="","",IFERROR(VLOOKUP(H329,Artikel!$A:$E,3,FALSE)&amp;" ("&amp;VLOOKUP(H329,Artikel!$A:$E,4,FALSE)&amp;")",""))</f>
        <v/>
      </c>
      <c r="K329" s="5" t="n"/>
      <c r="L329" s="7">
        <f>IF(H329="","",IFERROR(VLOOKUP(H329,Artikel!$A:$E,5,FALSE),""))</f>
        <v/>
      </c>
      <c r="M329" s="5" t="n"/>
      <c r="N329" s="5" t="n"/>
      <c r="O329" s="5" t="n"/>
      <c r="P329" s="8" t="n"/>
    </row>
    <row r="330">
      <c r="A330" s="4" t="n"/>
      <c r="B330" s="5" t="n"/>
      <c r="C330" s="5" t="n"/>
      <c r="D330" s="5" t="n"/>
      <c r="E330" s="5" t="n"/>
      <c r="F330" s="5" t="n"/>
      <c r="G330" s="5" t="n"/>
      <c r="H330" s="5" t="n"/>
      <c r="I330" s="6">
        <f>IF(H330="","",IFERROR(VLOOKUP(H330,Artikel!$A:$E,2,FALSE),"? Nummer prüfen"))</f>
        <v/>
      </c>
      <c r="J330" s="6">
        <f>IF(H330="","",IFERROR(VLOOKUP(H330,Artikel!$A:$E,3,FALSE)&amp;" ("&amp;VLOOKUP(H330,Artikel!$A:$E,4,FALSE)&amp;")",""))</f>
        <v/>
      </c>
      <c r="K330" s="5" t="n"/>
      <c r="L330" s="7">
        <f>IF(H330="","",IFERROR(VLOOKUP(H330,Artikel!$A:$E,5,FALSE),""))</f>
        <v/>
      </c>
      <c r="M330" s="5" t="n"/>
      <c r="N330" s="5" t="n"/>
      <c r="O330" s="5" t="n"/>
      <c r="P330" s="8" t="n"/>
    </row>
    <row r="331">
      <c r="A331" s="4" t="n"/>
      <c r="B331" s="5" t="n"/>
      <c r="C331" s="5" t="n"/>
      <c r="D331" s="5" t="n"/>
      <c r="E331" s="5" t="n"/>
      <c r="F331" s="5" t="n"/>
      <c r="G331" s="5" t="n"/>
      <c r="H331" s="5" t="n"/>
      <c r="I331" s="6">
        <f>IF(H331="","",IFERROR(VLOOKUP(H331,Artikel!$A:$E,2,FALSE),"? Nummer prüfen"))</f>
        <v/>
      </c>
      <c r="J331" s="6">
        <f>IF(H331="","",IFERROR(VLOOKUP(H331,Artikel!$A:$E,3,FALSE)&amp;" ("&amp;VLOOKUP(H331,Artikel!$A:$E,4,FALSE)&amp;")",""))</f>
        <v/>
      </c>
      <c r="K331" s="5" t="n"/>
      <c r="L331" s="7">
        <f>IF(H331="","",IFERROR(VLOOKUP(H331,Artikel!$A:$E,5,FALSE),""))</f>
        <v/>
      </c>
      <c r="M331" s="5" t="n"/>
      <c r="N331" s="5" t="n"/>
      <c r="O331" s="5" t="n"/>
      <c r="P331" s="8" t="n"/>
    </row>
    <row r="332">
      <c r="A332" s="4" t="n"/>
      <c r="B332" s="5" t="n"/>
      <c r="C332" s="5" t="n"/>
      <c r="D332" s="5" t="n"/>
      <c r="E332" s="5" t="n"/>
      <c r="F332" s="5" t="n"/>
      <c r="G332" s="5" t="n"/>
      <c r="H332" s="5" t="n"/>
      <c r="I332" s="6">
        <f>IF(H332="","",IFERROR(VLOOKUP(H332,Artikel!$A:$E,2,FALSE),"? Nummer prüfen"))</f>
        <v/>
      </c>
      <c r="J332" s="6">
        <f>IF(H332="","",IFERROR(VLOOKUP(H332,Artikel!$A:$E,3,FALSE)&amp;" ("&amp;VLOOKUP(H332,Artikel!$A:$E,4,FALSE)&amp;")",""))</f>
        <v/>
      </c>
      <c r="K332" s="5" t="n"/>
      <c r="L332" s="7">
        <f>IF(H332="","",IFERROR(VLOOKUP(H332,Artikel!$A:$E,5,FALSE),""))</f>
        <v/>
      </c>
      <c r="M332" s="5" t="n"/>
      <c r="N332" s="5" t="n"/>
      <c r="O332" s="5" t="n"/>
      <c r="P332" s="8" t="n"/>
    </row>
    <row r="333">
      <c r="A333" s="4" t="n"/>
      <c r="B333" s="5" t="n"/>
      <c r="C333" s="5" t="n"/>
      <c r="D333" s="5" t="n"/>
      <c r="E333" s="5" t="n"/>
      <c r="F333" s="5" t="n"/>
      <c r="G333" s="5" t="n"/>
      <c r="H333" s="5" t="n"/>
      <c r="I333" s="6">
        <f>IF(H333="","",IFERROR(VLOOKUP(H333,Artikel!$A:$E,2,FALSE),"? Nummer prüfen"))</f>
        <v/>
      </c>
      <c r="J333" s="6">
        <f>IF(H333="","",IFERROR(VLOOKUP(H333,Artikel!$A:$E,3,FALSE)&amp;" ("&amp;VLOOKUP(H333,Artikel!$A:$E,4,FALSE)&amp;")",""))</f>
        <v/>
      </c>
      <c r="K333" s="5" t="n"/>
      <c r="L333" s="7">
        <f>IF(H333="","",IFERROR(VLOOKUP(H333,Artikel!$A:$E,5,FALSE),""))</f>
        <v/>
      </c>
      <c r="M333" s="5" t="n"/>
      <c r="N333" s="5" t="n"/>
      <c r="O333" s="5" t="n"/>
      <c r="P333" s="8" t="n"/>
    </row>
    <row r="334">
      <c r="A334" s="4" t="n"/>
      <c r="B334" s="5" t="n"/>
      <c r="C334" s="5" t="n"/>
      <c r="D334" s="5" t="n"/>
      <c r="E334" s="5" t="n"/>
      <c r="F334" s="5" t="n"/>
      <c r="G334" s="5" t="n"/>
      <c r="H334" s="5" t="n"/>
      <c r="I334" s="6">
        <f>IF(H334="","",IFERROR(VLOOKUP(H334,Artikel!$A:$E,2,FALSE),"? Nummer prüfen"))</f>
        <v/>
      </c>
      <c r="J334" s="6">
        <f>IF(H334="","",IFERROR(VLOOKUP(H334,Artikel!$A:$E,3,FALSE)&amp;" ("&amp;VLOOKUP(H334,Artikel!$A:$E,4,FALSE)&amp;")",""))</f>
        <v/>
      </c>
      <c r="K334" s="5" t="n"/>
      <c r="L334" s="7">
        <f>IF(H334="","",IFERROR(VLOOKUP(H334,Artikel!$A:$E,5,FALSE),""))</f>
        <v/>
      </c>
      <c r="M334" s="5" t="n"/>
      <c r="N334" s="5" t="n"/>
      <c r="O334" s="5" t="n"/>
      <c r="P334" s="8" t="n"/>
    </row>
    <row r="335">
      <c r="A335" s="4" t="n"/>
      <c r="B335" s="5" t="n"/>
      <c r="C335" s="5" t="n"/>
      <c r="D335" s="5" t="n"/>
      <c r="E335" s="5" t="n"/>
      <c r="F335" s="5" t="n"/>
      <c r="G335" s="5" t="n"/>
      <c r="H335" s="5" t="n"/>
      <c r="I335" s="6">
        <f>IF(H335="","",IFERROR(VLOOKUP(H335,Artikel!$A:$E,2,FALSE),"? Nummer prüfen"))</f>
        <v/>
      </c>
      <c r="J335" s="6">
        <f>IF(H335="","",IFERROR(VLOOKUP(H335,Artikel!$A:$E,3,FALSE)&amp;" ("&amp;VLOOKUP(H335,Artikel!$A:$E,4,FALSE)&amp;")",""))</f>
        <v/>
      </c>
      <c r="K335" s="5" t="n"/>
      <c r="L335" s="7">
        <f>IF(H335="","",IFERROR(VLOOKUP(H335,Artikel!$A:$E,5,FALSE),""))</f>
        <v/>
      </c>
      <c r="M335" s="5" t="n"/>
      <c r="N335" s="5" t="n"/>
      <c r="O335" s="5" t="n"/>
      <c r="P335" s="8" t="n"/>
    </row>
    <row r="336">
      <c r="A336" s="4" t="n"/>
      <c r="B336" s="5" t="n"/>
      <c r="C336" s="5" t="n"/>
      <c r="D336" s="5" t="n"/>
      <c r="E336" s="5" t="n"/>
      <c r="F336" s="5" t="n"/>
      <c r="G336" s="5" t="n"/>
      <c r="H336" s="5" t="n"/>
      <c r="I336" s="6">
        <f>IF(H336="","",IFERROR(VLOOKUP(H336,Artikel!$A:$E,2,FALSE),"? Nummer prüfen"))</f>
        <v/>
      </c>
      <c r="J336" s="6">
        <f>IF(H336="","",IFERROR(VLOOKUP(H336,Artikel!$A:$E,3,FALSE)&amp;" ("&amp;VLOOKUP(H336,Artikel!$A:$E,4,FALSE)&amp;")",""))</f>
        <v/>
      </c>
      <c r="K336" s="5" t="n"/>
      <c r="L336" s="7">
        <f>IF(H336="","",IFERROR(VLOOKUP(H336,Artikel!$A:$E,5,FALSE),""))</f>
        <v/>
      </c>
      <c r="M336" s="5" t="n"/>
      <c r="N336" s="5" t="n"/>
      <c r="O336" s="5" t="n"/>
      <c r="P336" s="8" t="n"/>
    </row>
    <row r="337">
      <c r="A337" s="4" t="n"/>
      <c r="B337" s="5" t="n"/>
      <c r="C337" s="5" t="n"/>
      <c r="D337" s="5" t="n"/>
      <c r="E337" s="5" t="n"/>
      <c r="F337" s="5" t="n"/>
      <c r="G337" s="5" t="n"/>
      <c r="H337" s="5" t="n"/>
      <c r="I337" s="6">
        <f>IF(H337="","",IFERROR(VLOOKUP(H337,Artikel!$A:$E,2,FALSE),"? Nummer prüfen"))</f>
        <v/>
      </c>
      <c r="J337" s="6">
        <f>IF(H337="","",IFERROR(VLOOKUP(H337,Artikel!$A:$E,3,FALSE)&amp;" ("&amp;VLOOKUP(H337,Artikel!$A:$E,4,FALSE)&amp;")",""))</f>
        <v/>
      </c>
      <c r="K337" s="5" t="n"/>
      <c r="L337" s="7">
        <f>IF(H337="","",IFERROR(VLOOKUP(H337,Artikel!$A:$E,5,FALSE),""))</f>
        <v/>
      </c>
      <c r="M337" s="5" t="n"/>
      <c r="N337" s="5" t="n"/>
      <c r="O337" s="5" t="n"/>
      <c r="P337" s="8" t="n"/>
    </row>
    <row r="338">
      <c r="A338" s="4" t="n"/>
      <c r="B338" s="5" t="n"/>
      <c r="C338" s="5" t="n"/>
      <c r="D338" s="5" t="n"/>
      <c r="E338" s="5" t="n"/>
      <c r="F338" s="5" t="n"/>
      <c r="G338" s="5" t="n"/>
      <c r="H338" s="5" t="n"/>
      <c r="I338" s="6">
        <f>IF(H338="","",IFERROR(VLOOKUP(H338,Artikel!$A:$E,2,FALSE),"? Nummer prüfen"))</f>
        <v/>
      </c>
      <c r="J338" s="6">
        <f>IF(H338="","",IFERROR(VLOOKUP(H338,Artikel!$A:$E,3,FALSE)&amp;" ("&amp;VLOOKUP(H338,Artikel!$A:$E,4,FALSE)&amp;")",""))</f>
        <v/>
      </c>
      <c r="K338" s="5" t="n"/>
      <c r="L338" s="7">
        <f>IF(H338="","",IFERROR(VLOOKUP(H338,Artikel!$A:$E,5,FALSE),""))</f>
        <v/>
      </c>
      <c r="M338" s="5" t="n"/>
      <c r="N338" s="5" t="n"/>
      <c r="O338" s="5" t="n"/>
      <c r="P338" s="8" t="n"/>
    </row>
    <row r="339">
      <c r="A339" s="4" t="n"/>
      <c r="B339" s="5" t="n"/>
      <c r="C339" s="5" t="n"/>
      <c r="D339" s="5" t="n"/>
      <c r="E339" s="5" t="n"/>
      <c r="F339" s="5" t="n"/>
      <c r="G339" s="5" t="n"/>
      <c r="H339" s="5" t="n"/>
      <c r="I339" s="6">
        <f>IF(H339="","",IFERROR(VLOOKUP(H339,Artikel!$A:$E,2,FALSE),"? Nummer prüfen"))</f>
        <v/>
      </c>
      <c r="J339" s="6">
        <f>IF(H339="","",IFERROR(VLOOKUP(H339,Artikel!$A:$E,3,FALSE)&amp;" ("&amp;VLOOKUP(H339,Artikel!$A:$E,4,FALSE)&amp;")",""))</f>
        <v/>
      </c>
      <c r="K339" s="5" t="n"/>
      <c r="L339" s="7">
        <f>IF(H339="","",IFERROR(VLOOKUP(H339,Artikel!$A:$E,5,FALSE),""))</f>
        <v/>
      </c>
      <c r="M339" s="5" t="n"/>
      <c r="N339" s="5" t="n"/>
      <c r="O339" s="5" t="n"/>
      <c r="P339" s="8" t="n"/>
    </row>
    <row r="340">
      <c r="A340" s="4" t="n"/>
      <c r="B340" s="5" t="n"/>
      <c r="C340" s="5" t="n"/>
      <c r="D340" s="5" t="n"/>
      <c r="E340" s="5" t="n"/>
      <c r="F340" s="5" t="n"/>
      <c r="G340" s="5" t="n"/>
      <c r="H340" s="5" t="n"/>
      <c r="I340" s="6">
        <f>IF(H340="","",IFERROR(VLOOKUP(H340,Artikel!$A:$E,2,FALSE),"? Nummer prüfen"))</f>
        <v/>
      </c>
      <c r="J340" s="6">
        <f>IF(H340="","",IFERROR(VLOOKUP(H340,Artikel!$A:$E,3,FALSE)&amp;" ("&amp;VLOOKUP(H340,Artikel!$A:$E,4,FALSE)&amp;")",""))</f>
        <v/>
      </c>
      <c r="K340" s="5" t="n"/>
      <c r="L340" s="7">
        <f>IF(H340="","",IFERROR(VLOOKUP(H340,Artikel!$A:$E,5,FALSE),""))</f>
        <v/>
      </c>
      <c r="M340" s="5" t="n"/>
      <c r="N340" s="5" t="n"/>
      <c r="O340" s="5" t="n"/>
      <c r="P340" s="8" t="n"/>
    </row>
    <row r="341">
      <c r="A341" s="4" t="n"/>
      <c r="B341" s="5" t="n"/>
      <c r="C341" s="5" t="n"/>
      <c r="D341" s="5" t="n"/>
      <c r="E341" s="5" t="n"/>
      <c r="F341" s="5" t="n"/>
      <c r="G341" s="5" t="n"/>
      <c r="H341" s="5" t="n"/>
      <c r="I341" s="6">
        <f>IF(H341="","",IFERROR(VLOOKUP(H341,Artikel!$A:$E,2,FALSE),"? Nummer prüfen"))</f>
        <v/>
      </c>
      <c r="J341" s="6">
        <f>IF(H341="","",IFERROR(VLOOKUP(H341,Artikel!$A:$E,3,FALSE)&amp;" ("&amp;VLOOKUP(H341,Artikel!$A:$E,4,FALSE)&amp;")",""))</f>
        <v/>
      </c>
      <c r="K341" s="5" t="n"/>
      <c r="L341" s="7">
        <f>IF(H341="","",IFERROR(VLOOKUP(H341,Artikel!$A:$E,5,FALSE),""))</f>
        <v/>
      </c>
      <c r="M341" s="5" t="n"/>
      <c r="N341" s="5" t="n"/>
      <c r="O341" s="5" t="n"/>
      <c r="P341" s="8" t="n"/>
    </row>
    <row r="342">
      <c r="A342" s="4" t="n"/>
      <c r="B342" s="5" t="n"/>
      <c r="C342" s="5" t="n"/>
      <c r="D342" s="5" t="n"/>
      <c r="E342" s="5" t="n"/>
      <c r="F342" s="5" t="n"/>
      <c r="G342" s="5" t="n"/>
      <c r="H342" s="5" t="n"/>
      <c r="I342" s="6">
        <f>IF(H342="","",IFERROR(VLOOKUP(H342,Artikel!$A:$E,2,FALSE),"? Nummer prüfen"))</f>
        <v/>
      </c>
      <c r="J342" s="6">
        <f>IF(H342="","",IFERROR(VLOOKUP(H342,Artikel!$A:$E,3,FALSE)&amp;" ("&amp;VLOOKUP(H342,Artikel!$A:$E,4,FALSE)&amp;")",""))</f>
        <v/>
      </c>
      <c r="K342" s="5" t="n"/>
      <c r="L342" s="7">
        <f>IF(H342="","",IFERROR(VLOOKUP(H342,Artikel!$A:$E,5,FALSE),""))</f>
        <v/>
      </c>
      <c r="M342" s="5" t="n"/>
      <c r="N342" s="5" t="n"/>
      <c r="O342" s="5" t="n"/>
      <c r="P342" s="8" t="n"/>
    </row>
    <row r="343">
      <c r="A343" s="4" t="n"/>
      <c r="B343" s="5" t="n"/>
      <c r="C343" s="5" t="n"/>
      <c r="D343" s="5" t="n"/>
      <c r="E343" s="5" t="n"/>
      <c r="F343" s="5" t="n"/>
      <c r="G343" s="5" t="n"/>
      <c r="H343" s="5" t="n"/>
      <c r="I343" s="6">
        <f>IF(H343="","",IFERROR(VLOOKUP(H343,Artikel!$A:$E,2,FALSE),"? Nummer prüfen"))</f>
        <v/>
      </c>
      <c r="J343" s="6">
        <f>IF(H343="","",IFERROR(VLOOKUP(H343,Artikel!$A:$E,3,FALSE)&amp;" ("&amp;VLOOKUP(H343,Artikel!$A:$E,4,FALSE)&amp;")",""))</f>
        <v/>
      </c>
      <c r="K343" s="5" t="n"/>
      <c r="L343" s="7">
        <f>IF(H343="","",IFERROR(VLOOKUP(H343,Artikel!$A:$E,5,FALSE),""))</f>
        <v/>
      </c>
      <c r="M343" s="5" t="n"/>
      <c r="N343" s="5" t="n"/>
      <c r="O343" s="5" t="n"/>
      <c r="P343" s="8" t="n"/>
    </row>
    <row r="344">
      <c r="A344" s="4" t="n"/>
      <c r="B344" s="5" t="n"/>
      <c r="C344" s="5" t="n"/>
      <c r="D344" s="5" t="n"/>
      <c r="E344" s="5" t="n"/>
      <c r="F344" s="5" t="n"/>
      <c r="G344" s="5" t="n"/>
      <c r="H344" s="5" t="n"/>
      <c r="I344" s="6">
        <f>IF(H344="","",IFERROR(VLOOKUP(H344,Artikel!$A:$E,2,FALSE),"? Nummer prüfen"))</f>
        <v/>
      </c>
      <c r="J344" s="6">
        <f>IF(H344="","",IFERROR(VLOOKUP(H344,Artikel!$A:$E,3,FALSE)&amp;" ("&amp;VLOOKUP(H344,Artikel!$A:$E,4,FALSE)&amp;")",""))</f>
        <v/>
      </c>
      <c r="K344" s="5" t="n"/>
      <c r="L344" s="7">
        <f>IF(H344="","",IFERROR(VLOOKUP(H344,Artikel!$A:$E,5,FALSE),""))</f>
        <v/>
      </c>
      <c r="M344" s="5" t="n"/>
      <c r="N344" s="5" t="n"/>
      <c r="O344" s="5" t="n"/>
      <c r="P344" s="8" t="n"/>
    </row>
    <row r="345">
      <c r="A345" s="4" t="n"/>
      <c r="B345" s="5" t="n"/>
      <c r="C345" s="5" t="n"/>
      <c r="D345" s="5" t="n"/>
      <c r="E345" s="5" t="n"/>
      <c r="F345" s="5" t="n"/>
      <c r="G345" s="5" t="n"/>
      <c r="H345" s="5" t="n"/>
      <c r="I345" s="6">
        <f>IF(H345="","",IFERROR(VLOOKUP(H345,Artikel!$A:$E,2,FALSE),"? Nummer prüfen"))</f>
        <v/>
      </c>
      <c r="J345" s="6">
        <f>IF(H345="","",IFERROR(VLOOKUP(H345,Artikel!$A:$E,3,FALSE)&amp;" ("&amp;VLOOKUP(H345,Artikel!$A:$E,4,FALSE)&amp;")",""))</f>
        <v/>
      </c>
      <c r="K345" s="5" t="n"/>
      <c r="L345" s="7">
        <f>IF(H345="","",IFERROR(VLOOKUP(H345,Artikel!$A:$E,5,FALSE),""))</f>
        <v/>
      </c>
      <c r="M345" s="5" t="n"/>
      <c r="N345" s="5" t="n"/>
      <c r="O345" s="5" t="n"/>
      <c r="P345" s="8" t="n"/>
    </row>
    <row r="346">
      <c r="A346" s="4" t="n"/>
      <c r="B346" s="5" t="n"/>
      <c r="C346" s="5" t="n"/>
      <c r="D346" s="5" t="n"/>
      <c r="E346" s="5" t="n"/>
      <c r="F346" s="5" t="n"/>
      <c r="G346" s="5" t="n"/>
      <c r="H346" s="5" t="n"/>
      <c r="I346" s="6">
        <f>IF(H346="","",IFERROR(VLOOKUP(H346,Artikel!$A:$E,2,FALSE),"? Nummer prüfen"))</f>
        <v/>
      </c>
      <c r="J346" s="6">
        <f>IF(H346="","",IFERROR(VLOOKUP(H346,Artikel!$A:$E,3,FALSE)&amp;" ("&amp;VLOOKUP(H346,Artikel!$A:$E,4,FALSE)&amp;")",""))</f>
        <v/>
      </c>
      <c r="K346" s="5" t="n"/>
      <c r="L346" s="7">
        <f>IF(H346="","",IFERROR(VLOOKUP(H346,Artikel!$A:$E,5,FALSE),""))</f>
        <v/>
      </c>
      <c r="M346" s="5" t="n"/>
      <c r="N346" s="5" t="n"/>
      <c r="O346" s="5" t="n"/>
      <c r="P346" s="8" t="n"/>
    </row>
    <row r="347">
      <c r="A347" s="4" t="n"/>
      <c r="B347" s="5" t="n"/>
      <c r="C347" s="5" t="n"/>
      <c r="D347" s="5" t="n"/>
      <c r="E347" s="5" t="n"/>
      <c r="F347" s="5" t="n"/>
      <c r="G347" s="5" t="n"/>
      <c r="H347" s="5" t="n"/>
      <c r="I347" s="6">
        <f>IF(H347="","",IFERROR(VLOOKUP(H347,Artikel!$A:$E,2,FALSE),"? Nummer prüfen"))</f>
        <v/>
      </c>
      <c r="J347" s="6">
        <f>IF(H347="","",IFERROR(VLOOKUP(H347,Artikel!$A:$E,3,FALSE)&amp;" ("&amp;VLOOKUP(H347,Artikel!$A:$E,4,FALSE)&amp;")",""))</f>
        <v/>
      </c>
      <c r="K347" s="5" t="n"/>
      <c r="L347" s="7">
        <f>IF(H347="","",IFERROR(VLOOKUP(H347,Artikel!$A:$E,5,FALSE),""))</f>
        <v/>
      </c>
      <c r="M347" s="5" t="n"/>
      <c r="N347" s="5" t="n"/>
      <c r="O347" s="5" t="n"/>
      <c r="P347" s="8" t="n"/>
    </row>
    <row r="348">
      <c r="A348" s="4" t="n"/>
      <c r="B348" s="5" t="n"/>
      <c r="C348" s="5" t="n"/>
      <c r="D348" s="5" t="n"/>
      <c r="E348" s="5" t="n"/>
      <c r="F348" s="5" t="n"/>
      <c r="G348" s="5" t="n"/>
      <c r="H348" s="5" t="n"/>
      <c r="I348" s="6">
        <f>IF(H348="","",IFERROR(VLOOKUP(H348,Artikel!$A:$E,2,FALSE),"? Nummer prüfen"))</f>
        <v/>
      </c>
      <c r="J348" s="6">
        <f>IF(H348="","",IFERROR(VLOOKUP(H348,Artikel!$A:$E,3,FALSE)&amp;" ("&amp;VLOOKUP(H348,Artikel!$A:$E,4,FALSE)&amp;")",""))</f>
        <v/>
      </c>
      <c r="K348" s="5" t="n"/>
      <c r="L348" s="7">
        <f>IF(H348="","",IFERROR(VLOOKUP(H348,Artikel!$A:$E,5,FALSE),""))</f>
        <v/>
      </c>
      <c r="M348" s="5" t="n"/>
      <c r="N348" s="5" t="n"/>
      <c r="O348" s="5" t="n"/>
      <c r="P348" s="8" t="n"/>
    </row>
    <row r="349">
      <c r="A349" s="4" t="n"/>
      <c r="B349" s="5" t="n"/>
      <c r="C349" s="5" t="n"/>
      <c r="D349" s="5" t="n"/>
      <c r="E349" s="5" t="n"/>
      <c r="F349" s="5" t="n"/>
      <c r="G349" s="5" t="n"/>
      <c r="H349" s="5" t="n"/>
      <c r="I349" s="6">
        <f>IF(H349="","",IFERROR(VLOOKUP(H349,Artikel!$A:$E,2,FALSE),"? Nummer prüfen"))</f>
        <v/>
      </c>
      <c r="J349" s="6">
        <f>IF(H349="","",IFERROR(VLOOKUP(H349,Artikel!$A:$E,3,FALSE)&amp;" ("&amp;VLOOKUP(H349,Artikel!$A:$E,4,FALSE)&amp;")",""))</f>
        <v/>
      </c>
      <c r="K349" s="5" t="n"/>
      <c r="L349" s="7">
        <f>IF(H349="","",IFERROR(VLOOKUP(H349,Artikel!$A:$E,5,FALSE),""))</f>
        <v/>
      </c>
      <c r="M349" s="5" t="n"/>
      <c r="N349" s="5" t="n"/>
      <c r="O349" s="5" t="n"/>
      <c r="P349" s="8" t="n"/>
    </row>
    <row r="350">
      <c r="A350" s="4" t="n"/>
      <c r="B350" s="5" t="n"/>
      <c r="C350" s="5" t="n"/>
      <c r="D350" s="5" t="n"/>
      <c r="E350" s="5" t="n"/>
      <c r="F350" s="5" t="n"/>
      <c r="G350" s="5" t="n"/>
      <c r="H350" s="5" t="n"/>
      <c r="I350" s="6">
        <f>IF(H350="","",IFERROR(VLOOKUP(H350,Artikel!$A:$E,2,FALSE),"? Nummer prüfen"))</f>
        <v/>
      </c>
      <c r="J350" s="6">
        <f>IF(H350="","",IFERROR(VLOOKUP(H350,Artikel!$A:$E,3,FALSE)&amp;" ("&amp;VLOOKUP(H350,Artikel!$A:$E,4,FALSE)&amp;")",""))</f>
        <v/>
      </c>
      <c r="K350" s="5" t="n"/>
      <c r="L350" s="7">
        <f>IF(H350="","",IFERROR(VLOOKUP(H350,Artikel!$A:$E,5,FALSE),""))</f>
        <v/>
      </c>
      <c r="M350" s="5" t="n"/>
      <c r="N350" s="5" t="n"/>
      <c r="O350" s="5" t="n"/>
      <c r="P350" s="8" t="n"/>
    </row>
    <row r="351">
      <c r="A351" s="4" t="n"/>
      <c r="B351" s="5" t="n"/>
      <c r="C351" s="5" t="n"/>
      <c r="D351" s="5" t="n"/>
      <c r="E351" s="5" t="n"/>
      <c r="F351" s="5" t="n"/>
      <c r="G351" s="5" t="n"/>
      <c r="H351" s="5" t="n"/>
      <c r="I351" s="6">
        <f>IF(H351="","",IFERROR(VLOOKUP(H351,Artikel!$A:$E,2,FALSE),"? Nummer prüfen"))</f>
        <v/>
      </c>
      <c r="J351" s="6">
        <f>IF(H351="","",IFERROR(VLOOKUP(H351,Artikel!$A:$E,3,FALSE)&amp;" ("&amp;VLOOKUP(H351,Artikel!$A:$E,4,FALSE)&amp;")",""))</f>
        <v/>
      </c>
      <c r="K351" s="5" t="n"/>
      <c r="L351" s="7">
        <f>IF(H351="","",IFERROR(VLOOKUP(H351,Artikel!$A:$E,5,FALSE),""))</f>
        <v/>
      </c>
      <c r="M351" s="5" t="n"/>
      <c r="N351" s="5" t="n"/>
      <c r="O351" s="5" t="n"/>
      <c r="P351" s="8" t="n"/>
    </row>
    <row r="352">
      <c r="A352" s="4" t="n"/>
      <c r="B352" s="5" t="n"/>
      <c r="C352" s="5" t="n"/>
      <c r="D352" s="5" t="n"/>
      <c r="E352" s="5" t="n"/>
      <c r="F352" s="5" t="n"/>
      <c r="G352" s="5" t="n"/>
      <c r="H352" s="5" t="n"/>
      <c r="I352" s="6">
        <f>IF(H352="","",IFERROR(VLOOKUP(H352,Artikel!$A:$E,2,FALSE),"? Nummer prüfen"))</f>
        <v/>
      </c>
      <c r="J352" s="6">
        <f>IF(H352="","",IFERROR(VLOOKUP(H352,Artikel!$A:$E,3,FALSE)&amp;" ("&amp;VLOOKUP(H352,Artikel!$A:$E,4,FALSE)&amp;")",""))</f>
        <v/>
      </c>
      <c r="K352" s="5" t="n"/>
      <c r="L352" s="7">
        <f>IF(H352="","",IFERROR(VLOOKUP(H352,Artikel!$A:$E,5,FALSE),""))</f>
        <v/>
      </c>
      <c r="M352" s="5" t="n"/>
      <c r="N352" s="5" t="n"/>
      <c r="O352" s="5" t="n"/>
      <c r="P352" s="8" t="n"/>
    </row>
    <row r="353">
      <c r="A353" s="4" t="n"/>
      <c r="B353" s="5" t="n"/>
      <c r="C353" s="5" t="n"/>
      <c r="D353" s="5" t="n"/>
      <c r="E353" s="5" t="n"/>
      <c r="F353" s="5" t="n"/>
      <c r="G353" s="5" t="n"/>
      <c r="H353" s="5" t="n"/>
      <c r="I353" s="6">
        <f>IF(H353="","",IFERROR(VLOOKUP(H353,Artikel!$A:$E,2,FALSE),"? Nummer prüfen"))</f>
        <v/>
      </c>
      <c r="J353" s="6">
        <f>IF(H353="","",IFERROR(VLOOKUP(H353,Artikel!$A:$E,3,FALSE)&amp;" ("&amp;VLOOKUP(H353,Artikel!$A:$E,4,FALSE)&amp;")",""))</f>
        <v/>
      </c>
      <c r="K353" s="5" t="n"/>
      <c r="L353" s="7">
        <f>IF(H353="","",IFERROR(VLOOKUP(H353,Artikel!$A:$E,5,FALSE),""))</f>
        <v/>
      </c>
      <c r="M353" s="5" t="n"/>
      <c r="N353" s="5" t="n"/>
      <c r="O353" s="5" t="n"/>
      <c r="P353" s="8" t="n"/>
    </row>
    <row r="354">
      <c r="A354" s="4" t="n"/>
      <c r="B354" s="5" t="n"/>
      <c r="C354" s="5" t="n"/>
      <c r="D354" s="5" t="n"/>
      <c r="E354" s="5" t="n"/>
      <c r="F354" s="5" t="n"/>
      <c r="G354" s="5" t="n"/>
      <c r="H354" s="5" t="n"/>
      <c r="I354" s="6">
        <f>IF(H354="","",IFERROR(VLOOKUP(H354,Artikel!$A:$E,2,FALSE),"? Nummer prüfen"))</f>
        <v/>
      </c>
      <c r="J354" s="6">
        <f>IF(H354="","",IFERROR(VLOOKUP(H354,Artikel!$A:$E,3,FALSE)&amp;" ("&amp;VLOOKUP(H354,Artikel!$A:$E,4,FALSE)&amp;")",""))</f>
        <v/>
      </c>
      <c r="K354" s="5" t="n"/>
      <c r="L354" s="7">
        <f>IF(H354="","",IFERROR(VLOOKUP(H354,Artikel!$A:$E,5,FALSE),""))</f>
        <v/>
      </c>
      <c r="M354" s="5" t="n"/>
      <c r="N354" s="5" t="n"/>
      <c r="O354" s="5" t="n"/>
      <c r="P354" s="8" t="n"/>
    </row>
    <row r="355">
      <c r="A355" s="4" t="n"/>
      <c r="B355" s="5" t="n"/>
      <c r="C355" s="5" t="n"/>
      <c r="D355" s="5" t="n"/>
      <c r="E355" s="5" t="n"/>
      <c r="F355" s="5" t="n"/>
      <c r="G355" s="5" t="n"/>
      <c r="H355" s="5" t="n"/>
      <c r="I355" s="6">
        <f>IF(H355="","",IFERROR(VLOOKUP(H355,Artikel!$A:$E,2,FALSE),"? Nummer prüfen"))</f>
        <v/>
      </c>
      <c r="J355" s="6">
        <f>IF(H355="","",IFERROR(VLOOKUP(H355,Artikel!$A:$E,3,FALSE)&amp;" ("&amp;VLOOKUP(H355,Artikel!$A:$E,4,FALSE)&amp;")",""))</f>
        <v/>
      </c>
      <c r="K355" s="5" t="n"/>
      <c r="L355" s="7">
        <f>IF(H355="","",IFERROR(VLOOKUP(H355,Artikel!$A:$E,5,FALSE),""))</f>
        <v/>
      </c>
      <c r="M355" s="5" t="n"/>
      <c r="N355" s="5" t="n"/>
      <c r="O355" s="5" t="n"/>
      <c r="P355" s="8" t="n"/>
    </row>
    <row r="356">
      <c r="A356" s="4" t="n"/>
      <c r="B356" s="5" t="n"/>
      <c r="C356" s="5" t="n"/>
      <c r="D356" s="5" t="n"/>
      <c r="E356" s="5" t="n"/>
      <c r="F356" s="5" t="n"/>
      <c r="G356" s="5" t="n"/>
      <c r="H356" s="5" t="n"/>
      <c r="I356" s="6">
        <f>IF(H356="","",IFERROR(VLOOKUP(H356,Artikel!$A:$E,2,FALSE),"? Nummer prüfen"))</f>
        <v/>
      </c>
      <c r="J356" s="6">
        <f>IF(H356="","",IFERROR(VLOOKUP(H356,Artikel!$A:$E,3,FALSE)&amp;" ("&amp;VLOOKUP(H356,Artikel!$A:$E,4,FALSE)&amp;")",""))</f>
        <v/>
      </c>
      <c r="K356" s="5" t="n"/>
      <c r="L356" s="7">
        <f>IF(H356="","",IFERROR(VLOOKUP(H356,Artikel!$A:$E,5,FALSE),""))</f>
        <v/>
      </c>
      <c r="M356" s="5" t="n"/>
      <c r="N356" s="5" t="n"/>
      <c r="O356" s="5" t="n"/>
      <c r="P356" s="8" t="n"/>
    </row>
    <row r="357">
      <c r="A357" s="4" t="n"/>
      <c r="B357" s="5" t="n"/>
      <c r="C357" s="5" t="n"/>
      <c r="D357" s="5" t="n"/>
      <c r="E357" s="5" t="n"/>
      <c r="F357" s="5" t="n"/>
      <c r="G357" s="5" t="n"/>
      <c r="H357" s="5" t="n"/>
      <c r="I357" s="6">
        <f>IF(H357="","",IFERROR(VLOOKUP(H357,Artikel!$A:$E,2,FALSE),"? Nummer prüfen"))</f>
        <v/>
      </c>
      <c r="J357" s="6">
        <f>IF(H357="","",IFERROR(VLOOKUP(H357,Artikel!$A:$E,3,FALSE)&amp;" ("&amp;VLOOKUP(H357,Artikel!$A:$E,4,FALSE)&amp;")",""))</f>
        <v/>
      </c>
      <c r="K357" s="5" t="n"/>
      <c r="L357" s="7">
        <f>IF(H357="","",IFERROR(VLOOKUP(H357,Artikel!$A:$E,5,FALSE),""))</f>
        <v/>
      </c>
      <c r="M357" s="5" t="n"/>
      <c r="N357" s="5" t="n"/>
      <c r="O357" s="5" t="n"/>
      <c r="P357" s="8" t="n"/>
    </row>
    <row r="358">
      <c r="A358" s="4" t="n"/>
      <c r="B358" s="5" t="n"/>
      <c r="C358" s="5" t="n"/>
      <c r="D358" s="5" t="n"/>
      <c r="E358" s="5" t="n"/>
      <c r="F358" s="5" t="n"/>
      <c r="G358" s="5" t="n"/>
      <c r="H358" s="5" t="n"/>
      <c r="I358" s="6">
        <f>IF(H358="","",IFERROR(VLOOKUP(H358,Artikel!$A:$E,2,FALSE),"? Nummer prüfen"))</f>
        <v/>
      </c>
      <c r="J358" s="6">
        <f>IF(H358="","",IFERROR(VLOOKUP(H358,Artikel!$A:$E,3,FALSE)&amp;" ("&amp;VLOOKUP(H358,Artikel!$A:$E,4,FALSE)&amp;")",""))</f>
        <v/>
      </c>
      <c r="K358" s="5" t="n"/>
      <c r="L358" s="7">
        <f>IF(H358="","",IFERROR(VLOOKUP(H358,Artikel!$A:$E,5,FALSE),""))</f>
        <v/>
      </c>
      <c r="M358" s="5" t="n"/>
      <c r="N358" s="5" t="n"/>
      <c r="O358" s="5" t="n"/>
      <c r="P358" s="8" t="n"/>
    </row>
    <row r="359">
      <c r="A359" s="4" t="n"/>
      <c r="B359" s="5" t="n"/>
      <c r="C359" s="5" t="n"/>
      <c r="D359" s="5" t="n"/>
      <c r="E359" s="5" t="n"/>
      <c r="F359" s="5" t="n"/>
      <c r="G359" s="5" t="n"/>
      <c r="H359" s="5" t="n"/>
      <c r="I359" s="6">
        <f>IF(H359="","",IFERROR(VLOOKUP(H359,Artikel!$A:$E,2,FALSE),"? Nummer prüfen"))</f>
        <v/>
      </c>
      <c r="J359" s="6">
        <f>IF(H359="","",IFERROR(VLOOKUP(H359,Artikel!$A:$E,3,FALSE)&amp;" ("&amp;VLOOKUP(H359,Artikel!$A:$E,4,FALSE)&amp;")",""))</f>
        <v/>
      </c>
      <c r="K359" s="5" t="n"/>
      <c r="L359" s="7">
        <f>IF(H359="","",IFERROR(VLOOKUP(H359,Artikel!$A:$E,5,FALSE),""))</f>
        <v/>
      </c>
      <c r="M359" s="5" t="n"/>
      <c r="N359" s="5" t="n"/>
      <c r="O359" s="5" t="n"/>
      <c r="P359" s="8" t="n"/>
    </row>
    <row r="360">
      <c r="A360" s="4" t="n"/>
      <c r="B360" s="5" t="n"/>
      <c r="C360" s="5" t="n"/>
      <c r="D360" s="5" t="n"/>
      <c r="E360" s="5" t="n"/>
      <c r="F360" s="5" t="n"/>
      <c r="G360" s="5" t="n"/>
      <c r="H360" s="5" t="n"/>
      <c r="I360" s="6">
        <f>IF(H360="","",IFERROR(VLOOKUP(H360,Artikel!$A:$E,2,FALSE),"? Nummer prüfen"))</f>
        <v/>
      </c>
      <c r="J360" s="6">
        <f>IF(H360="","",IFERROR(VLOOKUP(H360,Artikel!$A:$E,3,FALSE)&amp;" ("&amp;VLOOKUP(H360,Artikel!$A:$E,4,FALSE)&amp;")",""))</f>
        <v/>
      </c>
      <c r="K360" s="5" t="n"/>
      <c r="L360" s="7">
        <f>IF(H360="","",IFERROR(VLOOKUP(H360,Artikel!$A:$E,5,FALSE),""))</f>
        <v/>
      </c>
      <c r="M360" s="5" t="n"/>
      <c r="N360" s="5" t="n"/>
      <c r="O360" s="5" t="n"/>
      <c r="P360" s="8" t="n"/>
    </row>
    <row r="361">
      <c r="A361" s="4" t="n"/>
      <c r="B361" s="5" t="n"/>
      <c r="C361" s="5" t="n"/>
      <c r="D361" s="5" t="n"/>
      <c r="E361" s="5" t="n"/>
      <c r="F361" s="5" t="n"/>
      <c r="G361" s="5" t="n"/>
      <c r="H361" s="5" t="n"/>
      <c r="I361" s="6">
        <f>IF(H361="","",IFERROR(VLOOKUP(H361,Artikel!$A:$E,2,FALSE),"? Nummer prüfen"))</f>
        <v/>
      </c>
      <c r="J361" s="6">
        <f>IF(H361="","",IFERROR(VLOOKUP(H361,Artikel!$A:$E,3,FALSE)&amp;" ("&amp;VLOOKUP(H361,Artikel!$A:$E,4,FALSE)&amp;")",""))</f>
        <v/>
      </c>
      <c r="K361" s="5" t="n"/>
      <c r="L361" s="7">
        <f>IF(H361="","",IFERROR(VLOOKUP(H361,Artikel!$A:$E,5,FALSE),""))</f>
        <v/>
      </c>
      <c r="M361" s="5" t="n"/>
      <c r="N361" s="5" t="n"/>
      <c r="O361" s="5" t="n"/>
      <c r="P361" s="8" t="n"/>
    </row>
    <row r="362">
      <c r="A362" s="4" t="n"/>
      <c r="B362" s="5" t="n"/>
      <c r="C362" s="5" t="n"/>
      <c r="D362" s="5" t="n"/>
      <c r="E362" s="5" t="n"/>
      <c r="F362" s="5" t="n"/>
      <c r="G362" s="5" t="n"/>
      <c r="H362" s="5" t="n"/>
      <c r="I362" s="6">
        <f>IF(H362="","",IFERROR(VLOOKUP(H362,Artikel!$A:$E,2,FALSE),"? Nummer prüfen"))</f>
        <v/>
      </c>
      <c r="J362" s="6">
        <f>IF(H362="","",IFERROR(VLOOKUP(H362,Artikel!$A:$E,3,FALSE)&amp;" ("&amp;VLOOKUP(H362,Artikel!$A:$E,4,FALSE)&amp;")",""))</f>
        <v/>
      </c>
      <c r="K362" s="5" t="n"/>
      <c r="L362" s="7">
        <f>IF(H362="","",IFERROR(VLOOKUP(H362,Artikel!$A:$E,5,FALSE),""))</f>
        <v/>
      </c>
      <c r="M362" s="5" t="n"/>
      <c r="N362" s="5" t="n"/>
      <c r="O362" s="5" t="n"/>
      <c r="P362" s="8" t="n"/>
    </row>
    <row r="363">
      <c r="A363" s="4" t="n"/>
      <c r="B363" s="5" t="n"/>
      <c r="C363" s="5" t="n"/>
      <c r="D363" s="5" t="n"/>
      <c r="E363" s="5" t="n"/>
      <c r="F363" s="5" t="n"/>
      <c r="G363" s="5" t="n"/>
      <c r="H363" s="5" t="n"/>
      <c r="I363" s="6">
        <f>IF(H363="","",IFERROR(VLOOKUP(H363,Artikel!$A:$E,2,FALSE),"? Nummer prüfen"))</f>
        <v/>
      </c>
      <c r="J363" s="6">
        <f>IF(H363="","",IFERROR(VLOOKUP(H363,Artikel!$A:$E,3,FALSE)&amp;" ("&amp;VLOOKUP(H363,Artikel!$A:$E,4,FALSE)&amp;")",""))</f>
        <v/>
      </c>
      <c r="K363" s="5" t="n"/>
      <c r="L363" s="7">
        <f>IF(H363="","",IFERROR(VLOOKUP(H363,Artikel!$A:$E,5,FALSE),""))</f>
        <v/>
      </c>
      <c r="M363" s="5" t="n"/>
      <c r="N363" s="5" t="n"/>
      <c r="O363" s="5" t="n"/>
      <c r="P363" s="8" t="n"/>
    </row>
    <row r="364">
      <c r="A364" s="4" t="n"/>
      <c r="B364" s="5" t="n"/>
      <c r="C364" s="5" t="n"/>
      <c r="D364" s="5" t="n"/>
      <c r="E364" s="5" t="n"/>
      <c r="F364" s="5" t="n"/>
      <c r="G364" s="5" t="n"/>
      <c r="H364" s="5" t="n"/>
      <c r="I364" s="6">
        <f>IF(H364="","",IFERROR(VLOOKUP(H364,Artikel!$A:$E,2,FALSE),"? Nummer prüfen"))</f>
        <v/>
      </c>
      <c r="J364" s="6">
        <f>IF(H364="","",IFERROR(VLOOKUP(H364,Artikel!$A:$E,3,FALSE)&amp;" ("&amp;VLOOKUP(H364,Artikel!$A:$E,4,FALSE)&amp;")",""))</f>
        <v/>
      </c>
      <c r="K364" s="5" t="n"/>
      <c r="L364" s="7">
        <f>IF(H364="","",IFERROR(VLOOKUP(H364,Artikel!$A:$E,5,FALSE),""))</f>
        <v/>
      </c>
      <c r="M364" s="5" t="n"/>
      <c r="N364" s="5" t="n"/>
      <c r="O364" s="5" t="n"/>
      <c r="P364" s="8" t="n"/>
    </row>
    <row r="365">
      <c r="A365" s="4" t="n"/>
      <c r="B365" s="5" t="n"/>
      <c r="C365" s="5" t="n"/>
      <c r="D365" s="5" t="n"/>
      <c r="E365" s="5" t="n"/>
      <c r="F365" s="5" t="n"/>
      <c r="G365" s="5" t="n"/>
      <c r="H365" s="5" t="n"/>
      <c r="I365" s="6">
        <f>IF(H365="","",IFERROR(VLOOKUP(H365,Artikel!$A:$E,2,FALSE),"? Nummer prüfen"))</f>
        <v/>
      </c>
      <c r="J365" s="6">
        <f>IF(H365="","",IFERROR(VLOOKUP(H365,Artikel!$A:$E,3,FALSE)&amp;" ("&amp;VLOOKUP(H365,Artikel!$A:$E,4,FALSE)&amp;")",""))</f>
        <v/>
      </c>
      <c r="K365" s="5" t="n"/>
      <c r="L365" s="7">
        <f>IF(H365="","",IFERROR(VLOOKUP(H365,Artikel!$A:$E,5,FALSE),""))</f>
        <v/>
      </c>
      <c r="M365" s="5" t="n"/>
      <c r="N365" s="5" t="n"/>
      <c r="O365" s="5" t="n"/>
      <c r="P365" s="8" t="n"/>
    </row>
    <row r="366">
      <c r="A366" s="4" t="n"/>
      <c r="B366" s="5" t="n"/>
      <c r="C366" s="5" t="n"/>
      <c r="D366" s="5" t="n"/>
      <c r="E366" s="5" t="n"/>
      <c r="F366" s="5" t="n"/>
      <c r="G366" s="5" t="n"/>
      <c r="H366" s="5" t="n"/>
      <c r="I366" s="6">
        <f>IF(H366="","",IFERROR(VLOOKUP(H366,Artikel!$A:$E,2,FALSE),"? Nummer prüfen"))</f>
        <v/>
      </c>
      <c r="J366" s="6">
        <f>IF(H366="","",IFERROR(VLOOKUP(H366,Artikel!$A:$E,3,FALSE)&amp;" ("&amp;VLOOKUP(H366,Artikel!$A:$E,4,FALSE)&amp;")",""))</f>
        <v/>
      </c>
      <c r="K366" s="5" t="n"/>
      <c r="L366" s="7">
        <f>IF(H366="","",IFERROR(VLOOKUP(H366,Artikel!$A:$E,5,FALSE),""))</f>
        <v/>
      </c>
      <c r="M366" s="5" t="n"/>
      <c r="N366" s="5" t="n"/>
      <c r="O366" s="5" t="n"/>
      <c r="P366" s="8" t="n"/>
    </row>
    <row r="367">
      <c r="A367" s="4" t="n"/>
      <c r="B367" s="5" t="n"/>
      <c r="C367" s="5" t="n"/>
      <c r="D367" s="5" t="n"/>
      <c r="E367" s="5" t="n"/>
      <c r="F367" s="5" t="n"/>
      <c r="G367" s="5" t="n"/>
      <c r="H367" s="5" t="n"/>
      <c r="I367" s="6">
        <f>IF(H367="","",IFERROR(VLOOKUP(H367,Artikel!$A:$E,2,FALSE),"? Nummer prüfen"))</f>
        <v/>
      </c>
      <c r="J367" s="6">
        <f>IF(H367="","",IFERROR(VLOOKUP(H367,Artikel!$A:$E,3,FALSE)&amp;" ("&amp;VLOOKUP(H367,Artikel!$A:$E,4,FALSE)&amp;")",""))</f>
        <v/>
      </c>
      <c r="K367" s="5" t="n"/>
      <c r="L367" s="7">
        <f>IF(H367="","",IFERROR(VLOOKUP(H367,Artikel!$A:$E,5,FALSE),""))</f>
        <v/>
      </c>
      <c r="M367" s="5" t="n"/>
      <c r="N367" s="5" t="n"/>
      <c r="O367" s="5" t="n"/>
      <c r="P367" s="8" t="n"/>
    </row>
    <row r="368">
      <c r="A368" s="4" t="n"/>
      <c r="B368" s="5" t="n"/>
      <c r="C368" s="5" t="n"/>
      <c r="D368" s="5" t="n"/>
      <c r="E368" s="5" t="n"/>
      <c r="F368" s="5" t="n"/>
      <c r="G368" s="5" t="n"/>
      <c r="H368" s="5" t="n"/>
      <c r="I368" s="6">
        <f>IF(H368="","",IFERROR(VLOOKUP(H368,Artikel!$A:$E,2,FALSE),"? Nummer prüfen"))</f>
        <v/>
      </c>
      <c r="J368" s="6">
        <f>IF(H368="","",IFERROR(VLOOKUP(H368,Artikel!$A:$E,3,FALSE)&amp;" ("&amp;VLOOKUP(H368,Artikel!$A:$E,4,FALSE)&amp;")",""))</f>
        <v/>
      </c>
      <c r="K368" s="5" t="n"/>
      <c r="L368" s="7">
        <f>IF(H368="","",IFERROR(VLOOKUP(H368,Artikel!$A:$E,5,FALSE),""))</f>
        <v/>
      </c>
      <c r="M368" s="5" t="n"/>
      <c r="N368" s="5" t="n"/>
      <c r="O368" s="5" t="n"/>
      <c r="P368" s="8" t="n"/>
    </row>
    <row r="369">
      <c r="A369" s="4" t="n"/>
      <c r="B369" s="5" t="n"/>
      <c r="C369" s="5" t="n"/>
      <c r="D369" s="5" t="n"/>
      <c r="E369" s="5" t="n"/>
      <c r="F369" s="5" t="n"/>
      <c r="G369" s="5" t="n"/>
      <c r="H369" s="5" t="n"/>
      <c r="I369" s="6">
        <f>IF(H369="","",IFERROR(VLOOKUP(H369,Artikel!$A:$E,2,FALSE),"? Nummer prüfen"))</f>
        <v/>
      </c>
      <c r="J369" s="6">
        <f>IF(H369="","",IFERROR(VLOOKUP(H369,Artikel!$A:$E,3,FALSE)&amp;" ("&amp;VLOOKUP(H369,Artikel!$A:$E,4,FALSE)&amp;")",""))</f>
        <v/>
      </c>
      <c r="K369" s="5" t="n"/>
      <c r="L369" s="7">
        <f>IF(H369="","",IFERROR(VLOOKUP(H369,Artikel!$A:$E,5,FALSE),""))</f>
        <v/>
      </c>
      <c r="M369" s="5" t="n"/>
      <c r="N369" s="5" t="n"/>
      <c r="O369" s="5" t="n"/>
      <c r="P369" s="8" t="n"/>
    </row>
    <row r="370">
      <c r="A370" s="4" t="n"/>
      <c r="B370" s="5" t="n"/>
      <c r="C370" s="5" t="n"/>
      <c r="D370" s="5" t="n"/>
      <c r="E370" s="5" t="n"/>
      <c r="F370" s="5" t="n"/>
      <c r="G370" s="5" t="n"/>
      <c r="H370" s="5" t="n"/>
      <c r="I370" s="6">
        <f>IF(H370="","",IFERROR(VLOOKUP(H370,Artikel!$A:$E,2,FALSE),"? Nummer prüfen"))</f>
        <v/>
      </c>
      <c r="J370" s="6">
        <f>IF(H370="","",IFERROR(VLOOKUP(H370,Artikel!$A:$E,3,FALSE)&amp;" ("&amp;VLOOKUP(H370,Artikel!$A:$E,4,FALSE)&amp;")",""))</f>
        <v/>
      </c>
      <c r="K370" s="5" t="n"/>
      <c r="L370" s="7">
        <f>IF(H370="","",IFERROR(VLOOKUP(H370,Artikel!$A:$E,5,FALSE),""))</f>
        <v/>
      </c>
      <c r="M370" s="5" t="n"/>
      <c r="N370" s="5" t="n"/>
      <c r="O370" s="5" t="n"/>
      <c r="P370" s="8" t="n"/>
    </row>
    <row r="371">
      <c r="A371" s="4" t="n"/>
      <c r="B371" s="5" t="n"/>
      <c r="C371" s="5" t="n"/>
      <c r="D371" s="5" t="n"/>
      <c r="E371" s="5" t="n"/>
      <c r="F371" s="5" t="n"/>
      <c r="G371" s="5" t="n"/>
      <c r="H371" s="5" t="n"/>
      <c r="I371" s="6">
        <f>IF(H371="","",IFERROR(VLOOKUP(H371,Artikel!$A:$E,2,FALSE),"? Nummer prüfen"))</f>
        <v/>
      </c>
      <c r="J371" s="6">
        <f>IF(H371="","",IFERROR(VLOOKUP(H371,Artikel!$A:$E,3,FALSE)&amp;" ("&amp;VLOOKUP(H371,Artikel!$A:$E,4,FALSE)&amp;")",""))</f>
        <v/>
      </c>
      <c r="K371" s="5" t="n"/>
      <c r="L371" s="7">
        <f>IF(H371="","",IFERROR(VLOOKUP(H371,Artikel!$A:$E,5,FALSE),""))</f>
        <v/>
      </c>
      <c r="M371" s="5" t="n"/>
      <c r="N371" s="5" t="n"/>
      <c r="O371" s="5" t="n"/>
      <c r="P371" s="8" t="n"/>
    </row>
    <row r="372">
      <c r="A372" s="4" t="n"/>
      <c r="B372" s="5" t="n"/>
      <c r="C372" s="5" t="n"/>
      <c r="D372" s="5" t="n"/>
      <c r="E372" s="5" t="n"/>
      <c r="F372" s="5" t="n"/>
      <c r="G372" s="5" t="n"/>
      <c r="H372" s="5" t="n"/>
      <c r="I372" s="6">
        <f>IF(H372="","",IFERROR(VLOOKUP(H372,Artikel!$A:$E,2,FALSE),"? Nummer prüfen"))</f>
        <v/>
      </c>
      <c r="J372" s="6">
        <f>IF(H372="","",IFERROR(VLOOKUP(H372,Artikel!$A:$E,3,FALSE)&amp;" ("&amp;VLOOKUP(H372,Artikel!$A:$E,4,FALSE)&amp;")",""))</f>
        <v/>
      </c>
      <c r="K372" s="5" t="n"/>
      <c r="L372" s="7">
        <f>IF(H372="","",IFERROR(VLOOKUP(H372,Artikel!$A:$E,5,FALSE),""))</f>
        <v/>
      </c>
      <c r="M372" s="5" t="n"/>
      <c r="N372" s="5" t="n"/>
      <c r="O372" s="5" t="n"/>
      <c r="P372" s="8" t="n"/>
    </row>
    <row r="373">
      <c r="A373" s="4" t="n"/>
      <c r="B373" s="5" t="n"/>
      <c r="C373" s="5" t="n"/>
      <c r="D373" s="5" t="n"/>
      <c r="E373" s="5" t="n"/>
      <c r="F373" s="5" t="n"/>
      <c r="G373" s="5" t="n"/>
      <c r="H373" s="5" t="n"/>
      <c r="I373" s="6">
        <f>IF(H373="","",IFERROR(VLOOKUP(H373,Artikel!$A:$E,2,FALSE),"? Nummer prüfen"))</f>
        <v/>
      </c>
      <c r="J373" s="6">
        <f>IF(H373="","",IFERROR(VLOOKUP(H373,Artikel!$A:$E,3,FALSE)&amp;" ("&amp;VLOOKUP(H373,Artikel!$A:$E,4,FALSE)&amp;")",""))</f>
        <v/>
      </c>
      <c r="K373" s="5" t="n"/>
      <c r="L373" s="7">
        <f>IF(H373="","",IFERROR(VLOOKUP(H373,Artikel!$A:$E,5,FALSE),""))</f>
        <v/>
      </c>
      <c r="M373" s="5" t="n"/>
      <c r="N373" s="5" t="n"/>
      <c r="O373" s="5" t="n"/>
      <c r="P373" s="8" t="n"/>
    </row>
    <row r="374">
      <c r="A374" s="4" t="n"/>
      <c r="B374" s="5" t="n"/>
      <c r="C374" s="5" t="n"/>
      <c r="D374" s="5" t="n"/>
      <c r="E374" s="5" t="n"/>
      <c r="F374" s="5" t="n"/>
      <c r="G374" s="5" t="n"/>
      <c r="H374" s="5" t="n"/>
      <c r="I374" s="6">
        <f>IF(H374="","",IFERROR(VLOOKUP(H374,Artikel!$A:$E,2,FALSE),"? Nummer prüfen"))</f>
        <v/>
      </c>
      <c r="J374" s="6">
        <f>IF(H374="","",IFERROR(VLOOKUP(H374,Artikel!$A:$E,3,FALSE)&amp;" ("&amp;VLOOKUP(H374,Artikel!$A:$E,4,FALSE)&amp;")",""))</f>
        <v/>
      </c>
      <c r="K374" s="5" t="n"/>
      <c r="L374" s="7">
        <f>IF(H374="","",IFERROR(VLOOKUP(H374,Artikel!$A:$E,5,FALSE),""))</f>
        <v/>
      </c>
      <c r="M374" s="5" t="n"/>
      <c r="N374" s="5" t="n"/>
      <c r="O374" s="5" t="n"/>
      <c r="P374" s="8" t="n"/>
    </row>
    <row r="375">
      <c r="A375" s="4" t="n"/>
      <c r="B375" s="5" t="n"/>
      <c r="C375" s="5" t="n"/>
      <c r="D375" s="5" t="n"/>
      <c r="E375" s="5" t="n"/>
      <c r="F375" s="5" t="n"/>
      <c r="G375" s="5" t="n"/>
      <c r="H375" s="5" t="n"/>
      <c r="I375" s="6">
        <f>IF(H375="","",IFERROR(VLOOKUP(H375,Artikel!$A:$E,2,FALSE),"? Nummer prüfen"))</f>
        <v/>
      </c>
      <c r="J375" s="6">
        <f>IF(H375="","",IFERROR(VLOOKUP(H375,Artikel!$A:$E,3,FALSE)&amp;" ("&amp;VLOOKUP(H375,Artikel!$A:$E,4,FALSE)&amp;")",""))</f>
        <v/>
      </c>
      <c r="K375" s="5" t="n"/>
      <c r="L375" s="7">
        <f>IF(H375="","",IFERROR(VLOOKUP(H375,Artikel!$A:$E,5,FALSE),""))</f>
        <v/>
      </c>
      <c r="M375" s="5" t="n"/>
      <c r="N375" s="5" t="n"/>
      <c r="O375" s="5" t="n"/>
      <c r="P375" s="8" t="n"/>
    </row>
    <row r="376">
      <c r="A376" s="4" t="n"/>
      <c r="B376" s="5" t="n"/>
      <c r="C376" s="5" t="n"/>
      <c r="D376" s="5" t="n"/>
      <c r="E376" s="5" t="n"/>
      <c r="F376" s="5" t="n"/>
      <c r="G376" s="5" t="n"/>
      <c r="H376" s="5" t="n"/>
      <c r="I376" s="6">
        <f>IF(H376="","",IFERROR(VLOOKUP(H376,Artikel!$A:$E,2,FALSE),"? Nummer prüfen"))</f>
        <v/>
      </c>
      <c r="J376" s="6">
        <f>IF(H376="","",IFERROR(VLOOKUP(H376,Artikel!$A:$E,3,FALSE)&amp;" ("&amp;VLOOKUP(H376,Artikel!$A:$E,4,FALSE)&amp;")",""))</f>
        <v/>
      </c>
      <c r="K376" s="5" t="n"/>
      <c r="L376" s="7">
        <f>IF(H376="","",IFERROR(VLOOKUP(H376,Artikel!$A:$E,5,FALSE),""))</f>
        <v/>
      </c>
      <c r="M376" s="5" t="n"/>
      <c r="N376" s="5" t="n"/>
      <c r="O376" s="5" t="n"/>
      <c r="P376" s="8" t="n"/>
    </row>
    <row r="377">
      <c r="A377" s="4" t="n"/>
      <c r="B377" s="5" t="n"/>
      <c r="C377" s="5" t="n"/>
      <c r="D377" s="5" t="n"/>
      <c r="E377" s="5" t="n"/>
      <c r="F377" s="5" t="n"/>
      <c r="G377" s="5" t="n"/>
      <c r="H377" s="5" t="n"/>
      <c r="I377" s="6">
        <f>IF(H377="","",IFERROR(VLOOKUP(H377,Artikel!$A:$E,2,FALSE),"? Nummer prüfen"))</f>
        <v/>
      </c>
      <c r="J377" s="6">
        <f>IF(H377="","",IFERROR(VLOOKUP(H377,Artikel!$A:$E,3,FALSE)&amp;" ("&amp;VLOOKUP(H377,Artikel!$A:$E,4,FALSE)&amp;")",""))</f>
        <v/>
      </c>
      <c r="K377" s="5" t="n"/>
      <c r="L377" s="7">
        <f>IF(H377="","",IFERROR(VLOOKUP(H377,Artikel!$A:$E,5,FALSE),""))</f>
        <v/>
      </c>
      <c r="M377" s="5" t="n"/>
      <c r="N377" s="5" t="n"/>
      <c r="O377" s="5" t="n"/>
      <c r="P377" s="8" t="n"/>
    </row>
    <row r="378">
      <c r="A378" s="4" t="n"/>
      <c r="B378" s="5" t="n"/>
      <c r="C378" s="5" t="n"/>
      <c r="D378" s="5" t="n"/>
      <c r="E378" s="5" t="n"/>
      <c r="F378" s="5" t="n"/>
      <c r="G378" s="5" t="n"/>
      <c r="H378" s="5" t="n"/>
      <c r="I378" s="6">
        <f>IF(H378="","",IFERROR(VLOOKUP(H378,Artikel!$A:$E,2,FALSE),"? Nummer prüfen"))</f>
        <v/>
      </c>
      <c r="J378" s="6">
        <f>IF(H378="","",IFERROR(VLOOKUP(H378,Artikel!$A:$E,3,FALSE)&amp;" ("&amp;VLOOKUP(H378,Artikel!$A:$E,4,FALSE)&amp;")",""))</f>
        <v/>
      </c>
      <c r="K378" s="5" t="n"/>
      <c r="L378" s="7">
        <f>IF(H378="","",IFERROR(VLOOKUP(H378,Artikel!$A:$E,5,FALSE),""))</f>
        <v/>
      </c>
      <c r="M378" s="5" t="n"/>
      <c r="N378" s="5" t="n"/>
      <c r="O378" s="5" t="n"/>
      <c r="P378" s="8" t="n"/>
    </row>
    <row r="379">
      <c r="A379" s="4" t="n"/>
      <c r="B379" s="5" t="n"/>
      <c r="C379" s="5" t="n"/>
      <c r="D379" s="5" t="n"/>
      <c r="E379" s="5" t="n"/>
      <c r="F379" s="5" t="n"/>
      <c r="G379" s="5" t="n"/>
      <c r="H379" s="5" t="n"/>
      <c r="I379" s="6">
        <f>IF(H379="","",IFERROR(VLOOKUP(H379,Artikel!$A:$E,2,FALSE),"? Nummer prüfen"))</f>
        <v/>
      </c>
      <c r="J379" s="6">
        <f>IF(H379="","",IFERROR(VLOOKUP(H379,Artikel!$A:$E,3,FALSE)&amp;" ("&amp;VLOOKUP(H379,Artikel!$A:$E,4,FALSE)&amp;")",""))</f>
        <v/>
      </c>
      <c r="K379" s="5" t="n"/>
      <c r="L379" s="7">
        <f>IF(H379="","",IFERROR(VLOOKUP(H379,Artikel!$A:$E,5,FALSE),""))</f>
        <v/>
      </c>
      <c r="M379" s="5" t="n"/>
      <c r="N379" s="5" t="n"/>
      <c r="O379" s="5" t="n"/>
      <c r="P379" s="8" t="n"/>
    </row>
    <row r="380">
      <c r="A380" s="4" t="n"/>
      <c r="B380" s="5" t="n"/>
      <c r="C380" s="5" t="n"/>
      <c r="D380" s="5" t="n"/>
      <c r="E380" s="5" t="n"/>
      <c r="F380" s="5" t="n"/>
      <c r="G380" s="5" t="n"/>
      <c r="H380" s="5" t="n"/>
      <c r="I380" s="6">
        <f>IF(H380="","",IFERROR(VLOOKUP(H380,Artikel!$A:$E,2,FALSE),"? Nummer prüfen"))</f>
        <v/>
      </c>
      <c r="J380" s="6">
        <f>IF(H380="","",IFERROR(VLOOKUP(H380,Artikel!$A:$E,3,FALSE)&amp;" ("&amp;VLOOKUP(H380,Artikel!$A:$E,4,FALSE)&amp;")",""))</f>
        <v/>
      </c>
      <c r="K380" s="5" t="n"/>
      <c r="L380" s="7">
        <f>IF(H380="","",IFERROR(VLOOKUP(H380,Artikel!$A:$E,5,FALSE),""))</f>
        <v/>
      </c>
      <c r="M380" s="5" t="n"/>
      <c r="N380" s="5" t="n"/>
      <c r="O380" s="5" t="n"/>
      <c r="P380" s="8" t="n"/>
    </row>
    <row r="381">
      <c r="A381" s="4" t="n"/>
      <c r="B381" s="5" t="n"/>
      <c r="C381" s="5" t="n"/>
      <c r="D381" s="5" t="n"/>
      <c r="E381" s="5" t="n"/>
      <c r="F381" s="5" t="n"/>
      <c r="G381" s="5" t="n"/>
      <c r="H381" s="5" t="n"/>
      <c r="I381" s="6">
        <f>IF(H381="","",IFERROR(VLOOKUP(H381,Artikel!$A:$E,2,FALSE),"? Nummer prüfen"))</f>
        <v/>
      </c>
      <c r="J381" s="6">
        <f>IF(H381="","",IFERROR(VLOOKUP(H381,Artikel!$A:$E,3,FALSE)&amp;" ("&amp;VLOOKUP(H381,Artikel!$A:$E,4,FALSE)&amp;")",""))</f>
        <v/>
      </c>
      <c r="K381" s="5" t="n"/>
      <c r="L381" s="7">
        <f>IF(H381="","",IFERROR(VLOOKUP(H381,Artikel!$A:$E,5,FALSE),""))</f>
        <v/>
      </c>
      <c r="M381" s="5" t="n"/>
      <c r="N381" s="5" t="n"/>
      <c r="O381" s="5" t="n"/>
      <c r="P381" s="8" t="n"/>
    </row>
    <row r="382">
      <c r="A382" s="4" t="n"/>
      <c r="B382" s="5" t="n"/>
      <c r="C382" s="5" t="n"/>
      <c r="D382" s="5" t="n"/>
      <c r="E382" s="5" t="n"/>
      <c r="F382" s="5" t="n"/>
      <c r="G382" s="5" t="n"/>
      <c r="H382" s="5" t="n"/>
      <c r="I382" s="6">
        <f>IF(H382="","",IFERROR(VLOOKUP(H382,Artikel!$A:$E,2,FALSE),"? Nummer prüfen"))</f>
        <v/>
      </c>
      <c r="J382" s="6">
        <f>IF(H382="","",IFERROR(VLOOKUP(H382,Artikel!$A:$E,3,FALSE)&amp;" ("&amp;VLOOKUP(H382,Artikel!$A:$E,4,FALSE)&amp;")",""))</f>
        <v/>
      </c>
      <c r="K382" s="5" t="n"/>
      <c r="L382" s="7">
        <f>IF(H382="","",IFERROR(VLOOKUP(H382,Artikel!$A:$E,5,FALSE),""))</f>
        <v/>
      </c>
      <c r="M382" s="5" t="n"/>
      <c r="N382" s="5" t="n"/>
      <c r="O382" s="5" t="n"/>
      <c r="P382" s="8" t="n"/>
    </row>
    <row r="383">
      <c r="A383" s="4" t="n"/>
      <c r="B383" s="5" t="n"/>
      <c r="C383" s="5" t="n"/>
      <c r="D383" s="5" t="n"/>
      <c r="E383" s="5" t="n"/>
      <c r="F383" s="5" t="n"/>
      <c r="G383" s="5" t="n"/>
      <c r="H383" s="5" t="n"/>
      <c r="I383" s="6">
        <f>IF(H383="","",IFERROR(VLOOKUP(H383,Artikel!$A:$E,2,FALSE),"? Nummer prüfen"))</f>
        <v/>
      </c>
      <c r="J383" s="6">
        <f>IF(H383="","",IFERROR(VLOOKUP(H383,Artikel!$A:$E,3,FALSE)&amp;" ("&amp;VLOOKUP(H383,Artikel!$A:$E,4,FALSE)&amp;")",""))</f>
        <v/>
      </c>
      <c r="K383" s="5" t="n"/>
      <c r="L383" s="7">
        <f>IF(H383="","",IFERROR(VLOOKUP(H383,Artikel!$A:$E,5,FALSE),""))</f>
        <v/>
      </c>
      <c r="M383" s="5" t="n"/>
      <c r="N383" s="5" t="n"/>
      <c r="O383" s="5" t="n"/>
      <c r="P383" s="8" t="n"/>
    </row>
    <row r="384">
      <c r="A384" s="4" t="n"/>
      <c r="B384" s="5" t="n"/>
      <c r="C384" s="5" t="n"/>
      <c r="D384" s="5" t="n"/>
      <c r="E384" s="5" t="n"/>
      <c r="F384" s="5" t="n"/>
      <c r="G384" s="5" t="n"/>
      <c r="H384" s="5" t="n"/>
      <c r="I384" s="6">
        <f>IF(H384="","",IFERROR(VLOOKUP(H384,Artikel!$A:$E,2,FALSE),"? Nummer prüfen"))</f>
        <v/>
      </c>
      <c r="J384" s="6">
        <f>IF(H384="","",IFERROR(VLOOKUP(H384,Artikel!$A:$E,3,FALSE)&amp;" ("&amp;VLOOKUP(H384,Artikel!$A:$E,4,FALSE)&amp;")",""))</f>
        <v/>
      </c>
      <c r="K384" s="5" t="n"/>
      <c r="L384" s="7">
        <f>IF(H384="","",IFERROR(VLOOKUP(H384,Artikel!$A:$E,5,FALSE),""))</f>
        <v/>
      </c>
      <c r="M384" s="5" t="n"/>
      <c r="N384" s="5" t="n"/>
      <c r="O384" s="5" t="n"/>
      <c r="P384" s="8" t="n"/>
    </row>
    <row r="385">
      <c r="A385" s="4" t="n"/>
      <c r="B385" s="5" t="n"/>
      <c r="C385" s="5" t="n"/>
      <c r="D385" s="5" t="n"/>
      <c r="E385" s="5" t="n"/>
      <c r="F385" s="5" t="n"/>
      <c r="G385" s="5" t="n"/>
      <c r="H385" s="5" t="n"/>
      <c r="I385" s="6">
        <f>IF(H385="","",IFERROR(VLOOKUP(H385,Artikel!$A:$E,2,FALSE),"? Nummer prüfen"))</f>
        <v/>
      </c>
      <c r="J385" s="6">
        <f>IF(H385="","",IFERROR(VLOOKUP(H385,Artikel!$A:$E,3,FALSE)&amp;" ("&amp;VLOOKUP(H385,Artikel!$A:$E,4,FALSE)&amp;")",""))</f>
        <v/>
      </c>
      <c r="K385" s="5" t="n"/>
      <c r="L385" s="7">
        <f>IF(H385="","",IFERROR(VLOOKUP(H385,Artikel!$A:$E,5,FALSE),""))</f>
        <v/>
      </c>
      <c r="M385" s="5" t="n"/>
      <c r="N385" s="5" t="n"/>
      <c r="O385" s="5" t="n"/>
      <c r="P385" s="8" t="n"/>
    </row>
    <row r="386">
      <c r="A386" s="4" t="n"/>
      <c r="B386" s="5" t="n"/>
      <c r="C386" s="5" t="n"/>
      <c r="D386" s="5" t="n"/>
      <c r="E386" s="5" t="n"/>
      <c r="F386" s="5" t="n"/>
      <c r="G386" s="5" t="n"/>
      <c r="H386" s="5" t="n"/>
      <c r="I386" s="6">
        <f>IF(H386="","",IFERROR(VLOOKUP(H386,Artikel!$A:$E,2,FALSE),"? Nummer prüfen"))</f>
        <v/>
      </c>
      <c r="J386" s="6">
        <f>IF(H386="","",IFERROR(VLOOKUP(H386,Artikel!$A:$E,3,FALSE)&amp;" ("&amp;VLOOKUP(H386,Artikel!$A:$E,4,FALSE)&amp;")",""))</f>
        <v/>
      </c>
      <c r="K386" s="5" t="n"/>
      <c r="L386" s="7">
        <f>IF(H386="","",IFERROR(VLOOKUP(H386,Artikel!$A:$E,5,FALSE),""))</f>
        <v/>
      </c>
      <c r="M386" s="5" t="n"/>
      <c r="N386" s="5" t="n"/>
      <c r="O386" s="5" t="n"/>
      <c r="P386" s="8" t="n"/>
    </row>
    <row r="387">
      <c r="A387" s="4" t="n"/>
      <c r="B387" s="5" t="n"/>
      <c r="C387" s="5" t="n"/>
      <c r="D387" s="5" t="n"/>
      <c r="E387" s="5" t="n"/>
      <c r="F387" s="5" t="n"/>
      <c r="G387" s="5" t="n"/>
      <c r="H387" s="5" t="n"/>
      <c r="I387" s="6">
        <f>IF(H387="","",IFERROR(VLOOKUP(H387,Artikel!$A:$E,2,FALSE),"? Nummer prüfen"))</f>
        <v/>
      </c>
      <c r="J387" s="6">
        <f>IF(H387="","",IFERROR(VLOOKUP(H387,Artikel!$A:$E,3,FALSE)&amp;" ("&amp;VLOOKUP(H387,Artikel!$A:$E,4,FALSE)&amp;")",""))</f>
        <v/>
      </c>
      <c r="K387" s="5" t="n"/>
      <c r="L387" s="7">
        <f>IF(H387="","",IFERROR(VLOOKUP(H387,Artikel!$A:$E,5,FALSE),""))</f>
        <v/>
      </c>
      <c r="M387" s="5" t="n"/>
      <c r="N387" s="5" t="n"/>
      <c r="O387" s="5" t="n"/>
      <c r="P387" s="8" t="n"/>
    </row>
    <row r="388">
      <c r="A388" s="4" t="n"/>
      <c r="B388" s="5" t="n"/>
      <c r="C388" s="5" t="n"/>
      <c r="D388" s="5" t="n"/>
      <c r="E388" s="5" t="n"/>
      <c r="F388" s="5" t="n"/>
      <c r="G388" s="5" t="n"/>
      <c r="H388" s="5" t="n"/>
      <c r="I388" s="6">
        <f>IF(H388="","",IFERROR(VLOOKUP(H388,Artikel!$A:$E,2,FALSE),"? Nummer prüfen"))</f>
        <v/>
      </c>
      <c r="J388" s="6">
        <f>IF(H388="","",IFERROR(VLOOKUP(H388,Artikel!$A:$E,3,FALSE)&amp;" ("&amp;VLOOKUP(H388,Artikel!$A:$E,4,FALSE)&amp;")",""))</f>
        <v/>
      </c>
      <c r="K388" s="5" t="n"/>
      <c r="L388" s="7">
        <f>IF(H388="","",IFERROR(VLOOKUP(H388,Artikel!$A:$E,5,FALSE),""))</f>
        <v/>
      </c>
      <c r="M388" s="5" t="n"/>
      <c r="N388" s="5" t="n"/>
      <c r="O388" s="5" t="n"/>
      <c r="P388" s="8" t="n"/>
    </row>
    <row r="389">
      <c r="A389" s="4" t="n"/>
      <c r="B389" s="5" t="n"/>
      <c r="C389" s="5" t="n"/>
      <c r="D389" s="5" t="n"/>
      <c r="E389" s="5" t="n"/>
      <c r="F389" s="5" t="n"/>
      <c r="G389" s="5" t="n"/>
      <c r="H389" s="5" t="n"/>
      <c r="I389" s="6">
        <f>IF(H389="","",IFERROR(VLOOKUP(H389,Artikel!$A:$E,2,FALSE),"? Nummer prüfen"))</f>
        <v/>
      </c>
      <c r="J389" s="6">
        <f>IF(H389="","",IFERROR(VLOOKUP(H389,Artikel!$A:$E,3,FALSE)&amp;" ("&amp;VLOOKUP(H389,Artikel!$A:$E,4,FALSE)&amp;")",""))</f>
        <v/>
      </c>
      <c r="K389" s="5" t="n"/>
      <c r="L389" s="7">
        <f>IF(H389="","",IFERROR(VLOOKUP(H389,Artikel!$A:$E,5,FALSE),""))</f>
        <v/>
      </c>
      <c r="M389" s="5" t="n"/>
      <c r="N389" s="5" t="n"/>
      <c r="O389" s="5" t="n"/>
      <c r="P389" s="8" t="n"/>
    </row>
    <row r="390">
      <c r="A390" s="4" t="n"/>
      <c r="B390" s="5" t="n"/>
      <c r="C390" s="5" t="n"/>
      <c r="D390" s="5" t="n"/>
      <c r="E390" s="5" t="n"/>
      <c r="F390" s="5" t="n"/>
      <c r="G390" s="5" t="n"/>
      <c r="H390" s="5" t="n"/>
      <c r="I390" s="6">
        <f>IF(H390="","",IFERROR(VLOOKUP(H390,Artikel!$A:$E,2,FALSE),"? Nummer prüfen"))</f>
        <v/>
      </c>
      <c r="J390" s="6">
        <f>IF(H390="","",IFERROR(VLOOKUP(H390,Artikel!$A:$E,3,FALSE)&amp;" ("&amp;VLOOKUP(H390,Artikel!$A:$E,4,FALSE)&amp;")",""))</f>
        <v/>
      </c>
      <c r="K390" s="5" t="n"/>
      <c r="L390" s="7">
        <f>IF(H390="","",IFERROR(VLOOKUP(H390,Artikel!$A:$E,5,FALSE),""))</f>
        <v/>
      </c>
      <c r="M390" s="5" t="n"/>
      <c r="N390" s="5" t="n"/>
      <c r="O390" s="5" t="n"/>
      <c r="P390" s="8" t="n"/>
    </row>
    <row r="391">
      <c r="A391" s="4" t="n"/>
      <c r="B391" s="5" t="n"/>
      <c r="C391" s="5" t="n"/>
      <c r="D391" s="5" t="n"/>
      <c r="E391" s="5" t="n"/>
      <c r="F391" s="5" t="n"/>
      <c r="G391" s="5" t="n"/>
      <c r="H391" s="5" t="n"/>
      <c r="I391" s="6">
        <f>IF(H391="","",IFERROR(VLOOKUP(H391,Artikel!$A:$E,2,FALSE),"? Nummer prüfen"))</f>
        <v/>
      </c>
      <c r="J391" s="6">
        <f>IF(H391="","",IFERROR(VLOOKUP(H391,Artikel!$A:$E,3,FALSE)&amp;" ("&amp;VLOOKUP(H391,Artikel!$A:$E,4,FALSE)&amp;")",""))</f>
        <v/>
      </c>
      <c r="K391" s="5" t="n"/>
      <c r="L391" s="7">
        <f>IF(H391="","",IFERROR(VLOOKUP(H391,Artikel!$A:$E,5,FALSE),""))</f>
        <v/>
      </c>
      <c r="M391" s="5" t="n"/>
      <c r="N391" s="5" t="n"/>
      <c r="O391" s="5" t="n"/>
      <c r="P391" s="8" t="n"/>
    </row>
    <row r="392">
      <c r="A392" s="4" t="n"/>
      <c r="B392" s="5" t="n"/>
      <c r="C392" s="5" t="n"/>
      <c r="D392" s="5" t="n"/>
      <c r="E392" s="5" t="n"/>
      <c r="F392" s="5" t="n"/>
      <c r="G392" s="5" t="n"/>
      <c r="H392" s="5" t="n"/>
      <c r="I392" s="6">
        <f>IF(H392="","",IFERROR(VLOOKUP(H392,Artikel!$A:$E,2,FALSE),"? Nummer prüfen"))</f>
        <v/>
      </c>
      <c r="J392" s="6">
        <f>IF(H392="","",IFERROR(VLOOKUP(H392,Artikel!$A:$E,3,FALSE)&amp;" ("&amp;VLOOKUP(H392,Artikel!$A:$E,4,FALSE)&amp;")",""))</f>
        <v/>
      </c>
      <c r="K392" s="5" t="n"/>
      <c r="L392" s="7">
        <f>IF(H392="","",IFERROR(VLOOKUP(H392,Artikel!$A:$E,5,FALSE),""))</f>
        <v/>
      </c>
      <c r="M392" s="5" t="n"/>
      <c r="N392" s="5" t="n"/>
      <c r="O392" s="5" t="n"/>
      <c r="P392" s="8" t="n"/>
    </row>
    <row r="393">
      <c r="A393" s="4" t="n"/>
      <c r="B393" s="5" t="n"/>
      <c r="C393" s="5" t="n"/>
      <c r="D393" s="5" t="n"/>
      <c r="E393" s="5" t="n"/>
      <c r="F393" s="5" t="n"/>
      <c r="G393" s="5" t="n"/>
      <c r="H393" s="5" t="n"/>
      <c r="I393" s="6">
        <f>IF(H393="","",IFERROR(VLOOKUP(H393,Artikel!$A:$E,2,FALSE),"? Nummer prüfen"))</f>
        <v/>
      </c>
      <c r="J393" s="6">
        <f>IF(H393="","",IFERROR(VLOOKUP(H393,Artikel!$A:$E,3,FALSE)&amp;" ("&amp;VLOOKUP(H393,Artikel!$A:$E,4,FALSE)&amp;")",""))</f>
        <v/>
      </c>
      <c r="K393" s="5" t="n"/>
      <c r="L393" s="7">
        <f>IF(H393="","",IFERROR(VLOOKUP(H393,Artikel!$A:$E,5,FALSE),""))</f>
        <v/>
      </c>
      <c r="M393" s="5" t="n"/>
      <c r="N393" s="5" t="n"/>
      <c r="O393" s="5" t="n"/>
      <c r="P393" s="8" t="n"/>
    </row>
    <row r="394">
      <c r="A394" s="4" t="n"/>
      <c r="B394" s="5" t="n"/>
      <c r="C394" s="5" t="n"/>
      <c r="D394" s="5" t="n"/>
      <c r="E394" s="5" t="n"/>
      <c r="F394" s="5" t="n"/>
      <c r="G394" s="5" t="n"/>
      <c r="H394" s="5" t="n"/>
      <c r="I394" s="6">
        <f>IF(H394="","",IFERROR(VLOOKUP(H394,Artikel!$A:$E,2,FALSE),"? Nummer prüfen"))</f>
        <v/>
      </c>
      <c r="J394" s="6">
        <f>IF(H394="","",IFERROR(VLOOKUP(H394,Artikel!$A:$E,3,FALSE)&amp;" ("&amp;VLOOKUP(H394,Artikel!$A:$E,4,FALSE)&amp;")",""))</f>
        <v/>
      </c>
      <c r="K394" s="5" t="n"/>
      <c r="L394" s="7">
        <f>IF(H394="","",IFERROR(VLOOKUP(H394,Artikel!$A:$E,5,FALSE),""))</f>
        <v/>
      </c>
      <c r="M394" s="5" t="n"/>
      <c r="N394" s="5" t="n"/>
      <c r="O394" s="5" t="n"/>
      <c r="P394" s="8" t="n"/>
    </row>
    <row r="395">
      <c r="A395" s="4" t="n"/>
      <c r="B395" s="5" t="n"/>
      <c r="C395" s="5" t="n"/>
      <c r="D395" s="5" t="n"/>
      <c r="E395" s="5" t="n"/>
      <c r="F395" s="5" t="n"/>
      <c r="G395" s="5" t="n"/>
      <c r="H395" s="5" t="n"/>
      <c r="I395" s="6">
        <f>IF(H395="","",IFERROR(VLOOKUP(H395,Artikel!$A:$E,2,FALSE),"? Nummer prüfen"))</f>
        <v/>
      </c>
      <c r="J395" s="6">
        <f>IF(H395="","",IFERROR(VLOOKUP(H395,Artikel!$A:$E,3,FALSE)&amp;" ("&amp;VLOOKUP(H395,Artikel!$A:$E,4,FALSE)&amp;")",""))</f>
        <v/>
      </c>
      <c r="K395" s="5" t="n"/>
      <c r="L395" s="7">
        <f>IF(H395="","",IFERROR(VLOOKUP(H395,Artikel!$A:$E,5,FALSE),""))</f>
        <v/>
      </c>
      <c r="M395" s="5" t="n"/>
      <c r="N395" s="5" t="n"/>
      <c r="O395" s="5" t="n"/>
      <c r="P395" s="8" t="n"/>
    </row>
    <row r="396">
      <c r="A396" s="4" t="n"/>
      <c r="B396" s="5" t="n"/>
      <c r="C396" s="5" t="n"/>
      <c r="D396" s="5" t="n"/>
      <c r="E396" s="5" t="n"/>
      <c r="F396" s="5" t="n"/>
      <c r="G396" s="5" t="n"/>
      <c r="H396" s="5" t="n"/>
      <c r="I396" s="6">
        <f>IF(H396="","",IFERROR(VLOOKUP(H396,Artikel!$A:$E,2,FALSE),"? Nummer prüfen"))</f>
        <v/>
      </c>
      <c r="J396" s="6">
        <f>IF(H396="","",IFERROR(VLOOKUP(H396,Artikel!$A:$E,3,FALSE)&amp;" ("&amp;VLOOKUP(H396,Artikel!$A:$E,4,FALSE)&amp;")",""))</f>
        <v/>
      </c>
      <c r="K396" s="5" t="n"/>
      <c r="L396" s="7">
        <f>IF(H396="","",IFERROR(VLOOKUP(H396,Artikel!$A:$E,5,FALSE),""))</f>
        <v/>
      </c>
      <c r="M396" s="5" t="n"/>
      <c r="N396" s="5" t="n"/>
      <c r="O396" s="5" t="n"/>
      <c r="P396" s="8" t="n"/>
    </row>
    <row r="397">
      <c r="A397" s="4" t="n"/>
      <c r="B397" s="5" t="n"/>
      <c r="C397" s="5" t="n"/>
      <c r="D397" s="5" t="n"/>
      <c r="E397" s="5" t="n"/>
      <c r="F397" s="5" t="n"/>
      <c r="G397" s="5" t="n"/>
      <c r="H397" s="5" t="n"/>
      <c r="I397" s="6">
        <f>IF(H397="","",IFERROR(VLOOKUP(H397,Artikel!$A:$E,2,FALSE),"? Nummer prüfen"))</f>
        <v/>
      </c>
      <c r="J397" s="6">
        <f>IF(H397="","",IFERROR(VLOOKUP(H397,Artikel!$A:$E,3,FALSE)&amp;" ("&amp;VLOOKUP(H397,Artikel!$A:$E,4,FALSE)&amp;")",""))</f>
        <v/>
      </c>
      <c r="K397" s="5" t="n"/>
      <c r="L397" s="7">
        <f>IF(H397="","",IFERROR(VLOOKUP(H397,Artikel!$A:$E,5,FALSE),""))</f>
        <v/>
      </c>
      <c r="M397" s="5" t="n"/>
      <c r="N397" s="5" t="n"/>
      <c r="O397" s="5" t="n"/>
      <c r="P397" s="8" t="n"/>
    </row>
    <row r="398">
      <c r="A398" s="4" t="n"/>
      <c r="B398" s="5" t="n"/>
      <c r="C398" s="5" t="n"/>
      <c r="D398" s="5" t="n"/>
      <c r="E398" s="5" t="n"/>
      <c r="F398" s="5" t="n"/>
      <c r="G398" s="5" t="n"/>
      <c r="H398" s="5" t="n"/>
      <c r="I398" s="6">
        <f>IF(H398="","",IFERROR(VLOOKUP(H398,Artikel!$A:$E,2,FALSE),"? Nummer prüfen"))</f>
        <v/>
      </c>
      <c r="J398" s="6">
        <f>IF(H398="","",IFERROR(VLOOKUP(H398,Artikel!$A:$E,3,FALSE)&amp;" ("&amp;VLOOKUP(H398,Artikel!$A:$E,4,FALSE)&amp;")",""))</f>
        <v/>
      </c>
      <c r="K398" s="5" t="n"/>
      <c r="L398" s="7">
        <f>IF(H398="","",IFERROR(VLOOKUP(H398,Artikel!$A:$E,5,FALSE),""))</f>
        <v/>
      </c>
      <c r="M398" s="5" t="n"/>
      <c r="N398" s="5" t="n"/>
      <c r="O398" s="5" t="n"/>
      <c r="P398" s="8" t="n"/>
    </row>
    <row r="399">
      <c r="A399" s="4" t="n"/>
      <c r="B399" s="5" t="n"/>
      <c r="C399" s="5" t="n"/>
      <c r="D399" s="5" t="n"/>
      <c r="E399" s="5" t="n"/>
      <c r="F399" s="5" t="n"/>
      <c r="G399" s="5" t="n"/>
      <c r="H399" s="5" t="n"/>
      <c r="I399" s="6">
        <f>IF(H399="","",IFERROR(VLOOKUP(H399,Artikel!$A:$E,2,FALSE),"? Nummer prüfen"))</f>
        <v/>
      </c>
      <c r="J399" s="6">
        <f>IF(H399="","",IFERROR(VLOOKUP(H399,Artikel!$A:$E,3,FALSE)&amp;" ("&amp;VLOOKUP(H399,Artikel!$A:$E,4,FALSE)&amp;")",""))</f>
        <v/>
      </c>
      <c r="K399" s="5" t="n"/>
      <c r="L399" s="7">
        <f>IF(H399="","",IFERROR(VLOOKUP(H399,Artikel!$A:$E,5,FALSE),""))</f>
        <v/>
      </c>
      <c r="M399" s="5" t="n"/>
      <c r="N399" s="5" t="n"/>
      <c r="O399" s="5" t="n"/>
      <c r="P399" s="8" t="n"/>
    </row>
    <row r="400">
      <c r="A400" s="4" t="n"/>
      <c r="B400" s="5" t="n"/>
      <c r="C400" s="5" t="n"/>
      <c r="D400" s="5" t="n"/>
      <c r="E400" s="5" t="n"/>
      <c r="F400" s="5" t="n"/>
      <c r="G400" s="5" t="n"/>
      <c r="H400" s="5" t="n"/>
      <c r="I400" s="6">
        <f>IF(H400="","",IFERROR(VLOOKUP(H400,Artikel!$A:$E,2,FALSE),"? Nummer prüfen"))</f>
        <v/>
      </c>
      <c r="J400" s="6">
        <f>IF(H400="","",IFERROR(VLOOKUP(H400,Artikel!$A:$E,3,FALSE)&amp;" ("&amp;VLOOKUP(H400,Artikel!$A:$E,4,FALSE)&amp;")",""))</f>
        <v/>
      </c>
      <c r="K400" s="5" t="n"/>
      <c r="L400" s="7">
        <f>IF(H400="","",IFERROR(VLOOKUP(H400,Artikel!$A:$E,5,FALSE),""))</f>
        <v/>
      </c>
      <c r="M400" s="5" t="n"/>
      <c r="N400" s="5" t="n"/>
      <c r="O400" s="5" t="n"/>
      <c r="P400" s="8" t="n"/>
    </row>
    <row r="401">
      <c r="A401" s="4" t="n"/>
      <c r="B401" s="5" t="n"/>
      <c r="C401" s="5" t="n"/>
      <c r="D401" s="5" t="n"/>
      <c r="E401" s="5" t="n"/>
      <c r="F401" s="5" t="n"/>
      <c r="G401" s="5" t="n"/>
      <c r="H401" s="5" t="n"/>
      <c r="I401" s="6">
        <f>IF(H401="","",IFERROR(VLOOKUP(H401,Artikel!$A:$E,2,FALSE),"? Nummer prüfen"))</f>
        <v/>
      </c>
      <c r="J401" s="6">
        <f>IF(H401="","",IFERROR(VLOOKUP(H401,Artikel!$A:$E,3,FALSE)&amp;" ("&amp;VLOOKUP(H401,Artikel!$A:$E,4,FALSE)&amp;")",""))</f>
        <v/>
      </c>
      <c r="K401" s="5" t="n"/>
      <c r="L401" s="7">
        <f>IF(H401="","",IFERROR(VLOOKUP(H401,Artikel!$A:$E,5,FALSE),""))</f>
        <v/>
      </c>
      <c r="M401" s="5" t="n"/>
      <c r="N401" s="5" t="n"/>
      <c r="O401" s="5" t="n"/>
      <c r="P401" s="8" t="n"/>
    </row>
    <row r="402">
      <c r="A402" s="4" t="n"/>
      <c r="B402" s="5" t="n"/>
      <c r="C402" s="5" t="n"/>
      <c r="D402" s="5" t="n"/>
      <c r="E402" s="5" t="n"/>
      <c r="F402" s="5" t="n"/>
      <c r="G402" s="5" t="n"/>
      <c r="H402" s="5" t="n"/>
      <c r="I402" s="6">
        <f>IF(H402="","",IFERROR(VLOOKUP(H402,Artikel!$A:$E,2,FALSE),"? Nummer prüfen"))</f>
        <v/>
      </c>
      <c r="J402" s="6">
        <f>IF(H402="","",IFERROR(VLOOKUP(H402,Artikel!$A:$E,3,FALSE)&amp;" ("&amp;VLOOKUP(H402,Artikel!$A:$E,4,FALSE)&amp;")",""))</f>
        <v/>
      </c>
      <c r="K402" s="5" t="n"/>
      <c r="L402" s="7">
        <f>IF(H402="","",IFERROR(VLOOKUP(H402,Artikel!$A:$E,5,FALSE),""))</f>
        <v/>
      </c>
      <c r="M402" s="5" t="n"/>
      <c r="N402" s="5" t="n"/>
      <c r="O402" s="5" t="n"/>
      <c r="P402" s="8" t="n"/>
    </row>
    <row r="403">
      <c r="A403" s="4" t="n"/>
      <c r="B403" s="5" t="n"/>
      <c r="C403" s="5" t="n"/>
      <c r="D403" s="5" t="n"/>
      <c r="E403" s="5" t="n"/>
      <c r="F403" s="5" t="n"/>
      <c r="G403" s="5" t="n"/>
      <c r="H403" s="5" t="n"/>
      <c r="I403" s="6">
        <f>IF(H403="","",IFERROR(VLOOKUP(H403,Artikel!$A:$E,2,FALSE),"? Nummer prüfen"))</f>
        <v/>
      </c>
      <c r="J403" s="6">
        <f>IF(H403="","",IFERROR(VLOOKUP(H403,Artikel!$A:$E,3,FALSE)&amp;" ("&amp;VLOOKUP(H403,Artikel!$A:$E,4,FALSE)&amp;")",""))</f>
        <v/>
      </c>
      <c r="K403" s="5" t="n"/>
      <c r="L403" s="7">
        <f>IF(H403="","",IFERROR(VLOOKUP(H403,Artikel!$A:$E,5,FALSE),""))</f>
        <v/>
      </c>
      <c r="M403" s="5" t="n"/>
      <c r="N403" s="5" t="n"/>
      <c r="O403" s="5" t="n"/>
      <c r="P403" s="8" t="n"/>
    </row>
    <row r="404">
      <c r="A404" s="4" t="n"/>
      <c r="B404" s="5" t="n"/>
      <c r="C404" s="5" t="n"/>
      <c r="D404" s="5" t="n"/>
      <c r="E404" s="5" t="n"/>
      <c r="F404" s="5" t="n"/>
      <c r="G404" s="5" t="n"/>
      <c r="H404" s="5" t="n"/>
      <c r="I404" s="6">
        <f>IF(H404="","",IFERROR(VLOOKUP(H404,Artikel!$A:$E,2,FALSE),"? Nummer prüfen"))</f>
        <v/>
      </c>
      <c r="J404" s="6">
        <f>IF(H404="","",IFERROR(VLOOKUP(H404,Artikel!$A:$E,3,FALSE)&amp;" ("&amp;VLOOKUP(H404,Artikel!$A:$E,4,FALSE)&amp;")",""))</f>
        <v/>
      </c>
      <c r="K404" s="5" t="n"/>
      <c r="L404" s="7">
        <f>IF(H404="","",IFERROR(VLOOKUP(H404,Artikel!$A:$E,5,FALSE),""))</f>
        <v/>
      </c>
      <c r="M404" s="5" t="n"/>
      <c r="N404" s="5" t="n"/>
      <c r="O404" s="5" t="n"/>
      <c r="P404" s="8" t="n"/>
    </row>
  </sheetData>
  <autoFilter ref="A4:P404"/>
  <conditionalFormatting sqref="A5:P404">
    <cfRule type="expression" priority="1" dxfId="0">
      <formula>$O5="ja"</formula>
    </cfRule>
    <cfRule type="expression" priority="2" dxfId="1">
      <formula>AND($A5&lt;&gt;"",$G5&lt;&gt;"ja",$A5-TODAY()&lt;=1)</formula>
    </cfRule>
  </conditionalFormatting>
  <conditionalFormatting sqref="I5:I404">
    <cfRule type="expression" priority="3" dxfId="2">
      <formula>LEFT($I5,1)="?"</formula>
    </cfRule>
  </conditionalFormatting>
  <dataValidations count="3">
    <dataValidation sqref="G5:G404 M5:M404 N5:N404 O5:O404" showDropDown="0" showInputMessage="0" showErrorMessage="0" allowBlank="1" type="list">
      <formula1>"ja,nein"</formula1>
    </dataValidation>
    <dataValidation sqref="B5:B404" showDropDown="0" showInputMessage="0" showErrorMessage="0" allowBlank="1" type="list">
      <formula1>"08:00,08:30,09:00,09:30,10:00,10:30,Fr nachm.,Sa vorm."</formula1>
    </dataValidation>
    <dataValidation sqref="A5:A404" showDropDown="0" showInputMessage="0" showErrorMessage="0" allowBlank="1" error="Bitte ein Datum zwischen Oktober und Dezember 2026 eingeben." type="date" operator="between">
      <formula1>DATE(2026,10,1)</formula1>
      <formula2>DATE(2026,12,31)</formula2>
    </dataValidation>
  </dataValidations>
  <pageMargins left="0.75" right="0.75" top="1" bottom="1" header="0.5" footer="0.5"/>
  <pageSetup orientation="landscape" paperSize="9" fitToHeight="0" fitToWidth="1"/>
  <headerFooter>
    <oddHeader>&amp;LAbholübersicht Kikripp GmbH&amp;RStand &amp;D</oddHeader>
    <oddFooter>&amp;CSeite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9" t="inlineStr">
        <is>
          <t>Abholübersicht</t>
        </is>
      </c>
      <c r="B1" s="10" t="inlineStr">
        <is>
          <t>Damit am Abholtag alles bereitsteht und nichts doppelt verkauft wird.</t>
        </is>
      </c>
    </row>
    <row r="2">
      <c r="A2" s="9" t="inlineStr">
        <is>
          <t>Eintragen</t>
        </is>
      </c>
      <c r="B2" s="10" t="inlineStr">
        <is>
          <t>Sobald ein Abholtermin feststeht: je Artikel eine Zeile. Abholtag, Uhrzeit, Vorgang, Käufer, Telefon, ArtNr und Menge. Bezeichnung und Raum erscheinen von selbst.</t>
        </is>
      </c>
    </row>
    <row r="3">
      <c r="A3" s="9" t="inlineStr">
        <is>
          <t>Raum (Post-it)</t>
        </is>
      </c>
      <c r="B3" s="10" t="inlineStr">
        <is>
          <t>Der Raum aus dem Katalog, in Klammern der Code auf dem Post-it am Möbel (z. B. BE10).</t>
        </is>
      </c>
    </row>
    <row r="4">
      <c r="A4" s="9" t="inlineStr">
        <is>
          <t>bezahlt</t>
        </is>
      </c>
      <c r="B4" s="10" t="inlineStr">
        <is>
          <t>Erst „ja“, wenn das Geld auf dem Konto ist. Orange Zeile = Abholung morgen oder heute, aber noch nicht bezahlt.</t>
        </is>
      </c>
    </row>
    <row r="5">
      <c r="A5" s="9" t="inlineStr">
        <is>
          <t>Vor dem Abholtag</t>
        </is>
      </c>
      <c r="B5" s="10" t="inlineStr">
        <is>
          <t>Filter in Zeile 4 beim Abholtag auf den Tag setzen → drucken. Ware bereitstellen, mit Name + Vorgangsnummer markieren, dann „bereitgestellt“ = ja.</t>
        </is>
      </c>
    </row>
    <row r="6">
      <c r="A6" s="9" t="inlineStr">
        <is>
          <t>Bei der Abholung</t>
        </is>
      </c>
      <c r="B6" s="10" t="inlineStr">
        <is>
          <t>Ausdruck abhaken, danach „abgeholt“ = ja – die Zeile wird grau durchgestrichen.</t>
        </is>
      </c>
    </row>
    <row r="7">
      <c r="A7" s="9" t="inlineStr">
        <is>
          <t>Teilabholung</t>
        </is>
      </c>
      <c r="B7" s="10" t="inlineStr">
        <is>
          <t>Was nicht mitgeht: in der Bemerkung vermerken, in WordPress die Position stornieren.</t>
        </is>
      </c>
    </row>
    <row r="8">
      <c r="A8" s="9" t="inlineStr">
        <is>
          <t>Neue Artikel</t>
        </is>
      </c>
      <c r="B8" s="10" t="inlineStr">
        <is>
          <t>Kommt eine neue Artikelnummer dazu, die hier „? Nummer prüfen“ zeigt: von Claude eine neue Abholübersicht holen oder die Bezeichnung von Hand in die Bemerkung schreiben.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  <col width="24" customWidth="1" min="3" max="3"/>
    <col width="10" customWidth="1" min="4" max="4"/>
    <col width="10" customWidth="1" min="5" max="5"/>
  </cols>
  <sheetData>
    <row r="1">
      <c r="A1" s="11" t="inlineStr">
        <is>
          <t>ArtNr</t>
        </is>
      </c>
      <c r="B1" s="11" t="inlineStr">
        <is>
          <t>Bezeichnung</t>
        </is>
      </c>
      <c r="C1" s="11" t="inlineStr">
        <is>
          <t>Raum</t>
        </is>
      </c>
      <c r="D1" s="11" t="inlineStr">
        <is>
          <t>Raumcode</t>
        </is>
      </c>
      <c r="E1" s="11" t="inlineStr">
        <is>
          <t>Einheit</t>
        </is>
      </c>
    </row>
    <row r="2">
      <c r="A2" t="inlineStr">
        <is>
          <t>BA04-01</t>
        </is>
      </c>
      <c r="B2" t="inlineStr">
        <is>
          <t>Rattankörbe 8 Stück</t>
        </is>
      </c>
      <c r="C2" t="inlineStr">
        <is>
          <t>Gruppenraum</t>
        </is>
      </c>
      <c r="D2" t="inlineStr">
        <is>
          <t>BA04</t>
        </is>
      </c>
      <c r="E2" t="inlineStr">
        <is>
          <t>Set</t>
        </is>
      </c>
    </row>
    <row r="3">
      <c r="A3" t="inlineStr">
        <is>
          <t>BA08-01</t>
        </is>
      </c>
      <c r="B3" t="inlineStr">
        <is>
          <t>Konvolut Mal- und Bastelfarben</t>
        </is>
      </c>
      <c r="C3" t="inlineStr">
        <is>
          <t>Atelier</t>
        </is>
      </c>
      <c r="D3" t="inlineStr">
        <is>
          <t>BA08</t>
        </is>
      </c>
      <c r="E3" t="inlineStr">
        <is>
          <t>Konvolut</t>
        </is>
      </c>
    </row>
    <row r="4">
      <c r="A4" t="inlineStr">
        <is>
          <t>BA08-02</t>
        </is>
      </c>
      <c r="B4" t="inlineStr">
        <is>
          <t>Acrylfarben-Sortiment</t>
        </is>
      </c>
      <c r="C4" t="inlineStr">
        <is>
          <t>Atelier</t>
        </is>
      </c>
      <c r="D4" t="inlineStr">
        <is>
          <t>BA08</t>
        </is>
      </c>
      <c r="E4" t="inlineStr">
        <is>
          <t>Konvolut</t>
        </is>
      </c>
    </row>
    <row r="5">
      <c r="A5" t="inlineStr">
        <is>
          <t>BA08-03</t>
        </is>
      </c>
      <c r="B5" t="inlineStr">
        <is>
          <t>Konvolut Bastelmaterial</t>
        </is>
      </c>
      <c r="C5" t="inlineStr">
        <is>
          <t>Atelier</t>
        </is>
      </c>
      <c r="D5" t="inlineStr">
        <is>
          <t>BA08</t>
        </is>
      </c>
      <c r="E5" t="inlineStr">
        <is>
          <t>Konvolut</t>
        </is>
      </c>
    </row>
    <row r="6">
      <c r="A6" t="inlineStr">
        <is>
          <t>BA08-04</t>
        </is>
      </c>
      <c r="B6" t="inlineStr">
        <is>
          <t>buntes Tonpapier</t>
        </is>
      </c>
      <c r="C6" t="inlineStr">
        <is>
          <t>Atelier</t>
        </is>
      </c>
      <c r="D6" t="inlineStr">
        <is>
          <t>BA08</t>
        </is>
      </c>
      <c r="E6" t="inlineStr">
        <is>
          <t>Konvolut</t>
        </is>
      </c>
    </row>
    <row r="7">
      <c r="A7" t="inlineStr">
        <is>
          <t>BA09-01</t>
        </is>
      </c>
      <c r="B7" t="inlineStr">
        <is>
          <t>Deko Metallruten mit Pompons</t>
        </is>
      </c>
      <c r="C7" t="inlineStr">
        <is>
          <t>Personalraum</t>
        </is>
      </c>
      <c r="D7" t="inlineStr">
        <is>
          <t>BA09</t>
        </is>
      </c>
      <c r="E7" t="inlineStr">
        <is>
          <t>Stück</t>
        </is>
      </c>
    </row>
    <row r="8">
      <c r="A8" t="inlineStr">
        <is>
          <t>BA09-02</t>
        </is>
      </c>
      <c r="B8" t="inlineStr">
        <is>
          <t>Elefantenfuß groß</t>
        </is>
      </c>
      <c r="C8" t="inlineStr">
        <is>
          <t>Personalraum</t>
        </is>
      </c>
      <c r="D8" t="inlineStr">
        <is>
          <t>BA09</t>
        </is>
      </c>
      <c r="E8" t="inlineStr">
        <is>
          <t>Set</t>
        </is>
      </c>
    </row>
    <row r="9">
      <c r="A9" t="inlineStr">
        <is>
          <t>BA09-03</t>
        </is>
      </c>
      <c r="B9" t="inlineStr">
        <is>
          <t>Werte-Rad</t>
        </is>
      </c>
      <c r="C9" t="inlineStr">
        <is>
          <t>Personalraum</t>
        </is>
      </c>
      <c r="D9" t="inlineStr">
        <is>
          <t>BA09</t>
        </is>
      </c>
      <c r="E9" t="inlineStr">
        <is>
          <t>Stück</t>
        </is>
      </c>
    </row>
    <row r="10">
      <c r="A10" t="inlineStr">
        <is>
          <t>BA09-04</t>
        </is>
      </c>
      <c r="B10" t="inlineStr">
        <is>
          <t>USM Haller Tisch</t>
        </is>
      </c>
      <c r="C10" t="inlineStr">
        <is>
          <t>Personalraum</t>
        </is>
      </c>
      <c r="D10" t="inlineStr">
        <is>
          <t>BA09</t>
        </is>
      </c>
      <c r="E10" t="inlineStr">
        <is>
          <t>Stück</t>
        </is>
      </c>
    </row>
    <row r="11">
      <c r="A11" t="inlineStr">
        <is>
          <t>BA09-05</t>
        </is>
      </c>
      <c r="B11" t="inlineStr">
        <is>
          <t>Kartell Masters Stuhl</t>
        </is>
      </c>
      <c r="C11" t="inlineStr">
        <is>
          <t>Personalraum</t>
        </is>
      </c>
      <c r="D11" t="inlineStr">
        <is>
          <t>BA09</t>
        </is>
      </c>
      <c r="E11" t="inlineStr">
        <is>
          <t>Stück</t>
        </is>
      </c>
    </row>
    <row r="12">
      <c r="A12" t="inlineStr">
        <is>
          <t>BA10-01</t>
        </is>
      </c>
      <c r="B12" t="inlineStr">
        <is>
          <t>Glastisch rund mit Chromgestell</t>
        </is>
      </c>
      <c r="C12" t="inlineStr">
        <is>
          <t>Ruheraum</t>
        </is>
      </c>
      <c r="D12" t="inlineStr">
        <is>
          <t>BA10</t>
        </is>
      </c>
      <c r="E12" t="inlineStr">
        <is>
          <t>Stück</t>
        </is>
      </c>
    </row>
    <row r="13">
      <c r="A13" t="inlineStr">
        <is>
          <t>BA10-02</t>
        </is>
      </c>
      <c r="B13" t="inlineStr">
        <is>
          <t>Samtsofa bordeaux, 2-Sitzer</t>
        </is>
      </c>
      <c r="C13" t="inlineStr">
        <is>
          <t>Ruheraum</t>
        </is>
      </c>
      <c r="D13" t="inlineStr">
        <is>
          <t>BA10</t>
        </is>
      </c>
      <c r="E13" t="inlineStr">
        <is>
          <t>Stück</t>
        </is>
      </c>
    </row>
    <row r="14">
      <c r="A14" t="inlineStr">
        <is>
          <t>BA10-03</t>
        </is>
      </c>
      <c r="B14" t="inlineStr">
        <is>
          <t>Sessel mit Bezug, weiß lackiert</t>
        </is>
      </c>
      <c r="C14" t="inlineStr">
        <is>
          <t>Ruheraum</t>
        </is>
      </c>
      <c r="D14" t="inlineStr">
        <is>
          <t>BA10</t>
        </is>
      </c>
      <c r="E14" t="inlineStr">
        <is>
          <t>Stück</t>
        </is>
      </c>
    </row>
    <row r="15">
      <c r="A15" t="inlineStr">
        <is>
          <t>BA10-04</t>
        </is>
      </c>
      <c r="B15" t="inlineStr">
        <is>
          <t>Hocker grau mit Hairpin-Beinen</t>
        </is>
      </c>
      <c r="C15" t="inlineStr">
        <is>
          <t>Ruheraum</t>
        </is>
      </c>
      <c r="D15" t="inlineStr">
        <is>
          <t>BA10</t>
        </is>
      </c>
      <c r="E15" t="inlineStr">
        <is>
          <t>Stück</t>
        </is>
      </c>
    </row>
    <row r="16">
      <c r="A16" t="inlineStr">
        <is>
          <t>BA10-05</t>
        </is>
      </c>
      <c r="B16" t="inlineStr">
        <is>
          <t>Ohrensessel grau mit Kufengestell</t>
        </is>
      </c>
      <c r="C16" t="inlineStr">
        <is>
          <t>Ruheraum</t>
        </is>
      </c>
      <c r="D16" t="inlineStr">
        <is>
          <t>BA10</t>
        </is>
      </c>
      <c r="E16" t="inlineStr">
        <is>
          <t>Stück</t>
        </is>
      </c>
    </row>
    <row r="17">
      <c r="A17" t="inlineStr">
        <is>
          <t>BA10-06</t>
        </is>
      </c>
      <c r="B17" t="inlineStr">
        <is>
          <t>Hocker grau, passend</t>
        </is>
      </c>
      <c r="C17" t="inlineStr">
        <is>
          <t>Ruheraum</t>
        </is>
      </c>
      <c r="D17" t="inlineStr">
        <is>
          <t>BA10</t>
        </is>
      </c>
      <c r="E17" t="inlineStr">
        <is>
          <t>Stück</t>
        </is>
      </c>
    </row>
    <row r="18">
      <c r="A18" t="inlineStr">
        <is>
          <t>BA10-07</t>
        </is>
      </c>
      <c r="B18" t="inlineStr">
        <is>
          <t>Beistelltisch rund grau</t>
        </is>
      </c>
      <c r="C18" t="inlineStr">
        <is>
          <t>Ruheraum</t>
        </is>
      </c>
      <c r="D18" t="inlineStr">
        <is>
          <t>BA10</t>
        </is>
      </c>
      <c r="E18" t="inlineStr">
        <is>
          <t>Stück</t>
        </is>
      </c>
    </row>
    <row r="19">
      <c r="A19" t="inlineStr">
        <is>
          <t>BA10-08</t>
        </is>
      </c>
      <c r="B19" t="inlineStr">
        <is>
          <t>Pendelleuchte Drahtgeflecht</t>
        </is>
      </c>
      <c r="C19" t="inlineStr">
        <is>
          <t>Ruheraum</t>
        </is>
      </c>
      <c r="D19" t="inlineStr">
        <is>
          <t>BA10</t>
        </is>
      </c>
      <c r="E19" t="inlineStr">
        <is>
          <t>Stück</t>
        </is>
      </c>
    </row>
    <row r="20">
      <c r="A20" t="inlineStr">
        <is>
          <t>BA12-01</t>
        </is>
      </c>
      <c r="B20" t="inlineStr">
        <is>
          <t>Ast-Mobile mit Papierwaben</t>
        </is>
      </c>
      <c r="C20" t="inlineStr">
        <is>
          <t>Personal-WC</t>
        </is>
      </c>
      <c r="D20" t="inlineStr">
        <is>
          <t>BA12</t>
        </is>
      </c>
      <c r="E20" t="inlineStr">
        <is>
          <t>Stück</t>
        </is>
      </c>
    </row>
    <row r="21">
      <c r="A21" t="inlineStr">
        <is>
          <t>BE01-01</t>
        </is>
      </c>
      <c r="B21" t="inlineStr">
        <is>
          <t>Barockspiegel schwarz, oval</t>
        </is>
      </c>
      <c r="C21" t="inlineStr">
        <is>
          <t>Flur</t>
        </is>
      </c>
      <c r="D21" t="inlineStr">
        <is>
          <t>BE01</t>
        </is>
      </c>
      <c r="E21" t="inlineStr">
        <is>
          <t>Stück</t>
        </is>
      </c>
    </row>
    <row r="22">
      <c r="A22" t="inlineStr">
        <is>
          <t>BE01-02</t>
        </is>
      </c>
      <c r="B22" t="inlineStr">
        <is>
          <t>Bilderrahmen mit Kinderzeichnung</t>
        </is>
      </c>
      <c r="C22" t="inlineStr">
        <is>
          <t>Flur</t>
        </is>
      </c>
      <c r="D22" t="inlineStr">
        <is>
          <t>BE01</t>
        </is>
      </c>
      <c r="E22" t="inlineStr">
        <is>
          <t>Set</t>
        </is>
      </c>
    </row>
    <row r="23">
      <c r="A23" t="inlineStr">
        <is>
          <t>BE01-03</t>
        </is>
      </c>
      <c r="B23" t="inlineStr">
        <is>
          <t>Wandregal-Würfel schwarz</t>
        </is>
      </c>
      <c r="C23" t="inlineStr">
        <is>
          <t>Flur</t>
        </is>
      </c>
      <c r="D23" t="inlineStr">
        <is>
          <t>BE01</t>
        </is>
      </c>
      <c r="E23" t="inlineStr">
        <is>
          <t>Stück</t>
        </is>
      </c>
    </row>
    <row r="24">
      <c r="A24" t="inlineStr">
        <is>
          <t>BE06-01</t>
        </is>
      </c>
      <c r="B24" t="inlineStr">
        <is>
          <t>Wandgestell Holz mit Schnüren</t>
        </is>
      </c>
      <c r="C24" t="inlineStr">
        <is>
          <t>Gruppenraum</t>
        </is>
      </c>
      <c r="D24" t="inlineStr">
        <is>
          <t>BE06</t>
        </is>
      </c>
      <c r="E24" t="inlineStr">
        <is>
          <t>Stück</t>
        </is>
      </c>
    </row>
    <row r="25">
      <c r="A25" t="inlineStr">
        <is>
          <t>BE06-02</t>
        </is>
      </c>
      <c r="B25" t="inlineStr">
        <is>
          <t>Designsofa anthrazit</t>
        </is>
      </c>
      <c r="C25" t="inlineStr">
        <is>
          <t>Gruppenraum</t>
        </is>
      </c>
      <c r="D25" t="inlineStr">
        <is>
          <t>BE06</t>
        </is>
      </c>
      <c r="E25" t="inlineStr">
        <is>
          <t>Stück</t>
        </is>
      </c>
    </row>
    <row r="26">
      <c r="A26" t="inlineStr">
        <is>
          <t>BE10-01</t>
        </is>
      </c>
      <c r="B26" t="inlineStr">
        <is>
          <t>LED-Ring-Pendelleuchte</t>
        </is>
      </c>
      <c r="C26" t="inlineStr">
        <is>
          <t>Büro und Besprechung</t>
        </is>
      </c>
      <c r="D26" t="inlineStr">
        <is>
          <t>BE10</t>
        </is>
      </c>
      <c r="E26" t="inlineStr">
        <is>
          <t>Stück</t>
        </is>
      </c>
    </row>
    <row r="27">
      <c r="A27" t="inlineStr">
        <is>
          <t>BE10-02</t>
        </is>
      </c>
      <c r="B27" t="inlineStr">
        <is>
          <t>Pachira groß im Übertopf</t>
        </is>
      </c>
      <c r="C27" t="inlineStr">
        <is>
          <t>Büro und Besprechung</t>
        </is>
      </c>
      <c r="D27" t="inlineStr">
        <is>
          <t>BE10</t>
        </is>
      </c>
      <c r="E27" t="inlineStr">
        <is>
          <t>Stück</t>
        </is>
      </c>
    </row>
    <row r="28">
      <c r="A28" t="inlineStr">
        <is>
          <t>BE10-03</t>
        </is>
      </c>
      <c r="B28" t="inlineStr">
        <is>
          <t>Moderationswand fahrbar</t>
        </is>
      </c>
      <c r="C28" t="inlineStr">
        <is>
          <t>Büro und Besprechung</t>
        </is>
      </c>
      <c r="D28" t="inlineStr">
        <is>
          <t>BE10</t>
        </is>
      </c>
      <c r="E28" t="inlineStr">
        <is>
          <t>Stück</t>
        </is>
      </c>
    </row>
    <row r="29">
      <c r="A29" t="inlineStr">
        <is>
          <t>BU04-01</t>
        </is>
      </c>
      <c r="B29" t="inlineStr">
        <is>
          <t>Crassula im Topf</t>
        </is>
      </c>
      <c r="C29" t="inlineStr">
        <is>
          <t>Gruppenraum</t>
        </is>
      </c>
      <c r="D29" t="inlineStr">
        <is>
          <t>BU04</t>
        </is>
      </c>
      <c r="E29" t="inlineStr">
        <is>
          <t>Stück</t>
        </is>
      </c>
    </row>
    <row r="30">
      <c r="A30" t="inlineStr">
        <is>
          <t>BU04-02</t>
        </is>
      </c>
      <c r="B30" t="inlineStr">
        <is>
          <t>Pflanzkübel Raumteiler weiß Hochglanz</t>
        </is>
      </c>
      <c r="C30" t="inlineStr">
        <is>
          <t>Gruppenraum</t>
        </is>
      </c>
      <c r="D30" t="inlineStr">
        <is>
          <t>BU04</t>
        </is>
      </c>
      <c r="E30" t="inlineStr">
        <is>
          <t>Stück</t>
        </is>
      </c>
    </row>
    <row r="31">
      <c r="A31" t="inlineStr">
        <is>
          <t>BU04-03</t>
        </is>
      </c>
      <c r="B31" t="inlineStr">
        <is>
          <t>Hochflorteppich beige, rund</t>
        </is>
      </c>
      <c r="C31" t="inlineStr">
        <is>
          <t>Gruppenraum</t>
        </is>
      </c>
      <c r="D31" t="inlineStr">
        <is>
          <t>BU04</t>
        </is>
      </c>
      <c r="E31" t="inlineStr">
        <is>
          <t>Stück</t>
        </is>
      </c>
    </row>
    <row r="32">
      <c r="A32" t="inlineStr">
        <is>
          <t>BU04-04</t>
        </is>
      </c>
      <c r="B32" t="inlineStr">
        <is>
          <t>Regal weiß, 4 Fächer (IKEA Kallax)</t>
        </is>
      </c>
      <c r="C32" t="inlineStr">
        <is>
          <t>Gruppenraum</t>
        </is>
      </c>
      <c r="D32" t="inlineStr">
        <is>
          <t>BU04</t>
        </is>
      </c>
      <c r="E32" t="inlineStr">
        <is>
          <t>Stück</t>
        </is>
      </c>
    </row>
    <row r="33">
      <c r="A33" t="inlineStr">
        <is>
          <t>BU09-01</t>
        </is>
      </c>
      <c r="B33" t="inlineStr">
        <is>
          <t>Wurzelholz-Schale groß</t>
        </is>
      </c>
      <c r="C33" t="inlineStr">
        <is>
          <t>Werkraum</t>
        </is>
      </c>
      <c r="D33" t="inlineStr">
        <is>
          <t>BU09</t>
        </is>
      </c>
      <c r="E33" t="inlineStr">
        <is>
          <t>Stück</t>
        </is>
      </c>
    </row>
    <row r="34">
      <c r="A34" t="inlineStr">
        <is>
          <t>BU09-02</t>
        </is>
      </c>
      <c r="B34" t="inlineStr">
        <is>
          <t>Konvolut Baumscheiben und Holzscheiben</t>
        </is>
      </c>
      <c r="C34" t="inlineStr">
        <is>
          <t>Werkraum</t>
        </is>
      </c>
      <c r="D34" t="inlineStr">
        <is>
          <t>BU09</t>
        </is>
      </c>
      <c r="E34" t="inlineStr">
        <is>
          <t>Konvolut</t>
        </is>
      </c>
    </row>
    <row r="35">
      <c r="A35" t="inlineStr">
        <is>
          <t>BU09-03</t>
        </is>
      </c>
      <c r="B35" t="inlineStr">
        <is>
          <t>Kreidetafel in Hausform</t>
        </is>
      </c>
      <c r="C35" t="inlineStr">
        <is>
          <t>Werkraum</t>
        </is>
      </c>
      <c r="D35" t="inlineStr">
        <is>
          <t>BU09</t>
        </is>
      </c>
      <c r="E35" t="inlineStr">
        <is>
          <t>Stück</t>
        </is>
      </c>
    </row>
    <row r="36">
      <c r="A36" t="inlineStr">
        <is>
          <t>GA01-01</t>
        </is>
      </c>
      <c r="B36" t="inlineStr">
        <is>
          <t>Holz-Wellenliege, Doppelliege</t>
        </is>
      </c>
      <c r="C36" t="inlineStr">
        <is>
          <t>Garten</t>
        </is>
      </c>
      <c r="D36" t="inlineStr">
        <is>
          <t>GA01</t>
        </is>
      </c>
      <c r="E36" t="inlineStr">
        <is>
          <t>Stück</t>
        </is>
      </c>
    </row>
    <row r="37">
      <c r="A37" t="inlineStr">
        <is>
          <t>BE10-09</t>
        </is>
      </c>
      <c r="B37" t="inlineStr">
        <is>
          <t>Konsolentisch schwarz mit Glasablagen</t>
        </is>
      </c>
      <c r="C37" t="inlineStr">
        <is>
          <t>Büro und Besprechung</t>
        </is>
      </c>
      <c r="D37" t="inlineStr">
        <is>
          <t>BE10</t>
        </is>
      </c>
      <c r="E37" t="inlineStr">
        <is>
          <t>Stück</t>
        </is>
      </c>
    </row>
    <row r="38">
      <c r="A38" t="inlineStr">
        <is>
          <t>BE10-11</t>
        </is>
      </c>
      <c r="B38" t="inlineStr">
        <is>
          <t>Bürodrehstuhl weiß</t>
        </is>
      </c>
      <c r="C38" t="inlineStr">
        <is>
          <t>Büro und Besprechung</t>
        </is>
      </c>
      <c r="D38" t="inlineStr">
        <is>
          <t>BE10</t>
        </is>
      </c>
      <c r="E38" t="inlineStr">
        <is>
          <t>Stück</t>
        </is>
      </c>
    </row>
    <row r="39">
      <c r="A39" t="inlineStr">
        <is>
          <t>BE10-12</t>
        </is>
      </c>
      <c r="B39" t="inlineStr">
        <is>
          <t>IKEA Galant Aktenschrank weiß</t>
        </is>
      </c>
      <c r="C39" t="inlineStr">
        <is>
          <t>Büro und Besprechung</t>
        </is>
      </c>
      <c r="D39" t="inlineStr">
        <is>
          <t>BE10</t>
        </is>
      </c>
      <c r="E39" t="inlineStr">
        <is>
          <t>Stück</t>
        </is>
      </c>
    </row>
    <row r="40">
      <c r="A40" t="inlineStr">
        <is>
          <t>NE01-01</t>
        </is>
      </c>
      <c r="B40" t="inlineStr">
        <is>
          <t>Deko-Hirschkopf weiß</t>
        </is>
      </c>
      <c r="C40" t="inlineStr">
        <is>
          <t>Flur</t>
        </is>
      </c>
      <c r="D40" t="inlineStr">
        <is>
          <t>NE01</t>
        </is>
      </c>
      <c r="E40" t="inlineStr">
        <is>
          <t>Stück</t>
        </is>
      </c>
    </row>
    <row r="41">
      <c r="A41" t="inlineStr">
        <is>
          <t>NE01-02</t>
        </is>
      </c>
      <c r="B41" t="inlineStr">
        <is>
          <t>Trachtenfotografie gerahmt, schwarz</t>
        </is>
      </c>
      <c r="C41" t="inlineStr">
        <is>
          <t>Flur</t>
        </is>
      </c>
      <c r="D41" t="inlineStr">
        <is>
          <t>NE01</t>
        </is>
      </c>
      <c r="E41" t="inlineStr">
        <is>
          <t>Stück</t>
        </is>
      </c>
    </row>
    <row r="42">
      <c r="A42" t="inlineStr">
        <is>
          <t>NE01-04</t>
        </is>
      </c>
      <c r="B42" t="inlineStr">
        <is>
          <t>Gemälde Bollenhut abstrakt, schwarz-weiß</t>
        </is>
      </c>
      <c r="C42" t="inlineStr">
        <is>
          <t>Flur</t>
        </is>
      </c>
      <c r="D42" t="inlineStr">
        <is>
          <t>NE01</t>
        </is>
      </c>
      <c r="E42" t="inlineStr">
        <is>
          <t>Stück</t>
        </is>
      </c>
    </row>
    <row r="43">
      <c r="A43" t="inlineStr">
        <is>
          <t>NE01-05</t>
        </is>
      </c>
      <c r="B43" t="inlineStr">
        <is>
          <t>Sansevieria groß im Übertopf</t>
        </is>
      </c>
      <c r="C43" t="inlineStr">
        <is>
          <t>Flur</t>
        </is>
      </c>
      <c r="D43" t="inlineStr">
        <is>
          <t>NE01</t>
        </is>
      </c>
      <c r="E43" t="inlineStr">
        <is>
          <t>Stück</t>
        </is>
      </c>
    </row>
    <row r="44">
      <c r="A44" t="inlineStr">
        <is>
          <t>NE01-06</t>
        </is>
      </c>
      <c r="B44" t="inlineStr">
        <is>
          <t>Gemälde Bollenhut rot-weiß</t>
        </is>
      </c>
      <c r="C44" t="inlineStr">
        <is>
          <t>Flur</t>
        </is>
      </c>
      <c r="D44" t="inlineStr">
        <is>
          <t>NE01</t>
        </is>
      </c>
      <c r="E44" t="inlineStr">
        <is>
          <t>Stück</t>
        </is>
      </c>
    </row>
    <row r="45">
      <c r="A45" t="inlineStr">
        <is>
          <t>NE01-07</t>
        </is>
      </c>
      <c r="B45" t="inlineStr">
        <is>
          <t>Holz-Schriftzug Heimat</t>
        </is>
      </c>
      <c r="C45" t="inlineStr">
        <is>
          <t>Flur</t>
        </is>
      </c>
      <c r="D45" t="inlineStr">
        <is>
          <t>NE01</t>
        </is>
      </c>
      <c r="E45" t="inlineStr">
        <is>
          <t>Stück</t>
        </is>
      </c>
    </row>
    <row r="46">
      <c r="A46" t="inlineStr">
        <is>
          <t>NE01-08</t>
        </is>
      </c>
      <c r="B46" t="inlineStr">
        <is>
          <t>Zamioculcas im Übertopf</t>
        </is>
      </c>
      <c r="C46" t="inlineStr">
        <is>
          <t>Flur</t>
        </is>
      </c>
      <c r="D46" t="inlineStr">
        <is>
          <t>NE01</t>
        </is>
      </c>
      <c r="E46" t="inlineStr">
        <is>
          <t>Stück</t>
        </is>
      </c>
    </row>
    <row r="47">
      <c r="A47" t="inlineStr">
        <is>
          <t>NE01-10</t>
        </is>
      </c>
      <c r="B47" t="inlineStr">
        <is>
          <t>Deckenleuchte Pusteblume</t>
        </is>
      </c>
      <c r="C47" t="inlineStr">
        <is>
          <t>Flur</t>
        </is>
      </c>
      <c r="D47" t="inlineStr">
        <is>
          <t>NE01</t>
        </is>
      </c>
      <c r="E47" t="inlineStr">
        <is>
          <t>Stück</t>
        </is>
      </c>
    </row>
    <row r="48">
      <c r="A48" t="inlineStr">
        <is>
          <t>NE01-11</t>
        </is>
      </c>
      <c r="B48" t="inlineStr">
        <is>
          <t>Gemälde Bollenhut-Mädchen</t>
        </is>
      </c>
      <c r="C48" t="inlineStr">
        <is>
          <t>Flur</t>
        </is>
      </c>
      <c r="D48" t="inlineStr">
        <is>
          <t>NE01</t>
        </is>
      </c>
      <c r="E48" t="inlineStr">
        <is>
          <t>Stück</t>
        </is>
      </c>
    </row>
    <row r="49">
      <c r="A49" t="inlineStr">
        <is>
          <t>NE01-12</t>
        </is>
      </c>
      <c r="B49" t="inlineStr">
        <is>
          <t>Gemälde Fuchs mit Bollenhut</t>
        </is>
      </c>
      <c r="C49" t="inlineStr">
        <is>
          <t>Flur</t>
        </is>
      </c>
      <c r="D49" t="inlineStr">
        <is>
          <t>NE01</t>
        </is>
      </c>
      <c r="E49" t="inlineStr">
        <is>
          <t>Stück</t>
        </is>
      </c>
    </row>
    <row r="50">
      <c r="A50" t="inlineStr">
        <is>
          <t>NE01-13</t>
        </is>
      </c>
      <c r="B50" t="inlineStr">
        <is>
          <t>Gemälde Panorama, 3 Figuren</t>
        </is>
      </c>
      <c r="C50" t="inlineStr">
        <is>
          <t>Flur</t>
        </is>
      </c>
      <c r="D50" t="inlineStr">
        <is>
          <t>NE01</t>
        </is>
      </c>
      <c r="E50" t="inlineStr">
        <is>
          <t>Stück</t>
        </is>
      </c>
    </row>
    <row r="51">
      <c r="A51" t="inlineStr">
        <is>
          <t>NE01-14</t>
        </is>
      </c>
      <c r="B51" t="inlineStr">
        <is>
          <t>Gemälde Panorama, 5 Figuren</t>
        </is>
      </c>
      <c r="C51" t="inlineStr">
        <is>
          <t>Flur</t>
        </is>
      </c>
      <c r="D51" t="inlineStr">
        <is>
          <t>NE01</t>
        </is>
      </c>
      <c r="E51" t="inlineStr">
        <is>
          <t>Stück</t>
        </is>
      </c>
    </row>
    <row r="52">
      <c r="A52" t="inlineStr">
        <is>
          <t>NE01-16</t>
        </is>
      </c>
      <c r="B52" t="inlineStr">
        <is>
          <t>Pflanze mit Topf</t>
        </is>
      </c>
      <c r="C52" t="inlineStr">
        <is>
          <t>Flur</t>
        </is>
      </c>
      <c r="D52" t="inlineStr">
        <is>
          <t>NE01</t>
        </is>
      </c>
      <c r="E52" t="inlineStr">
        <is>
          <t>Stück</t>
        </is>
      </c>
    </row>
    <row r="53">
      <c r="A53" t="inlineStr">
        <is>
          <t>NE05-01</t>
        </is>
      </c>
      <c r="B53" t="inlineStr">
        <is>
          <t>Massivholztisch mit Baumkante, Essbereich 160x85</t>
        </is>
      </c>
      <c r="C53" t="inlineStr">
        <is>
          <t>Speisesaal</t>
        </is>
      </c>
      <c r="D53" t="inlineStr">
        <is>
          <t>NE05</t>
        </is>
      </c>
      <c r="E53" t="inlineStr">
        <is>
          <t>Stück</t>
        </is>
      </c>
    </row>
    <row r="54">
      <c r="A54" t="inlineStr">
        <is>
          <t>NE05-02</t>
        </is>
      </c>
      <c r="B54" t="inlineStr">
        <is>
          <t>Sitzbank Massivholz</t>
        </is>
      </c>
      <c r="C54" t="inlineStr">
        <is>
          <t>Speisesaal</t>
        </is>
      </c>
      <c r="D54" t="inlineStr">
        <is>
          <t>NE05</t>
        </is>
      </c>
      <c r="E54" t="inlineStr">
        <is>
          <t>Stück</t>
        </is>
      </c>
    </row>
    <row r="55">
      <c r="A55" t="inlineStr">
        <is>
          <t>NE05-03</t>
        </is>
      </c>
      <c r="B55" t="inlineStr">
        <is>
          <t>Kuckucksuhr groß, geschnitzt</t>
        </is>
      </c>
      <c r="C55" t="inlineStr">
        <is>
          <t>Speisesaal</t>
        </is>
      </c>
      <c r="D55" t="inlineStr">
        <is>
          <t>NE05</t>
        </is>
      </c>
      <c r="E55" t="inlineStr">
        <is>
          <t>Stück</t>
        </is>
      </c>
    </row>
    <row r="56">
      <c r="A56" t="inlineStr">
        <is>
          <t>NU01-01</t>
        </is>
      </c>
      <c r="B56" t="inlineStr">
        <is>
          <t>Vitra Alcove Sofa, rot</t>
        </is>
      </c>
      <c r="C56" t="inlineStr">
        <is>
          <t>Eingang und Elternlounge</t>
        </is>
      </c>
      <c r="D56" t="inlineStr">
        <is>
          <t>NU01</t>
        </is>
      </c>
      <c r="E56" t="inlineStr">
        <is>
          <t>Stück</t>
        </is>
      </c>
    </row>
    <row r="57">
      <c r="A57" t="inlineStr">
        <is>
          <t>NU01-02</t>
        </is>
      </c>
      <c r="B57" t="inlineStr">
        <is>
          <t>Kuckucksuhr, Wandgruppe</t>
        </is>
      </c>
      <c r="C57" t="inlineStr">
        <is>
          <t>Eingang und Elternlounge</t>
        </is>
      </c>
      <c r="D57" t="inlineStr">
        <is>
          <t>NU01</t>
        </is>
      </c>
      <c r="E57" t="inlineStr">
        <is>
          <t>Stück</t>
        </is>
      </c>
    </row>
    <row r="58">
      <c r="A58" t="inlineStr">
        <is>
          <t>NU01-04</t>
        </is>
      </c>
      <c r="B58" t="inlineStr">
        <is>
          <t>Gemälde Heimweh</t>
        </is>
      </c>
      <c r="C58" t="inlineStr">
        <is>
          <t>Eingang und Elternlounge</t>
        </is>
      </c>
      <c r="D58" t="inlineStr">
        <is>
          <t>NU01</t>
        </is>
      </c>
      <c r="E58" t="inlineStr">
        <is>
          <t>Stück</t>
        </is>
      </c>
    </row>
    <row r="59">
      <c r="A59" t="inlineStr">
        <is>
          <t>NU01-05</t>
        </is>
      </c>
      <c r="B59" t="inlineStr">
        <is>
          <t>Deko-Hirschkopf geometrisch</t>
        </is>
      </c>
      <c r="C59" t="inlineStr">
        <is>
          <t>Eingang und Elternlounge</t>
        </is>
      </c>
      <c r="D59" t="inlineStr">
        <is>
          <t>NU01</t>
        </is>
      </c>
      <c r="E59" t="inlineStr">
        <is>
          <t>Stück</t>
        </is>
      </c>
    </row>
    <row r="60">
      <c r="A60" t="inlineStr">
        <is>
          <t>NU01-06</t>
        </is>
      </c>
      <c r="B60" t="inlineStr">
        <is>
          <t>Gemälde Marilyn mit Bollenhut</t>
        </is>
      </c>
      <c r="C60" t="inlineStr">
        <is>
          <t>Eingang und Elternlounge</t>
        </is>
      </c>
      <c r="D60" t="inlineStr">
        <is>
          <t>NU01</t>
        </is>
      </c>
      <c r="E60" t="inlineStr">
        <is>
          <t>Stück</t>
        </is>
      </c>
    </row>
    <row r="61">
      <c r="A61" t="inlineStr">
        <is>
          <t>NU01-10</t>
        </is>
      </c>
      <c r="B61" t="inlineStr">
        <is>
          <t>Gemälde Panorama mit Tanne</t>
        </is>
      </c>
      <c r="C61" t="inlineStr">
        <is>
          <t>Eingang und Elternlounge</t>
        </is>
      </c>
      <c r="D61" t="inlineStr">
        <is>
          <t>NU01</t>
        </is>
      </c>
      <c r="E61" t="inlineStr">
        <is>
          <t>Stück</t>
        </is>
      </c>
    </row>
    <row r="62">
      <c r="A62" t="inlineStr">
        <is>
          <t>NU01-11</t>
        </is>
      </c>
      <c r="B62" t="inlineStr">
        <is>
          <t>Bilderrahmen schwarz mit Strichfigur</t>
        </is>
      </c>
      <c r="C62" t="inlineStr">
        <is>
          <t>Eingang und Elternlounge</t>
        </is>
      </c>
      <c r="D62" t="inlineStr">
        <is>
          <t>NU01</t>
        </is>
      </c>
      <c r="E62" t="inlineStr">
        <is>
          <t>Stück</t>
        </is>
      </c>
    </row>
    <row r="63">
      <c r="A63" t="inlineStr">
        <is>
          <t>NU01-12</t>
        </is>
      </c>
      <c r="B63" t="inlineStr">
        <is>
          <t>Läufer dunkelgrau, IKEA Morum</t>
        </is>
      </c>
      <c r="C63" t="inlineStr">
        <is>
          <t>Eingang und Elternlounge</t>
        </is>
      </c>
      <c r="D63" t="inlineStr">
        <is>
          <t>NU01</t>
        </is>
      </c>
      <c r="E63" t="inlineStr">
        <is>
          <t>Stück</t>
        </is>
      </c>
    </row>
    <row r="64">
      <c r="A64" t="inlineStr">
        <is>
          <t>NU02-01</t>
        </is>
      </c>
      <c r="B64" t="inlineStr">
        <is>
          <t>Kommode weiß, 6 Schubladen</t>
        </is>
      </c>
      <c r="C64" t="inlineStr">
        <is>
          <t>Gruppenraum</t>
        </is>
      </c>
      <c r="D64" t="inlineStr">
        <is>
          <t>NU02</t>
        </is>
      </c>
      <c r="E64" t="inlineStr">
        <is>
          <t>Stück</t>
        </is>
      </c>
    </row>
    <row r="65">
      <c r="A65" t="inlineStr">
        <is>
          <t>NU03-01</t>
        </is>
      </c>
      <c r="B65" t="inlineStr">
        <is>
          <t>Kommode weiß, hoch, 7 Schubladen</t>
        </is>
      </c>
      <c r="C65" t="inlineStr">
        <is>
          <t>Schlafraum</t>
        </is>
      </c>
      <c r="D65" t="inlineStr">
        <is>
          <t>NU03</t>
        </is>
      </c>
      <c r="E65" t="inlineStr">
        <is>
          <t>Stück</t>
        </is>
      </c>
    </row>
    <row r="66">
      <c r="A66" t="inlineStr">
        <is>
          <t>NU04-01</t>
        </is>
      </c>
      <c r="B66" t="inlineStr">
        <is>
          <t>Wanddeko Hirschkopf Sperrholz</t>
        </is>
      </c>
      <c r="C66" t="inlineStr">
        <is>
          <t>Schlafraum</t>
        </is>
      </c>
      <c r="D66" t="inlineStr">
        <is>
          <t>NU04</t>
        </is>
      </c>
      <c r="E66" t="inlineStr">
        <is>
          <t>Stück</t>
        </is>
      </c>
    </row>
    <row r="67">
      <c r="A67" t="inlineStr">
        <is>
          <t>NU04-02</t>
        </is>
      </c>
      <c r="B67" t="inlineStr">
        <is>
          <t>Kommode anthrazit, groß</t>
        </is>
      </c>
      <c r="C67" t="inlineStr">
        <is>
          <t>Schlafraum</t>
        </is>
      </c>
      <c r="D67" t="inlineStr">
        <is>
          <t>NU04</t>
        </is>
      </c>
      <c r="E67" t="inlineStr">
        <is>
          <t>Stück</t>
        </is>
      </c>
    </row>
    <row r="68">
      <c r="A68" t="inlineStr">
        <is>
          <t>NU04-04</t>
        </is>
      </c>
      <c r="B68" t="inlineStr">
        <is>
          <t>Magnettafel grau, groß</t>
        </is>
      </c>
      <c r="C68" t="inlineStr">
        <is>
          <t>Schlafraum</t>
        </is>
      </c>
      <c r="D68" t="inlineStr">
        <is>
          <t>NU04</t>
        </is>
      </c>
      <c r="E68" t="inlineStr">
        <is>
          <t>Stück</t>
        </is>
      </c>
    </row>
    <row r="69">
      <c r="A69" t="inlineStr">
        <is>
          <t>NU04-05</t>
        </is>
      </c>
      <c r="B69" t="inlineStr">
        <is>
          <t>Hochflorteppich beige</t>
        </is>
      </c>
      <c r="C69" t="inlineStr">
        <is>
          <t>Schlafraum</t>
        </is>
      </c>
      <c r="D69" t="inlineStr">
        <is>
          <t>NU04</t>
        </is>
      </c>
      <c r="E69" t="inlineStr">
        <is>
          <t>Stück</t>
        </is>
      </c>
    </row>
    <row r="70">
      <c r="A70" t="inlineStr">
        <is>
          <t>NU04-06</t>
        </is>
      </c>
      <c r="B70" t="inlineStr">
        <is>
          <t>Teppich schwarz-weiß Rautenmuster</t>
        </is>
      </c>
      <c r="C70" t="inlineStr">
        <is>
          <t>Schlafraum</t>
        </is>
      </c>
      <c r="D70" t="inlineStr">
        <is>
          <t>NU04</t>
        </is>
      </c>
      <c r="E70" t="inlineStr">
        <is>
          <t>Stück</t>
        </is>
      </c>
    </row>
    <row r="71">
      <c r="A71" t="inlineStr">
        <is>
          <t>TE01-01</t>
        </is>
      </c>
      <c r="B71" t="inlineStr">
        <is>
          <t>Biohort Freizeitbox weiß (Terrasse)</t>
        </is>
      </c>
      <c r="C71" t="inlineStr">
        <is>
          <t>Terrasse</t>
        </is>
      </c>
      <c r="D71" t="inlineStr">
        <is>
          <t>TE01</t>
        </is>
      </c>
      <c r="E71" t="inlineStr">
        <is>
          <t>Stück</t>
        </is>
      </c>
    </row>
    <row r="72">
      <c r="A72" t="inlineStr">
        <is>
          <t>TE01-02</t>
        </is>
      </c>
      <c r="B72" t="inlineStr">
        <is>
          <t>Gartentisch mit Granitplatte inkl. Stühle und Schutzhülle</t>
        </is>
      </c>
      <c r="C72" t="inlineStr">
        <is>
          <t>Terrasse</t>
        </is>
      </c>
      <c r="D72" t="inlineStr">
        <is>
          <t>TE01</t>
        </is>
      </c>
      <c r="E72" t="inlineStr">
        <is>
          <t>Stück</t>
        </is>
      </c>
    </row>
    <row r="73">
      <c r="A73" t="inlineStr">
        <is>
          <t>TE01-03</t>
        </is>
      </c>
      <c r="B73" t="inlineStr">
        <is>
          <t>Textilene-Stapelsessel anthrazit</t>
        </is>
      </c>
      <c r="C73" t="inlineStr">
        <is>
          <t>Terrasse</t>
        </is>
      </c>
      <c r="D73" t="inlineStr">
        <is>
          <t>TE01</t>
        </is>
      </c>
      <c r="E73" t="inlineStr">
        <is>
          <t>Stück</t>
        </is>
      </c>
    </row>
    <row r="74">
      <c r="A74" t="inlineStr">
        <is>
          <t>TE01-04</t>
        </is>
      </c>
      <c r="B74" t="inlineStr">
        <is>
          <t>Weber Genesis Gasgrill</t>
        </is>
      </c>
      <c r="C74" t="inlineStr">
        <is>
          <t>Terrasse</t>
        </is>
      </c>
      <c r="D74" t="inlineStr">
        <is>
          <t>TE01</t>
        </is>
      </c>
      <c r="E74" t="inlineStr">
        <is>
          <t>Stück</t>
        </is>
      </c>
    </row>
    <row r="75">
      <c r="A75" t="inlineStr">
        <is>
          <t>TE01-05</t>
        </is>
      </c>
      <c r="B75" t="inlineStr">
        <is>
          <t>Sonnenschirm creme</t>
        </is>
      </c>
      <c r="C75" t="inlineStr">
        <is>
          <t>Terrasse</t>
        </is>
      </c>
      <c r="D75" t="inlineStr">
        <is>
          <t>TE01</t>
        </is>
      </c>
      <c r="E75" t="inlineStr">
        <is>
          <t>Stück</t>
        </is>
      </c>
    </row>
    <row r="76">
      <c r="A76" t="inlineStr">
        <is>
          <t>TE02-01</t>
        </is>
      </c>
      <c r="B76" t="inlineStr">
        <is>
          <t>Pflanzkübel Plastik weiß</t>
        </is>
      </c>
      <c r="C76" t="inlineStr">
        <is>
          <t>Dachterrasse</t>
        </is>
      </c>
      <c r="D76" t="inlineStr">
        <is>
          <t>TE02</t>
        </is>
      </c>
      <c r="E76" t="inlineStr">
        <is>
          <t>Stück</t>
        </is>
      </c>
    </row>
    <row r="77">
      <c r="A77" t="inlineStr">
        <is>
          <t>TE02-02</t>
        </is>
      </c>
      <c r="B77" t="inlineStr">
        <is>
          <t>Gartenstuhl Kunststoff anthrazit</t>
        </is>
      </c>
      <c r="C77" t="inlineStr">
        <is>
          <t>Dachterrasse</t>
        </is>
      </c>
      <c r="D77" t="inlineStr">
        <is>
          <t>TE02</t>
        </is>
      </c>
      <c r="E77" t="inlineStr">
        <is>
          <t>Stück</t>
        </is>
      </c>
    </row>
    <row r="78">
      <c r="A78" t="inlineStr">
        <is>
          <t>TE02-03</t>
        </is>
      </c>
      <c r="B78" t="inlineStr">
        <is>
          <t>Gartentisch anthrazit</t>
        </is>
      </c>
      <c r="C78" t="inlineStr">
        <is>
          <t>Dachterrasse</t>
        </is>
      </c>
      <c r="D78" t="inlineStr">
        <is>
          <t>TE02</t>
        </is>
      </c>
      <c r="E78" t="inlineStr">
        <is>
          <t>Stück</t>
        </is>
      </c>
    </row>
    <row r="79">
      <c r="A79" t="inlineStr">
        <is>
          <t>TE02-06</t>
        </is>
      </c>
      <c r="B79" t="inlineStr">
        <is>
          <t>Holzstern mit Lichterkette</t>
        </is>
      </c>
      <c r="C79" t="inlineStr">
        <is>
          <t>Dachterrasse</t>
        </is>
      </c>
      <c r="D79" t="inlineStr">
        <is>
          <t>TE02</t>
        </is>
      </c>
      <c r="E79" t="inlineStr">
        <is>
          <t>Stück</t>
        </is>
      </c>
    </row>
    <row r="80">
      <c r="A80" t="inlineStr">
        <is>
          <t>NU01-13</t>
        </is>
      </c>
      <c r="B80" t="inlineStr">
        <is>
          <t>Vitrine Nussbaum, vierteilig</t>
        </is>
      </c>
      <c r="C80" t="inlineStr">
        <is>
          <t>Eingang und Elternlounge</t>
        </is>
      </c>
      <c r="D80" t="inlineStr">
        <is>
          <t>NU01</t>
        </is>
      </c>
      <c r="E80" t="inlineStr">
        <is>
          <t>Stück</t>
        </is>
      </c>
    </row>
    <row r="81">
      <c r="A81" t="inlineStr">
        <is>
          <t>NU01-14</t>
        </is>
      </c>
      <c r="B81" t="inlineStr">
        <is>
          <t>Kindergarderobe mit Sitzbank, weiß</t>
        </is>
      </c>
      <c r="C81" t="inlineStr">
        <is>
          <t>Eingang und Elternlounge</t>
        </is>
      </c>
      <c r="D81" t="inlineStr">
        <is>
          <t>NU01</t>
        </is>
      </c>
      <c r="E81" t="inlineStr">
        <is>
          <t>Stück</t>
        </is>
      </c>
    </row>
    <row r="82">
      <c r="A82" t="inlineStr">
        <is>
          <t>NU01-15</t>
        </is>
      </c>
      <c r="B82" t="inlineStr">
        <is>
          <t>Garderobenschrank weiß mit Grafikfront</t>
        </is>
      </c>
      <c r="C82" t="inlineStr">
        <is>
          <t>Eingang und Elternlounge</t>
        </is>
      </c>
      <c r="D82" t="inlineStr">
        <is>
          <t>NU01</t>
        </is>
      </c>
      <c r="E82" t="inlineStr">
        <is>
          <t>Stück</t>
        </is>
      </c>
    </row>
    <row r="83">
      <c r="A83" t="inlineStr">
        <is>
          <t>NU01-18</t>
        </is>
      </c>
      <c r="B83" t="inlineStr">
        <is>
          <t>Waschmaschine Candy RapidÓ, 9 kg</t>
        </is>
      </c>
      <c r="C83" t="inlineStr">
        <is>
          <t>Eingang und Elternlounge</t>
        </is>
      </c>
      <c r="D83" t="inlineStr">
        <is>
          <t>NU01</t>
        </is>
      </c>
      <c r="E83" t="inlineStr">
        <is>
          <t>Stück</t>
        </is>
      </c>
    </row>
    <row r="84">
      <c r="A84" t="inlineStr">
        <is>
          <t>NU01-19</t>
        </is>
      </c>
      <c r="B84" t="inlineStr">
        <is>
          <t>Kindergarderobe mit Hakenleiste und Wannen, weiß</t>
        </is>
      </c>
      <c r="C84" t="inlineStr">
        <is>
          <t>Eingang und Elternlounge</t>
        </is>
      </c>
      <c r="D84" t="inlineStr">
        <is>
          <t>NU01</t>
        </is>
      </c>
      <c r="E84" t="inlineStr">
        <is>
          <t>Stück</t>
        </is>
      </c>
    </row>
    <row r="85">
      <c r="A85" t="inlineStr">
        <is>
          <t>NU01-20</t>
        </is>
      </c>
      <c r="B85" t="inlineStr">
        <is>
          <t>Clubsessel rot, Kunstleder</t>
        </is>
      </c>
      <c r="C85" t="inlineStr">
        <is>
          <t>Eingang und Elternlounge</t>
        </is>
      </c>
      <c r="D85" t="inlineStr">
        <is>
          <t>NU01</t>
        </is>
      </c>
      <c r="E85" t="inlineStr">
        <is>
          <t>Stück</t>
        </is>
      </c>
    </row>
    <row r="86">
      <c r="A86" t="inlineStr">
        <is>
          <t>NU01-21</t>
        </is>
      </c>
      <c r="B86" t="inlineStr">
        <is>
          <t>Leuchte Mr Maria „Miffy", groß</t>
        </is>
      </c>
      <c r="C86" t="inlineStr">
        <is>
          <t>Eingang und Elternlounge</t>
        </is>
      </c>
      <c r="D86" t="inlineStr">
        <is>
          <t>NU01</t>
        </is>
      </c>
      <c r="E86" t="inlineStr">
        <is>
          <t>Stück</t>
        </is>
      </c>
    </row>
    <row r="87">
      <c r="A87" t="inlineStr">
        <is>
          <t>NU01-22</t>
        </is>
      </c>
      <c r="B87" t="inlineStr">
        <is>
          <t>Leuchte Mr Maria „Miffy", klein</t>
        </is>
      </c>
      <c r="C87" t="inlineStr">
        <is>
          <t>Eingang und Elternlounge</t>
        </is>
      </c>
      <c r="D87" t="inlineStr">
        <is>
          <t>NU01</t>
        </is>
      </c>
      <c r="E87" t="inlineStr">
        <is>
          <t>Stück</t>
        </is>
      </c>
    </row>
    <row r="88">
      <c r="A88" t="inlineStr">
        <is>
          <t>NU02-02</t>
        </is>
      </c>
      <c r="B88" t="inlineStr">
        <is>
          <t>Kinderstuhl IKEA Kritter, weiß</t>
        </is>
      </c>
      <c r="C88" t="inlineStr">
        <is>
          <t>Gruppenraum</t>
        </is>
      </c>
      <c r="D88" t="inlineStr">
        <is>
          <t>NU02</t>
        </is>
      </c>
      <c r="E88" t="inlineStr">
        <is>
          <t>Stück</t>
        </is>
      </c>
    </row>
    <row r="89">
      <c r="A89" t="inlineStr">
        <is>
          <t>NU02-03</t>
        </is>
      </c>
      <c r="B89" t="inlineStr">
        <is>
          <t>Kindertisch rund, weiß</t>
        </is>
      </c>
      <c r="C89" t="inlineStr">
        <is>
          <t>Gruppenraum</t>
        </is>
      </c>
      <c r="D89" t="inlineStr">
        <is>
          <t>NU02</t>
        </is>
      </c>
      <c r="E89" t="inlineStr">
        <is>
          <t>Stück</t>
        </is>
      </c>
    </row>
    <row r="90">
      <c r="A90" t="inlineStr">
        <is>
          <t>NU02-04</t>
        </is>
      </c>
      <c r="B90" t="inlineStr">
        <is>
          <t>Kinderstuhl VS, grau</t>
        </is>
      </c>
      <c r="C90" t="inlineStr">
        <is>
          <t>Gruppenraum</t>
        </is>
      </c>
      <c r="D90" t="inlineStr">
        <is>
          <t>NU02</t>
        </is>
      </c>
      <c r="E90" t="inlineStr">
        <is>
          <t>Stück</t>
        </is>
      </c>
    </row>
    <row r="91">
      <c r="A91" t="inlineStr">
        <is>
          <t>NU02-05</t>
        </is>
      </c>
      <c r="B91" t="inlineStr">
        <is>
          <t>Kindertisch halbrund, weiß</t>
        </is>
      </c>
      <c r="C91" t="inlineStr">
        <is>
          <t>Gruppenraum</t>
        </is>
      </c>
      <c r="D91" t="inlineStr">
        <is>
          <t>NU02</t>
        </is>
      </c>
      <c r="E91" t="inlineStr">
        <is>
          <t>Stück</t>
        </is>
      </c>
    </row>
    <row r="92">
      <c r="A92" t="inlineStr">
        <is>
          <t>NU02-07</t>
        </is>
      </c>
      <c r="B92" t="inlineStr">
        <is>
          <t>Beistelltisch Drahtkorb, Kupfer</t>
        </is>
      </c>
      <c r="C92" t="inlineStr">
        <is>
          <t>Gruppenraum</t>
        </is>
      </c>
      <c r="D92" t="inlineStr">
        <is>
          <t>NU02</t>
        </is>
      </c>
      <c r="E92" t="inlineStr">
        <is>
          <t>Stück</t>
        </is>
      </c>
    </row>
    <row r="93">
      <c r="A93" t="inlineStr">
        <is>
          <t>NU02-08</t>
        </is>
      </c>
      <c r="B93" t="inlineStr">
        <is>
          <t>Ohrensessel klein, creme</t>
        </is>
      </c>
      <c r="C93" t="inlineStr">
        <is>
          <t>Gruppenraum</t>
        </is>
      </c>
      <c r="D93" t="inlineStr">
        <is>
          <t>NU02</t>
        </is>
      </c>
      <c r="E93" t="inlineStr">
        <is>
          <t>Stück</t>
        </is>
      </c>
    </row>
    <row r="94">
      <c r="A94" t="inlineStr">
        <is>
          <t>NU02-09</t>
        </is>
      </c>
      <c r="B94" t="inlineStr">
        <is>
          <t>Spieltisch Kiefer mit weißen Einlagen</t>
        </is>
      </c>
      <c r="C94" t="inlineStr">
        <is>
          <t>Gruppenraum</t>
        </is>
      </c>
      <c r="D94" t="inlineStr">
        <is>
          <t>NU02</t>
        </is>
      </c>
      <c r="E94" t="inlineStr">
        <is>
          <t>Stück</t>
        </is>
      </c>
    </row>
    <row r="95">
      <c r="A95" t="inlineStr">
        <is>
          <t>NU02-11</t>
        </is>
      </c>
      <c r="B95" t="inlineStr">
        <is>
          <t>IKEA Småstad Bank weiß mit grauer Platte</t>
        </is>
      </c>
      <c r="C95" t="inlineStr">
        <is>
          <t>Gruppenraum</t>
        </is>
      </c>
      <c r="D95" t="inlineStr">
        <is>
          <t>NU02</t>
        </is>
      </c>
      <c r="E95" t="inlineStr">
        <is>
          <t>Stück</t>
        </is>
      </c>
    </row>
    <row r="96">
      <c r="A96" t="inlineStr">
        <is>
          <t>NU02-12</t>
        </is>
      </c>
      <c r="B96" t="inlineStr">
        <is>
          <t>Pinolino Kindersitzgruppe rund, Holz</t>
        </is>
      </c>
      <c r="C96" t="inlineStr">
        <is>
          <t>Gruppenraum</t>
        </is>
      </c>
      <c r="D96" t="inlineStr">
        <is>
          <t>NU02</t>
        </is>
      </c>
      <c r="E96" t="inlineStr">
        <is>
          <t>Stück</t>
        </is>
      </c>
    </row>
    <row r="97">
      <c r="A97" t="inlineStr">
        <is>
          <t>NU02-13</t>
        </is>
      </c>
      <c r="B97" t="inlineStr">
        <is>
          <t>IKEA Mammut Kindertisch mit vier Stühlen</t>
        </is>
      </c>
      <c r="C97" t="inlineStr">
        <is>
          <t>Gruppenraum</t>
        </is>
      </c>
      <c r="D97" t="inlineStr">
        <is>
          <t>NU02</t>
        </is>
      </c>
      <c r="E97" t="inlineStr">
        <is>
          <t>Set</t>
        </is>
      </c>
    </row>
    <row r="98">
      <c r="A98" t="inlineStr">
        <is>
          <t>NU02-14</t>
        </is>
      </c>
      <c r="B98" t="inlineStr">
        <is>
          <t>IKEA Mammut Kinderstuhl, verschiedene Farben</t>
        </is>
      </c>
      <c r="C98" t="inlineStr">
        <is>
          <t>Gruppenraum</t>
        </is>
      </c>
      <c r="D98" t="inlineStr">
        <is>
          <t>NU02</t>
        </is>
      </c>
      <c r="E98" t="inlineStr">
        <is>
          <t>Stück</t>
        </is>
      </c>
    </row>
    <row r="99">
      <c r="A99" t="inlineStr">
        <is>
          <t>NU02-15</t>
        </is>
      </c>
      <c r="B99" t="inlineStr">
        <is>
          <t>Ablagetisch Bambus mit Wanne</t>
        </is>
      </c>
      <c r="C99" t="inlineStr">
        <is>
          <t>Gruppenraum</t>
        </is>
      </c>
      <c r="D99" t="inlineStr">
        <is>
          <t>NU02</t>
        </is>
      </c>
      <c r="E99" t="inlineStr">
        <is>
          <t>Stück</t>
        </is>
      </c>
    </row>
    <row r="100">
      <c r="A100" t="inlineStr">
        <is>
          <t>NU02-16</t>
        </is>
      </c>
      <c r="B100" t="inlineStr">
        <is>
          <t>Wandregal beige, lang</t>
        </is>
      </c>
      <c r="C100" t="inlineStr">
        <is>
          <t>Gruppenraum</t>
        </is>
      </c>
      <c r="D100" t="inlineStr">
        <is>
          <t>NU02</t>
        </is>
      </c>
      <c r="E100" t="inlineStr">
        <is>
          <t>Stück</t>
        </is>
      </c>
    </row>
    <row r="101">
      <c r="A101" t="inlineStr">
        <is>
          <t>NU02-17</t>
        </is>
      </c>
      <c r="B101" t="inlineStr">
        <is>
          <t>Wandregal weiß, kurz</t>
        </is>
      </c>
      <c r="C101" t="inlineStr">
        <is>
          <t>Gruppenraum</t>
        </is>
      </c>
      <c r="D101" t="inlineStr">
        <is>
          <t>NU02</t>
        </is>
      </c>
      <c r="E101" t="inlineStr">
        <is>
          <t>Stück</t>
        </is>
      </c>
    </row>
    <row r="102">
      <c r="A102" t="inlineStr">
        <is>
          <t>NU02-18</t>
        </is>
      </c>
      <c r="B102" t="inlineStr">
        <is>
          <t>Vitra Eames Elephant, 2x große Ausführung und 1x kleine Ausführung</t>
        </is>
      </c>
      <c r="C102" t="inlineStr">
        <is>
          <t>Gruppenraum</t>
        </is>
      </c>
      <c r="D102" t="inlineStr">
        <is>
          <t>NU02</t>
        </is>
      </c>
      <c r="E102" t="inlineStr">
        <is>
          <t>Stück</t>
        </is>
      </c>
    </row>
    <row r="103">
      <c r="A103" t="inlineStr">
        <is>
          <t>NU02-19</t>
        </is>
      </c>
      <c r="B103" t="inlineStr">
        <is>
          <t>Schrank weiß, zwei Türen</t>
        </is>
      </c>
      <c r="C103" t="inlineStr">
        <is>
          <t>Gruppenraum</t>
        </is>
      </c>
      <c r="D103" t="inlineStr">
        <is>
          <t>NU02</t>
        </is>
      </c>
      <c r="E103" t="inlineStr">
        <is>
          <t>Stück</t>
        </is>
      </c>
    </row>
    <row r="104">
      <c r="A104" t="inlineStr">
        <is>
          <t>NU02-20</t>
        </is>
      </c>
      <c r="B104" t="inlineStr">
        <is>
          <t>Schrank weiß mit zwei Schubladen</t>
        </is>
      </c>
      <c r="C104" t="inlineStr">
        <is>
          <t>Gruppenraum</t>
        </is>
      </c>
      <c r="D104" t="inlineStr">
        <is>
          <t>NU02</t>
        </is>
      </c>
      <c r="E104" t="inlineStr">
        <is>
          <t>Stück</t>
        </is>
      </c>
    </row>
    <row r="105">
      <c r="A105" t="inlineStr">
        <is>
          <t>NU02-21</t>
        </is>
      </c>
      <c r="B105" t="inlineStr">
        <is>
          <t>Regal weiß, hoch, drei Fächer</t>
        </is>
      </c>
      <c r="C105" t="inlineStr">
        <is>
          <t>Gruppenraum</t>
        </is>
      </c>
      <c r="D105" t="inlineStr">
        <is>
          <t>NU02</t>
        </is>
      </c>
      <c r="E105" t="inlineStr">
        <is>
          <t>Stück</t>
        </is>
      </c>
    </row>
    <row r="106">
      <c r="A106" t="inlineStr">
        <is>
          <t>NU02-22</t>
        </is>
      </c>
      <c r="B106" t="inlineStr">
        <is>
          <t>Acrylbild schwarz-weiß, abstrakt</t>
        </is>
      </c>
      <c r="C106" t="inlineStr">
        <is>
          <t>Gruppenraum</t>
        </is>
      </c>
      <c r="D106" t="inlineStr">
        <is>
          <t>NU02</t>
        </is>
      </c>
      <c r="E106" t="inlineStr">
        <is>
          <t>Stück</t>
        </is>
      </c>
    </row>
    <row r="107">
      <c r="A107" t="inlineStr">
        <is>
          <t>NU02-23</t>
        </is>
      </c>
      <c r="B107" t="inlineStr">
        <is>
          <t>Kindertisch weiß aus vier Segmenten</t>
        </is>
      </c>
      <c r="C107" t="inlineStr">
        <is>
          <t>Gruppenraum</t>
        </is>
      </c>
      <c r="D107" t="inlineStr">
        <is>
          <t>NU02</t>
        </is>
      </c>
      <c r="E107" t="inlineStr">
        <is>
          <t>Set</t>
        </is>
      </c>
    </row>
    <row r="108">
      <c r="A108" t="inlineStr">
        <is>
          <t>NU02-24</t>
        </is>
      </c>
      <c r="B108" t="inlineStr">
        <is>
          <t>Regal weiß, niedrig, drei Fächer ohne Inhalt</t>
        </is>
      </c>
      <c r="C108" t="inlineStr">
        <is>
          <t>Gruppenraum</t>
        </is>
      </c>
      <c r="D108" t="inlineStr">
        <is>
          <t>NU02</t>
        </is>
      </c>
      <c r="E108" t="inlineStr">
        <is>
          <t>Stück</t>
        </is>
      </c>
    </row>
    <row r="109">
      <c r="A109" t="inlineStr">
        <is>
          <t>NU03-02</t>
        </is>
      </c>
      <c r="B109" t="inlineStr">
        <is>
          <t>Stockbett weiß mit Absturzsicherung</t>
        </is>
      </c>
      <c r="C109" t="inlineStr">
        <is>
          <t>Schlafraum</t>
        </is>
      </c>
      <c r="D109" t="inlineStr">
        <is>
          <t>NU03</t>
        </is>
      </c>
      <c r="E109" t="inlineStr">
        <is>
          <t>Stück</t>
        </is>
      </c>
    </row>
    <row r="110">
      <c r="A110" t="inlineStr">
        <is>
          <t>NU03-03</t>
        </is>
      </c>
      <c r="B110" t="inlineStr">
        <is>
          <t>Wesco Spielküche, 5 Module</t>
        </is>
      </c>
      <c r="C110" t="inlineStr">
        <is>
          <t>Schlafraum</t>
        </is>
      </c>
      <c r="D110" t="inlineStr">
        <is>
          <t>NU03</t>
        </is>
      </c>
      <c r="E110" t="inlineStr">
        <is>
          <t>Set</t>
        </is>
      </c>
    </row>
    <row r="111">
      <c r="A111" t="inlineStr">
        <is>
          <t>NU03-04</t>
        </is>
      </c>
      <c r="B111" t="inlineStr">
        <is>
          <t>Wesco Bügelbrett und Wäscheständer, Kindergröße</t>
        </is>
      </c>
      <c r="C111" t="inlineStr">
        <is>
          <t>Schlafraum</t>
        </is>
      </c>
      <c r="D111" t="inlineStr">
        <is>
          <t>NU03</t>
        </is>
      </c>
      <c r="E111" t="inlineStr">
        <is>
          <t>Stück</t>
        </is>
      </c>
    </row>
    <row r="112">
      <c r="A112" t="inlineStr">
        <is>
          <t>NU03-05</t>
        </is>
      </c>
      <c r="B112" t="inlineStr">
        <is>
          <t>Flumi Kindersessel, beige Bouclé</t>
        </is>
      </c>
      <c r="C112" t="inlineStr">
        <is>
          <t>Schlafraum</t>
        </is>
      </c>
      <c r="D112" t="inlineStr">
        <is>
          <t>NU03</t>
        </is>
      </c>
      <c r="E112" t="inlineStr">
        <is>
          <t>Stück</t>
        </is>
      </c>
    </row>
    <row r="113">
      <c r="A113" t="inlineStr">
        <is>
          <t>NU03-06</t>
        </is>
      </c>
      <c r="B113" t="inlineStr">
        <is>
          <t>IKEA Trofast Wandregal Kiefer mit Fächern</t>
        </is>
      </c>
      <c r="C113" t="inlineStr">
        <is>
          <t>Schlafraum</t>
        </is>
      </c>
      <c r="D113" t="inlineStr">
        <is>
          <t>NU03</t>
        </is>
      </c>
      <c r="E113" t="inlineStr">
        <is>
          <t>Stück</t>
        </is>
      </c>
    </row>
    <row r="114">
      <c r="A114" t="inlineStr">
        <is>
          <t>NU03-07</t>
        </is>
      </c>
      <c r="B114" t="inlineStr">
        <is>
          <t>IKEA Trofast Offenes Regal Kiefer, drei Fächer</t>
        </is>
      </c>
      <c r="C114" t="inlineStr">
        <is>
          <t>Schlafraum</t>
        </is>
      </c>
      <c r="D114" t="inlineStr">
        <is>
          <t>NU03</t>
        </is>
      </c>
      <c r="E114" t="inlineStr">
        <is>
          <t>Stück</t>
        </is>
      </c>
    </row>
    <row r="115">
      <c r="A115" t="inlineStr">
        <is>
          <t>NU03-09</t>
        </is>
      </c>
      <c r="B115" t="inlineStr">
        <is>
          <t>IKEA Trofast Treppenregal Kiefer mit Wannen</t>
        </is>
      </c>
      <c r="C115" t="inlineStr">
        <is>
          <t>Schlafraum</t>
        </is>
      </c>
      <c r="D115" t="inlineStr">
        <is>
          <t>NU03</t>
        </is>
      </c>
      <c r="E115" t="inlineStr">
        <is>
          <t>Stück</t>
        </is>
      </c>
    </row>
    <row r="116">
      <c r="A116" t="inlineStr">
        <is>
          <t>NU03-10</t>
        </is>
      </c>
      <c r="B116" t="inlineStr">
        <is>
          <t>IKEA Kinderstuhl mit Gurt</t>
        </is>
      </c>
      <c r="C116" t="inlineStr">
        <is>
          <t>Schlafraum</t>
        </is>
      </c>
      <c r="D116" t="inlineStr">
        <is>
          <t>NU03</t>
        </is>
      </c>
      <c r="E116" t="inlineStr">
        <is>
          <t>Stück</t>
        </is>
      </c>
    </row>
    <row r="117">
      <c r="A117" t="inlineStr">
        <is>
          <t>NU04-07</t>
        </is>
      </c>
      <c r="B117" t="inlineStr">
        <is>
          <t>IKEA Agam Kinderstuhl, schwarz</t>
        </is>
      </c>
      <c r="C117" t="inlineStr">
        <is>
          <t>Schlafraum</t>
        </is>
      </c>
      <c r="D117" t="inlineStr">
        <is>
          <t>NU04</t>
        </is>
      </c>
      <c r="E117" t="inlineStr">
        <is>
          <t>Stück</t>
        </is>
      </c>
    </row>
    <row r="118">
      <c r="A118" t="inlineStr">
        <is>
          <t>NU04-08</t>
        </is>
      </c>
      <c r="B118" t="inlineStr">
        <is>
          <t>IKEA Urban Kinderstuhl, Kunststoff</t>
        </is>
      </c>
      <c r="C118" t="inlineStr">
        <is>
          <t>Schlafraum</t>
        </is>
      </c>
      <c r="D118" t="inlineStr">
        <is>
          <t>NU04</t>
        </is>
      </c>
      <c r="E118" t="inlineStr">
        <is>
          <t>Stück</t>
        </is>
      </c>
    </row>
    <row r="119">
      <c r="A119" t="inlineStr">
        <is>
          <t>NU04-09</t>
        </is>
      </c>
      <c r="B119" t="inlineStr">
        <is>
          <t>IKEA Regal weiß, 8 Fächer</t>
        </is>
      </c>
      <c r="C119" t="inlineStr">
        <is>
          <t>Schlafraum</t>
        </is>
      </c>
      <c r="D119" t="inlineStr">
        <is>
          <t>NU04</t>
        </is>
      </c>
      <c r="E119" t="inlineStr">
        <is>
          <t>Stück</t>
        </is>
      </c>
    </row>
    <row r="120">
      <c r="A120" t="inlineStr">
        <is>
          <t>NU04-10</t>
        </is>
      </c>
      <c r="B120" t="inlineStr">
        <is>
          <t>Kinder Schalenstuhl weiß mit Sitzpolster und Holzbeinen</t>
        </is>
      </c>
      <c r="C120" t="inlineStr">
        <is>
          <t>Schlafraum</t>
        </is>
      </c>
      <c r="D120" t="inlineStr">
        <is>
          <t>NU04</t>
        </is>
      </c>
      <c r="E120" t="inlineStr">
        <is>
          <t>Stück</t>
        </is>
      </c>
    </row>
    <row r="121">
      <c r="A121" t="inlineStr">
        <is>
          <t>NU04-11</t>
        </is>
      </c>
      <c r="B121" t="inlineStr">
        <is>
          <t>IKEA Stuva Tisch weiß</t>
        </is>
      </c>
      <c r="C121" t="inlineStr">
        <is>
          <t>Schlafraum</t>
        </is>
      </c>
      <c r="D121" t="inlineStr">
        <is>
          <t>NU04</t>
        </is>
      </c>
      <c r="E121" t="inlineStr">
        <is>
          <t>Stück</t>
        </is>
      </c>
    </row>
    <row r="122">
      <c r="A122" t="inlineStr">
        <is>
          <t>NU04-13</t>
        </is>
      </c>
      <c r="B122" t="inlineStr">
        <is>
          <t>Kindertisch rund weiß mit Holzbeinen</t>
        </is>
      </c>
      <c r="C122" t="inlineStr">
        <is>
          <t>Schlafraum</t>
        </is>
      </c>
      <c r="D122" t="inlineStr">
        <is>
          <t>NU04</t>
        </is>
      </c>
      <c r="E122" t="inlineStr">
        <is>
          <t>Stück</t>
        </is>
      </c>
    </row>
    <row r="123">
      <c r="A123" t="inlineStr">
        <is>
          <t>NU04-14</t>
        </is>
      </c>
      <c r="B123" t="inlineStr">
        <is>
          <t>Raumteiler Metallgitter, schwarz</t>
        </is>
      </c>
      <c r="C123" t="inlineStr">
        <is>
          <t>Schlafraum</t>
        </is>
      </c>
      <c r="D123" t="inlineStr">
        <is>
          <t>NU04</t>
        </is>
      </c>
      <c r="E123" t="inlineStr">
        <is>
          <t>Stück</t>
        </is>
      </c>
    </row>
    <row r="124">
      <c r="A124" t="inlineStr">
        <is>
          <t>NU04-15</t>
        </is>
      </c>
      <c r="B124" t="inlineStr">
        <is>
          <t>IKEA Regal weiß, 3 Fächer, schmal</t>
        </is>
      </c>
      <c r="C124" t="inlineStr">
        <is>
          <t>Schlafraum</t>
        </is>
      </c>
      <c r="D124" t="inlineStr">
        <is>
          <t>NU04</t>
        </is>
      </c>
      <c r="E124" t="inlineStr">
        <is>
          <t>Stück</t>
        </is>
      </c>
    </row>
    <row r="125">
      <c r="A125" t="inlineStr">
        <is>
          <t>NU04-16</t>
        </is>
      </c>
      <c r="B125" t="inlineStr">
        <is>
          <t>Bällebad mit Bällen</t>
        </is>
      </c>
      <c r="C125" t="inlineStr">
        <is>
          <t>Schlafraum</t>
        </is>
      </c>
      <c r="D125" t="inlineStr">
        <is>
          <t>NU04</t>
        </is>
      </c>
      <c r="E125" t="inlineStr">
        <is>
          <t>Stück</t>
        </is>
      </c>
    </row>
    <row r="126">
      <c r="A126" t="inlineStr">
        <is>
          <t>NU04-17</t>
        </is>
      </c>
      <c r="B126" t="inlineStr">
        <is>
          <t>IKEA Trofast Spielregal Kiefer mit Wannen und Wandaufsatz</t>
        </is>
      </c>
      <c r="C126" t="inlineStr">
        <is>
          <t>Schlafraum</t>
        </is>
      </c>
      <c r="D126" t="inlineStr">
        <is>
          <t>NU04</t>
        </is>
      </c>
      <c r="E126" t="inlineStr">
        <is>
          <t>Stück</t>
        </is>
      </c>
    </row>
    <row r="127">
      <c r="A127" t="inlineStr">
        <is>
          <t>NU04-18</t>
        </is>
      </c>
      <c r="B127" t="inlineStr">
        <is>
          <t>Kinderwerkbank Holz mit Tafel</t>
        </is>
      </c>
      <c r="C127" t="inlineStr">
        <is>
          <t>Schlafraum</t>
        </is>
      </c>
      <c r="D127" t="inlineStr">
        <is>
          <t>NU04</t>
        </is>
      </c>
      <c r="E127" t="inlineStr">
        <is>
          <t>Stück</t>
        </is>
      </c>
    </row>
    <row r="128">
      <c r="A128" t="inlineStr">
        <is>
          <t>NU04-19</t>
        </is>
      </c>
      <c r="B128" t="inlineStr">
        <is>
          <t>IKEA Kleiderschrank weiß mit drei Böden</t>
        </is>
      </c>
      <c r="C128" t="inlineStr">
        <is>
          <t>Schlafraum</t>
        </is>
      </c>
      <c r="D128" t="inlineStr">
        <is>
          <t>NU04</t>
        </is>
      </c>
      <c r="E128" t="inlineStr">
        <is>
          <t>Stück</t>
        </is>
      </c>
    </row>
    <row r="129">
      <c r="A129" t="inlineStr">
        <is>
          <t>NU04-20</t>
        </is>
      </c>
      <c r="B129" t="inlineStr">
        <is>
          <t>Vitra Panton Chair schwarz, Erwachsenengröße</t>
        </is>
      </c>
      <c r="C129" t="inlineStr">
        <is>
          <t>Schlafraum</t>
        </is>
      </c>
      <c r="D129" t="inlineStr">
        <is>
          <t>NU04</t>
        </is>
      </c>
      <c r="E129" t="inlineStr">
        <is>
          <t>Stück</t>
        </is>
      </c>
    </row>
    <row r="130">
      <c r="A130" t="inlineStr">
        <is>
          <t>NU04-22</t>
        </is>
      </c>
      <c r="B130" t="inlineStr">
        <is>
          <t>Wandregal weiß, schmal</t>
        </is>
      </c>
      <c r="C130" t="inlineStr">
        <is>
          <t>Schlafraum</t>
        </is>
      </c>
      <c r="D130" t="inlineStr">
        <is>
          <t>NU04</t>
        </is>
      </c>
      <c r="E130" t="inlineStr">
        <is>
          <t>Stück</t>
        </is>
      </c>
    </row>
    <row r="131">
      <c r="A131" t="inlineStr">
        <is>
          <t>NU05-01</t>
        </is>
      </c>
      <c r="B131" t="inlineStr">
        <is>
          <t>Stokke Steps Treppenhochstuhl, weiß mit Buchengestell</t>
        </is>
      </c>
      <c r="C131" t="inlineStr">
        <is>
          <t>Treppenaufgang</t>
        </is>
      </c>
      <c r="D131" t="inlineStr">
        <is>
          <t>NU05</t>
        </is>
      </c>
      <c r="E131" t="inlineStr">
        <is>
          <t>Stück</t>
        </is>
      </c>
    </row>
    <row r="132">
      <c r="A132" t="inlineStr">
        <is>
          <t>NU05-02</t>
        </is>
      </c>
      <c r="B132" t="inlineStr">
        <is>
          <t>Juniorstuhl Holz weiß mit Kreuzlehne</t>
        </is>
      </c>
      <c r="C132" t="inlineStr">
        <is>
          <t>Treppenaufgang</t>
        </is>
      </c>
      <c r="D132" t="inlineStr">
        <is>
          <t>NU05</t>
        </is>
      </c>
      <c r="E132" t="inlineStr">
        <is>
          <t>Stück</t>
        </is>
      </c>
    </row>
    <row r="133">
      <c r="A133" t="inlineStr">
        <is>
          <t>NU05-03</t>
        </is>
      </c>
      <c r="B133" t="inlineStr">
        <is>
          <t>Tisch weiß groß mit Holzbeinen</t>
        </is>
      </c>
      <c r="C133" t="inlineStr">
        <is>
          <t>Treppenaufgang</t>
        </is>
      </c>
      <c r="D133" t="inlineStr">
        <is>
          <t>NU05</t>
        </is>
      </c>
      <c r="E133" t="inlineStr">
        <is>
          <t>Stück</t>
        </is>
      </c>
    </row>
    <row r="134">
      <c r="A134" t="inlineStr">
        <is>
          <t>NU05-04</t>
        </is>
      </c>
      <c r="B134" t="inlineStr">
        <is>
          <t>Regal weiß hoch, vier Böden</t>
        </is>
      </c>
      <c r="C134" t="inlineStr">
        <is>
          <t>Treppenaufgang</t>
        </is>
      </c>
      <c r="D134" t="inlineStr">
        <is>
          <t>NU05</t>
        </is>
      </c>
      <c r="E134" t="inlineStr">
        <is>
          <t>Stück</t>
        </is>
      </c>
    </row>
    <row r="135">
      <c r="A135" t="inlineStr">
        <is>
          <t>NU05-06</t>
        </is>
      </c>
      <c r="B135" t="inlineStr">
        <is>
          <t>Regal weiß mit zwei Schubladen und zwei Böden</t>
        </is>
      </c>
      <c r="C135" t="inlineStr">
        <is>
          <t>Treppenaufgang</t>
        </is>
      </c>
      <c r="D135" t="inlineStr">
        <is>
          <t>NU05</t>
        </is>
      </c>
      <c r="E135" t="inlineStr">
        <is>
          <t>Stück</t>
        </is>
      </c>
    </row>
    <row r="136">
      <c r="A136" t="inlineStr">
        <is>
          <t>NU05-07</t>
        </is>
      </c>
      <c r="B136" t="inlineStr">
        <is>
          <t>Wehrfritz Mal- und Trockengestell fahrbar</t>
        </is>
      </c>
      <c r="C136" t="inlineStr">
        <is>
          <t>Treppenaufgang</t>
        </is>
      </c>
      <c r="D136" t="inlineStr">
        <is>
          <t>NU05</t>
        </is>
      </c>
      <c r="E136" t="inlineStr">
        <is>
          <t>Stück</t>
        </is>
      </c>
    </row>
    <row r="137">
      <c r="A137" t="inlineStr">
        <is>
          <t>NU05-08</t>
        </is>
      </c>
      <c r="B137" t="inlineStr">
        <is>
          <t>Maltafel Holz mit Kreidetafel und Farbablage</t>
        </is>
      </c>
      <c r="C137" t="inlineStr">
        <is>
          <t>Treppenaufgang</t>
        </is>
      </c>
      <c r="D137" t="inlineStr">
        <is>
          <t>NU05</t>
        </is>
      </c>
      <c r="E137" t="inlineStr">
        <is>
          <t>Stück</t>
        </is>
      </c>
    </row>
    <row r="138">
      <c r="A138" t="inlineStr">
        <is>
          <t>NU06-01</t>
        </is>
      </c>
      <c r="B138" t="inlineStr">
        <is>
          <t>Garderobenwand weiß, 13 Plätze</t>
        </is>
      </c>
      <c r="C138" t="inlineStr">
        <is>
          <t>Matschraum</t>
        </is>
      </c>
      <c r="D138" t="inlineStr">
        <is>
          <t>NU06</t>
        </is>
      </c>
      <c r="E138" t="inlineStr">
        <is>
          <t>Stück</t>
        </is>
      </c>
    </row>
    <row r="139">
      <c r="A139" t="inlineStr">
        <is>
          <t>NU06-02</t>
        </is>
      </c>
      <c r="B139" t="inlineStr">
        <is>
          <t>Garderobenwand weiß, 9 Plätze</t>
        </is>
      </c>
      <c r="C139" t="inlineStr">
        <is>
          <t>Matschraum</t>
        </is>
      </c>
      <c r="D139" t="inlineStr">
        <is>
          <t>NU06</t>
        </is>
      </c>
      <c r="E139" t="inlineStr">
        <is>
          <t>Stück</t>
        </is>
      </c>
    </row>
    <row r="140">
      <c r="A140" t="inlineStr">
        <is>
          <t>NU06-03</t>
        </is>
      </c>
      <c r="B140" t="inlineStr">
        <is>
          <t>IKEA Trofast Wandelement weiß mit Wannen</t>
        </is>
      </c>
      <c r="C140" t="inlineStr">
        <is>
          <t>Matschraum</t>
        </is>
      </c>
      <c r="D140" t="inlineStr">
        <is>
          <t>NU06</t>
        </is>
      </c>
      <c r="E140" t="inlineStr">
        <is>
          <t>Stück</t>
        </is>
      </c>
    </row>
    <row r="141">
      <c r="A141" t="inlineStr">
        <is>
          <t>NU06-05</t>
        </is>
      </c>
      <c r="B141" t="inlineStr">
        <is>
          <t>Bauknecht Kühl-Gefrierkombination, Standgerät</t>
        </is>
      </c>
      <c r="C141" t="inlineStr">
        <is>
          <t>Matschraum</t>
        </is>
      </c>
      <c r="D141" t="inlineStr">
        <is>
          <t>NU06</t>
        </is>
      </c>
      <c r="E141" t="inlineStr">
        <is>
          <t>Stück</t>
        </is>
      </c>
    </row>
    <row r="142">
      <c r="A142" t="inlineStr">
        <is>
          <t>NU06-06</t>
        </is>
      </c>
      <c r="B142" t="inlineStr">
        <is>
          <t>Schwerlastregal verzinkt, vier Böden</t>
        </is>
      </c>
      <c r="C142" t="inlineStr">
        <is>
          <t>Matschraum</t>
        </is>
      </c>
      <c r="D142" t="inlineStr">
        <is>
          <t>NU06</t>
        </is>
      </c>
      <c r="E142" t="inlineStr">
        <is>
          <t>Stück</t>
        </is>
      </c>
    </row>
    <row r="143">
      <c r="A143" t="inlineStr">
        <is>
          <t>NU06-07</t>
        </is>
      </c>
      <c r="B143" t="inlineStr">
        <is>
          <t>Bild Paris bei Nacht, groß gerahmt</t>
        </is>
      </c>
      <c r="C143" t="inlineStr">
        <is>
          <t>Matschraum</t>
        </is>
      </c>
      <c r="D143" t="inlineStr">
        <is>
          <t>NU06</t>
        </is>
      </c>
      <c r="E143" t="inlineStr">
        <is>
          <t>Stück</t>
        </is>
      </c>
    </row>
    <row r="144">
      <c r="A144" t="inlineStr">
        <is>
          <t>NU07-01</t>
        </is>
      </c>
      <c r="B144" t="inlineStr">
        <is>
          <t>Hausbett schwarz mit Dach</t>
        </is>
      </c>
      <c r="C144" t="inlineStr">
        <is>
          <t>Gruppenraum</t>
        </is>
      </c>
      <c r="D144" t="inlineStr">
        <is>
          <t>NU07</t>
        </is>
      </c>
      <c r="E144" t="inlineStr">
        <is>
          <t>Stück</t>
        </is>
      </c>
    </row>
    <row r="145">
      <c r="A145" t="inlineStr">
        <is>
          <t>NU07-02</t>
        </is>
      </c>
      <c r="B145" t="inlineStr">
        <is>
          <t>Kaufladen weiß mit Aufsatz</t>
        </is>
      </c>
      <c r="C145" t="inlineStr">
        <is>
          <t>Gruppenraum</t>
        </is>
      </c>
      <c r="D145" t="inlineStr">
        <is>
          <t>NU07</t>
        </is>
      </c>
      <c r="E145" t="inlineStr">
        <is>
          <t>Stück</t>
        </is>
      </c>
    </row>
    <row r="146">
      <c r="A146" t="inlineStr">
        <is>
          <t>NU07-03</t>
        </is>
      </c>
      <c r="B146" t="inlineStr">
        <is>
          <t>Wesco Spielküche, mehrteilig</t>
        </is>
      </c>
      <c r="C146" t="inlineStr">
        <is>
          <t>Gruppenraum</t>
        </is>
      </c>
      <c r="D146" t="inlineStr">
        <is>
          <t>NU07</t>
        </is>
      </c>
      <c r="E146" t="inlineStr">
        <is>
          <t>Set</t>
        </is>
      </c>
    </row>
    <row r="147">
      <c r="A147" t="inlineStr">
        <is>
          <t>NU07-04</t>
        </is>
      </c>
      <c r="B147" t="inlineStr">
        <is>
          <t>howa Kinderspielgrill</t>
        </is>
      </c>
      <c r="C147" t="inlineStr">
        <is>
          <t>Gruppenraum</t>
        </is>
      </c>
      <c r="D147" t="inlineStr">
        <is>
          <t>NU07</t>
        </is>
      </c>
      <c r="E147" t="inlineStr">
        <is>
          <t>Stück</t>
        </is>
      </c>
    </row>
    <row r="148">
      <c r="A148" t="inlineStr">
        <is>
          <t>NU07-05</t>
        </is>
      </c>
      <c r="B148" t="inlineStr">
        <is>
          <t>Kinderkleiderschrank Birke mit zwei Türen</t>
        </is>
      </c>
      <c r="C148" t="inlineStr">
        <is>
          <t>Gruppenraum</t>
        </is>
      </c>
      <c r="D148" t="inlineStr">
        <is>
          <t>NU07</t>
        </is>
      </c>
      <c r="E148" t="inlineStr">
        <is>
          <t>Stück</t>
        </is>
      </c>
    </row>
    <row r="149">
      <c r="A149" t="inlineStr">
        <is>
          <t>NU07-07</t>
        </is>
      </c>
      <c r="B149" t="inlineStr">
        <is>
          <t>Aufbewahrungsregal weiß mit zehn Einschüben</t>
        </is>
      </c>
      <c r="C149" t="inlineStr">
        <is>
          <t>Gruppenraum</t>
        </is>
      </c>
      <c r="D149" t="inlineStr">
        <is>
          <t>NU07</t>
        </is>
      </c>
      <c r="E149" t="inlineStr">
        <is>
          <t>Stück</t>
        </is>
      </c>
    </row>
    <row r="150">
      <c r="A150" t="inlineStr">
        <is>
          <t>NU07-08</t>
        </is>
      </c>
      <c r="B150" t="inlineStr">
        <is>
          <t>Sitzgruppe: Tisch und zwei Truhenbänke</t>
        </is>
      </c>
      <c r="C150" t="inlineStr">
        <is>
          <t>Gruppenraum</t>
        </is>
      </c>
      <c r="D150" t="inlineStr">
        <is>
          <t>NU07</t>
        </is>
      </c>
      <c r="E150" t="inlineStr">
        <is>
          <t>Set</t>
        </is>
      </c>
    </row>
    <row r="151">
      <c r="A151" t="inlineStr">
        <is>
          <t>NE01-17</t>
        </is>
      </c>
      <c r="B151" t="inlineStr">
        <is>
          <t>Wandregal Berg, grau mit Holzablagen</t>
        </is>
      </c>
      <c r="C151" t="inlineStr">
        <is>
          <t>Flur</t>
        </is>
      </c>
      <c r="D151" t="inlineStr">
        <is>
          <t>NE01</t>
        </is>
      </c>
      <c r="E151" t="inlineStr">
        <is>
          <t>Stück</t>
        </is>
      </c>
    </row>
    <row r="152">
      <c r="A152" t="inlineStr">
        <is>
          <t>NE01-18</t>
        </is>
      </c>
      <c r="B152" t="inlineStr">
        <is>
          <t>Highboard weiß auf schwarzem Metallgestell</t>
        </is>
      </c>
      <c r="C152" t="inlineStr">
        <is>
          <t>Flur</t>
        </is>
      </c>
      <c r="D152" t="inlineStr">
        <is>
          <t>NE01</t>
        </is>
      </c>
      <c r="E152" t="inlineStr">
        <is>
          <t>Stück</t>
        </is>
      </c>
    </row>
    <row r="153">
      <c r="A153" t="inlineStr">
        <is>
          <t>NE01-19</t>
        </is>
      </c>
      <c r="B153" t="inlineStr">
        <is>
          <t>Stoff-Alpaka groß</t>
        </is>
      </c>
      <c r="C153" t="inlineStr">
        <is>
          <t>Flur</t>
        </is>
      </c>
      <c r="D153" t="inlineStr">
        <is>
          <t>NE01</t>
        </is>
      </c>
      <c r="E153" t="inlineStr">
        <is>
          <t>Stück</t>
        </is>
      </c>
    </row>
    <row r="154">
      <c r="A154" t="inlineStr">
        <is>
          <t>NE01-20</t>
        </is>
      </c>
      <c r="B154" t="inlineStr">
        <is>
          <t>Kinder-Ohrensessel rot, Kunstleder</t>
        </is>
      </c>
      <c r="C154" t="inlineStr">
        <is>
          <t>Flur</t>
        </is>
      </c>
      <c r="D154" t="inlineStr">
        <is>
          <t>NE01</t>
        </is>
      </c>
      <c r="E154" t="inlineStr">
        <is>
          <t>Stück</t>
        </is>
      </c>
    </row>
    <row r="155">
      <c r="A155" t="inlineStr">
        <is>
          <t>NE01-21</t>
        </is>
      </c>
      <c r="B155" t="inlineStr">
        <is>
          <t>Wandregal weiß mit drei Wannen</t>
        </is>
      </c>
      <c r="C155" t="inlineStr">
        <is>
          <t>Flur</t>
        </is>
      </c>
      <c r="D155" t="inlineStr">
        <is>
          <t>NE01</t>
        </is>
      </c>
      <c r="E155" t="inlineStr">
        <is>
          <t>Stück</t>
        </is>
      </c>
    </row>
    <row r="156">
      <c r="A156" t="inlineStr">
        <is>
          <t>NE01-22</t>
        </is>
      </c>
      <c r="B156" t="inlineStr">
        <is>
          <t>Wandhaken Hund, schwarz</t>
        </is>
      </c>
      <c r="C156" t="inlineStr">
        <is>
          <t>Flur</t>
        </is>
      </c>
      <c r="D156" t="inlineStr">
        <is>
          <t>NE01</t>
        </is>
      </c>
      <c r="E156" t="inlineStr">
        <is>
          <t>Stück</t>
        </is>
      </c>
    </row>
    <row r="157">
      <c r="A157" t="inlineStr">
        <is>
          <t>NE01-23</t>
        </is>
      </c>
      <c r="B157" t="inlineStr">
        <is>
          <t>Wandhaken Hund, grün</t>
        </is>
      </c>
      <c r="C157" t="inlineStr">
        <is>
          <t>Flur</t>
        </is>
      </c>
      <c r="D157" t="inlineStr">
        <is>
          <t>NE01</t>
        </is>
      </c>
      <c r="E157" t="inlineStr">
        <is>
          <t>Stück</t>
        </is>
      </c>
    </row>
    <row r="158">
      <c r="A158" t="inlineStr">
        <is>
          <t>NE01-24</t>
        </is>
      </c>
      <c r="B158" t="inlineStr">
        <is>
          <t>Truhenbank Kindergröße, Buche mit weiß</t>
        </is>
      </c>
      <c r="C158" t="inlineStr">
        <is>
          <t>Flur</t>
        </is>
      </c>
      <c r="D158" t="inlineStr">
        <is>
          <t>NE01</t>
        </is>
      </c>
      <c r="E158" t="inlineStr">
        <is>
          <t>Stück</t>
        </is>
      </c>
    </row>
    <row r="159">
      <c r="A159" t="inlineStr">
        <is>
          <t>NE01-25</t>
        </is>
      </c>
      <c r="B159" t="inlineStr">
        <is>
          <t>Truhenbank Kindergröße, ganz weiß</t>
        </is>
      </c>
      <c r="C159" t="inlineStr">
        <is>
          <t>Flur</t>
        </is>
      </c>
      <c r="D159" t="inlineStr">
        <is>
          <t>NE01</t>
        </is>
      </c>
      <c r="E159" t="inlineStr">
        <is>
          <t>Stück</t>
        </is>
      </c>
    </row>
    <row r="160">
      <c r="A160" t="inlineStr">
        <is>
          <t>NE01-26</t>
        </is>
      </c>
      <c r="B160" t="inlineStr">
        <is>
          <t>Sitzbank weiß mit Stauraum, lang</t>
        </is>
      </c>
      <c r="C160" t="inlineStr">
        <is>
          <t>Flur</t>
        </is>
      </c>
      <c r="D160" t="inlineStr">
        <is>
          <t>NE01</t>
        </is>
      </c>
      <c r="E160" t="inlineStr">
        <is>
          <t>Stück</t>
        </is>
      </c>
    </row>
    <row r="161">
      <c r="A161" t="inlineStr">
        <is>
          <t>BA01-01</t>
        </is>
      </c>
      <c r="B161" t="inlineStr">
        <is>
          <t>Gemälde Mona Lisa, Pop-Art</t>
        </is>
      </c>
      <c r="C161" t="inlineStr">
        <is>
          <t>Flur</t>
        </is>
      </c>
      <c r="D161" t="inlineStr">
        <is>
          <t>BA01</t>
        </is>
      </c>
      <c r="E161" t="inlineStr">
        <is>
          <t>Stück</t>
        </is>
      </c>
    </row>
    <row r="162">
      <c r="A162" t="inlineStr">
        <is>
          <t>BA01-02</t>
        </is>
      </c>
      <c r="B162" t="inlineStr">
        <is>
          <t>Acrylbild abstrakt, Neonfarben</t>
        </is>
      </c>
      <c r="C162" t="inlineStr">
        <is>
          <t>Flur</t>
        </is>
      </c>
      <c r="D162" t="inlineStr">
        <is>
          <t>BA01</t>
        </is>
      </c>
      <c r="E162" t="inlineStr">
        <is>
          <t>Stück</t>
        </is>
      </c>
    </row>
    <row r="163">
      <c r="A163" t="inlineStr">
        <is>
          <t>BA01-03</t>
        </is>
      </c>
      <c r="B163" t="inlineStr">
        <is>
          <t>Deko-Tannen Metall auf Holzsockel</t>
        </is>
      </c>
      <c r="C163" t="inlineStr">
        <is>
          <t>Flur</t>
        </is>
      </c>
      <c r="D163" t="inlineStr">
        <is>
          <t>BA01</t>
        </is>
      </c>
      <c r="E163" t="inlineStr">
        <is>
          <t>Stück</t>
        </is>
      </c>
    </row>
    <row r="164">
      <c r="A164" t="inlineStr">
        <is>
          <t>BA01-04</t>
        </is>
      </c>
      <c r="B164" t="inlineStr">
        <is>
          <t>Leuchtbuchstabe K, schwarz</t>
        </is>
      </c>
      <c r="C164" t="inlineStr">
        <is>
          <t>Flur</t>
        </is>
      </c>
      <c r="D164" t="inlineStr">
        <is>
          <t>BA01</t>
        </is>
      </c>
      <c r="E164" t="inlineStr">
        <is>
          <t>Stück</t>
        </is>
      </c>
    </row>
    <row r="165">
      <c r="A165" t="inlineStr">
        <is>
          <t>BA02-02</t>
        </is>
      </c>
      <c r="B165" t="inlineStr">
        <is>
          <t>Rutscherauto rot</t>
        </is>
      </c>
      <c r="C165" t="inlineStr">
        <is>
          <t>Flur</t>
        </is>
      </c>
      <c r="D165" t="inlineStr">
        <is>
          <t>BA02</t>
        </is>
      </c>
      <c r="E165" t="inlineStr">
        <is>
          <t>Stück</t>
        </is>
      </c>
    </row>
    <row r="166">
      <c r="A166" t="inlineStr">
        <is>
          <t>BA02-04</t>
        </is>
      </c>
      <c r="B166" t="inlineStr">
        <is>
          <t>Kinder-Ohrensessel grau, Kunstleder</t>
        </is>
      </c>
      <c r="C166" t="inlineStr">
        <is>
          <t>Flur</t>
        </is>
      </c>
      <c r="D166" t="inlineStr">
        <is>
          <t>BA02</t>
        </is>
      </c>
      <c r="E166" t="inlineStr">
        <is>
          <t>Stück</t>
        </is>
      </c>
    </row>
    <row r="167">
      <c r="A167" t="inlineStr">
        <is>
          <t>BA02-05</t>
        </is>
      </c>
      <c r="B167" t="inlineStr">
        <is>
          <t>Ablagepult Holz auf Metallgestell</t>
        </is>
      </c>
      <c r="C167" t="inlineStr">
        <is>
          <t>Flur</t>
        </is>
      </c>
      <c r="D167" t="inlineStr">
        <is>
          <t>BA02</t>
        </is>
      </c>
      <c r="E167" t="inlineStr">
        <is>
          <t>Stück</t>
        </is>
      </c>
    </row>
    <row r="168">
      <c r="A168" t="inlineStr">
        <is>
          <t>BA02-06</t>
        </is>
      </c>
      <c r="B168" t="inlineStr">
        <is>
          <t>Truhenbank weiß mit Fellauflage</t>
        </is>
      </c>
      <c r="C168" t="inlineStr">
        <is>
          <t>Flur</t>
        </is>
      </c>
      <c r="D168" t="inlineStr">
        <is>
          <t>BA02</t>
        </is>
      </c>
      <c r="E168" t="inlineStr">
        <is>
          <t>Stück</t>
        </is>
      </c>
    </row>
    <row r="169">
      <c r="A169" t="inlineStr">
        <is>
          <t>BA02-08</t>
        </is>
      </c>
      <c r="B169" t="inlineStr">
        <is>
          <t>IKEA Kinderschrank weiß, zwei Türen</t>
        </is>
      </c>
      <c r="C169" t="inlineStr">
        <is>
          <t>Flur</t>
        </is>
      </c>
      <c r="D169" t="inlineStr">
        <is>
          <t>BA02</t>
        </is>
      </c>
      <c r="E169" t="inlineStr">
        <is>
          <t>Stück</t>
        </is>
      </c>
    </row>
    <row r="170">
      <c r="A170" t="inlineStr">
        <is>
          <t>BA02-09</t>
        </is>
      </c>
      <c r="B170" t="inlineStr">
        <is>
          <t>Deko-Häuser Keramik</t>
        </is>
      </c>
      <c r="C170" t="inlineStr">
        <is>
          <t>Flur</t>
        </is>
      </c>
      <c r="D170" t="inlineStr">
        <is>
          <t>BA02</t>
        </is>
      </c>
      <c r="E170" t="inlineStr">
        <is>
          <t>Stück</t>
        </is>
      </c>
    </row>
    <row r="171">
      <c r="A171" t="inlineStr">
        <is>
          <t>BA09-06</t>
        </is>
      </c>
      <c r="B171" t="inlineStr">
        <is>
          <t>Sitzhocker rund, drehbar auf Rollen</t>
        </is>
      </c>
      <c r="C171" t="inlineStr">
        <is>
          <t>Personalraum</t>
        </is>
      </c>
      <c r="D171" t="inlineStr">
        <is>
          <t>BA09</t>
        </is>
      </c>
      <c r="E171" t="inlineStr">
        <is>
          <t>Stück</t>
        </is>
      </c>
    </row>
    <row r="172">
      <c r="A172" t="inlineStr">
        <is>
          <t>NE02-01</t>
        </is>
      </c>
      <c r="B172" t="inlineStr">
        <is>
          <t>Hirsch Metall, stehend</t>
        </is>
      </c>
      <c r="C172" t="inlineStr">
        <is>
          <t>Küche</t>
        </is>
      </c>
      <c r="D172" t="inlineStr">
        <is>
          <t>NE02</t>
        </is>
      </c>
      <c r="E172" t="inlineStr">
        <is>
          <t>Stück</t>
        </is>
      </c>
    </row>
    <row r="173">
      <c r="A173" t="inlineStr">
        <is>
          <t>NE02-02</t>
        </is>
      </c>
      <c r="B173" t="inlineStr">
        <is>
          <t>Barhocker dunkelgrau, Erwachsenenhöhe</t>
        </is>
      </c>
      <c r="C173" t="inlineStr">
        <is>
          <t>Küche</t>
        </is>
      </c>
      <c r="D173" t="inlineStr">
        <is>
          <t>NE02</t>
        </is>
      </c>
      <c r="E173" t="inlineStr">
        <is>
          <t>Stück</t>
        </is>
      </c>
    </row>
    <row r="174">
      <c r="A174" t="inlineStr">
        <is>
          <t>NE02-03</t>
        </is>
      </c>
      <c r="B174" t="inlineStr">
        <is>
          <t>Wäschekorb schwarz mit Deckel</t>
        </is>
      </c>
      <c r="C174" t="inlineStr">
        <is>
          <t>Küche</t>
        </is>
      </c>
      <c r="D174" t="inlineStr">
        <is>
          <t>NE02</t>
        </is>
      </c>
      <c r="E174" t="inlineStr">
        <is>
          <t>Stück</t>
        </is>
      </c>
    </row>
    <row r="175">
      <c r="A175" t="inlineStr">
        <is>
          <t>NE02-04</t>
        </is>
      </c>
      <c r="B175" t="inlineStr">
        <is>
          <t>Mülleimer Kunststoff schwarz, groß</t>
        </is>
      </c>
      <c r="C175" t="inlineStr">
        <is>
          <t>Küche</t>
        </is>
      </c>
      <c r="D175" t="inlineStr">
        <is>
          <t>NE02</t>
        </is>
      </c>
      <c r="E175" t="inlineStr">
        <is>
          <t>Stück</t>
        </is>
      </c>
    </row>
    <row r="176">
      <c r="A176" t="inlineStr">
        <is>
          <t>NE02-05</t>
        </is>
      </c>
      <c r="B176" t="inlineStr">
        <is>
          <t>IKEA Kinderbecher bunt</t>
        </is>
      </c>
      <c r="C176" t="inlineStr">
        <is>
          <t>Küche</t>
        </is>
      </c>
      <c r="D176" t="inlineStr">
        <is>
          <t>NE02</t>
        </is>
      </c>
      <c r="E176" t="inlineStr">
        <is>
          <t>Set</t>
        </is>
      </c>
    </row>
    <row r="177">
      <c r="A177" t="inlineStr">
        <is>
          <t>NE02-08</t>
        </is>
      </c>
      <c r="B177" t="inlineStr">
        <is>
          <t>Schriftzug „Sterneküche", schwarz</t>
        </is>
      </c>
      <c r="C177" t="inlineStr">
        <is>
          <t>Küche</t>
        </is>
      </c>
      <c r="D177" t="inlineStr">
        <is>
          <t>NE02</t>
        </is>
      </c>
      <c r="E177" t="inlineStr">
        <is>
          <t>Stück</t>
        </is>
      </c>
    </row>
    <row r="178">
      <c r="A178" t="inlineStr">
        <is>
          <t>NE02-09</t>
        </is>
      </c>
      <c r="B178" t="inlineStr">
        <is>
          <t>Tablett weiß mit Streifenmuster</t>
        </is>
      </c>
      <c r="C178" t="inlineStr">
        <is>
          <t>Küche</t>
        </is>
      </c>
      <c r="D178" t="inlineStr">
        <is>
          <t>NE02</t>
        </is>
      </c>
      <c r="E178" t="inlineStr">
        <is>
          <t>Stück</t>
        </is>
      </c>
    </row>
    <row r="179">
      <c r="A179" t="inlineStr">
        <is>
          <t>BA10-09</t>
        </is>
      </c>
      <c r="B179" t="inlineStr">
        <is>
          <t>Beistelltisch rund, Tablettplatte Birke</t>
        </is>
      </c>
      <c r="C179" t="inlineStr">
        <is>
          <t>Ruheraum</t>
        </is>
      </c>
      <c r="D179" t="inlineStr">
        <is>
          <t>BA10</t>
        </is>
      </c>
      <c r="E179" t="inlineStr">
        <is>
          <t>Stück</t>
        </is>
      </c>
    </row>
    <row r="180">
      <c r="A180" t="inlineStr">
        <is>
          <t>BA10-10</t>
        </is>
      </c>
      <c r="B180" t="inlineStr">
        <is>
          <t>Beistelltisch rund, Tablettplatte schwarz</t>
        </is>
      </c>
      <c r="C180" t="inlineStr">
        <is>
          <t>Ruheraum</t>
        </is>
      </c>
      <c r="D180" t="inlineStr">
        <is>
          <t>BA10</t>
        </is>
      </c>
      <c r="E180" t="inlineStr">
        <is>
          <t>Stück</t>
        </is>
      </c>
    </row>
    <row r="181">
      <c r="A181" t="inlineStr">
        <is>
          <t>BA10-11</t>
        </is>
      </c>
      <c r="B181" t="inlineStr">
        <is>
          <t>Tisch rund, zweiteilig, weiß</t>
        </is>
      </c>
      <c r="C181" t="inlineStr">
        <is>
          <t>Ruheraum</t>
        </is>
      </c>
      <c r="D181" t="inlineStr">
        <is>
          <t>BA10</t>
        </is>
      </c>
      <c r="E181" t="inlineStr">
        <is>
          <t>Stück</t>
        </is>
      </c>
    </row>
    <row r="182">
      <c r="A182" t="inlineStr">
        <is>
          <t>BA03-01</t>
        </is>
      </c>
      <c r="B182" t="inlineStr">
        <is>
          <t>IKEA Avsiktlig Teppich, schwarz-weiß gepunktet</t>
        </is>
      </c>
      <c r="C182" t="inlineStr">
        <is>
          <t>Galerie</t>
        </is>
      </c>
      <c r="D182" t="inlineStr">
        <is>
          <t>BA03</t>
        </is>
      </c>
      <c r="E182" t="inlineStr">
        <is>
          <t>Stück</t>
        </is>
      </c>
    </row>
    <row r="183">
      <c r="A183" t="inlineStr">
        <is>
          <t>BA03-02</t>
        </is>
      </c>
      <c r="B183" t="inlineStr">
        <is>
          <t>WESCO Spielküche beige-braun, mehrteilig</t>
        </is>
      </c>
      <c r="C183" t="inlineStr">
        <is>
          <t>Galerie</t>
        </is>
      </c>
      <c r="D183" t="inlineStr">
        <is>
          <t>BA03</t>
        </is>
      </c>
      <c r="E183" t="inlineStr">
        <is>
          <t>Set</t>
        </is>
      </c>
    </row>
    <row r="184">
      <c r="A184" t="inlineStr">
        <is>
          <t>BA03-03</t>
        </is>
      </c>
      <c r="B184" t="inlineStr">
        <is>
          <t>Sofa grau, 2-Sitzer</t>
        </is>
      </c>
      <c r="C184" t="inlineStr">
        <is>
          <t>Galerie</t>
        </is>
      </c>
      <c r="D184" t="inlineStr">
        <is>
          <t>BA03</t>
        </is>
      </c>
      <c r="E184" t="inlineStr">
        <is>
          <t>Stück</t>
        </is>
      </c>
    </row>
    <row r="185">
      <c r="A185" t="inlineStr">
        <is>
          <t>BA03-05</t>
        </is>
      </c>
      <c r="B185" t="inlineStr">
        <is>
          <t>BRIO Puppenwagen rot gepunktet</t>
        </is>
      </c>
      <c r="C185" t="inlineStr">
        <is>
          <t>Galerie</t>
        </is>
      </c>
      <c r="D185" t="inlineStr">
        <is>
          <t>BA03</t>
        </is>
      </c>
      <c r="E185" t="inlineStr">
        <is>
          <t>Stück</t>
        </is>
      </c>
    </row>
    <row r="186">
      <c r="A186" t="inlineStr">
        <is>
          <t>BA03-06</t>
        </is>
      </c>
      <c r="B186" t="inlineStr">
        <is>
          <t>Kaufladen weiß mit Aufsatz</t>
        </is>
      </c>
      <c r="C186" t="inlineStr">
        <is>
          <t>Galerie</t>
        </is>
      </c>
      <c r="D186" t="inlineStr">
        <is>
          <t>BA03</t>
        </is>
      </c>
      <c r="E186" t="inlineStr">
        <is>
          <t>Stück</t>
        </is>
      </c>
    </row>
    <row r="187">
      <c r="A187" t="inlineStr">
        <is>
          <t>BA03-07</t>
        </is>
      </c>
      <c r="B187" t="inlineStr">
        <is>
          <t>Schrank weiß, zwei Türen</t>
        </is>
      </c>
      <c r="C187" t="inlineStr">
        <is>
          <t>Galerie</t>
        </is>
      </c>
      <c r="D187" t="inlineStr">
        <is>
          <t>BA03</t>
        </is>
      </c>
      <c r="E187" t="inlineStr">
        <is>
          <t>Stück</t>
        </is>
      </c>
    </row>
    <row r="188">
      <c r="A188" t="inlineStr">
        <is>
          <t>BA03-04</t>
        </is>
      </c>
      <c r="B188" t="inlineStr">
        <is>
          <t>Wandregal Hausform, schwarz</t>
        </is>
      </c>
      <c r="C188" t="inlineStr">
        <is>
          <t>Galerie</t>
        </is>
      </c>
      <c r="D188" t="inlineStr">
        <is>
          <t>BA03</t>
        </is>
      </c>
      <c r="E188" t="inlineStr">
        <is>
          <t>Stück</t>
        </is>
      </c>
    </row>
    <row r="189">
      <c r="A189" t="inlineStr">
        <is>
          <t>BA04-04</t>
        </is>
      </c>
      <c r="B189" t="inlineStr">
        <is>
          <t>IKEA Urban Stapelstuhl weiß, Erwachsenengröße</t>
        </is>
      </c>
      <c r="C189" t="inlineStr">
        <is>
          <t>Gruppenraum</t>
        </is>
      </c>
      <c r="D189" t="inlineStr">
        <is>
          <t>BA04</t>
        </is>
      </c>
      <c r="E189" t="inlineStr">
        <is>
          <t>Stück</t>
        </is>
      </c>
    </row>
    <row r="190">
      <c r="A190" t="inlineStr">
        <is>
          <t>BA04-05</t>
        </is>
      </c>
      <c r="B190" t="inlineStr">
        <is>
          <t>Kinder-Sessel Bugholz mit Polster</t>
        </is>
      </c>
      <c r="C190" t="inlineStr">
        <is>
          <t>Gruppenraum</t>
        </is>
      </c>
      <c r="D190" t="inlineStr">
        <is>
          <t>BA04</t>
        </is>
      </c>
      <c r="E190" t="inlineStr">
        <is>
          <t>Stück</t>
        </is>
      </c>
    </row>
    <row r="191">
      <c r="A191" t="inlineStr">
        <is>
          <t>BA04-06</t>
        </is>
      </c>
      <c r="B191" t="inlineStr">
        <is>
          <t>Rollwagen weiß, drei Etagen</t>
        </is>
      </c>
      <c r="C191" t="inlineStr">
        <is>
          <t>Gruppenraum</t>
        </is>
      </c>
      <c r="D191" t="inlineStr">
        <is>
          <t>BA04</t>
        </is>
      </c>
      <c r="E191" t="inlineStr">
        <is>
          <t>Stück</t>
        </is>
      </c>
    </row>
    <row r="192">
      <c r="A192" t="inlineStr">
        <is>
          <t>BA04-07</t>
        </is>
      </c>
      <c r="B192" t="inlineStr">
        <is>
          <t>Beistelltisch Drahtkorb, weiß</t>
        </is>
      </c>
      <c r="C192" t="inlineStr">
        <is>
          <t>Gruppenraum</t>
        </is>
      </c>
      <c r="D192" t="inlineStr">
        <is>
          <t>BA04</t>
        </is>
      </c>
      <c r="E192" t="inlineStr">
        <is>
          <t>Stück</t>
        </is>
      </c>
    </row>
    <row r="193">
      <c r="A193" t="inlineStr">
        <is>
          <t>BA05-01</t>
        </is>
      </c>
      <c r="B193" t="inlineStr">
        <is>
          <t>Rollkasten mit großen Kunststoff-Bausteinen</t>
        </is>
      </c>
      <c r="C193" t="inlineStr">
        <is>
          <t>Turnraum</t>
        </is>
      </c>
      <c r="D193" t="inlineStr">
        <is>
          <t>BA05</t>
        </is>
      </c>
      <c r="E193" t="inlineStr">
        <is>
          <t>Stück</t>
        </is>
      </c>
    </row>
    <row r="194">
      <c r="A194" t="inlineStr">
        <is>
          <t>BA05-02</t>
        </is>
      </c>
      <c r="B194" t="inlineStr">
        <is>
          <t>BENZ Turnbank</t>
        </is>
      </c>
      <c r="C194" t="inlineStr">
        <is>
          <t>Turnraum</t>
        </is>
      </c>
      <c r="D194" t="inlineStr">
        <is>
          <t>BA05</t>
        </is>
      </c>
      <c r="E194" t="inlineStr">
        <is>
          <t>Stück</t>
        </is>
      </c>
    </row>
    <row r="195">
      <c r="A195" t="inlineStr">
        <is>
          <t>BA05-03</t>
        </is>
      </c>
      <c r="B195" t="inlineStr">
        <is>
          <t>Trampolin mit Haltestange</t>
        </is>
      </c>
      <c r="C195" t="inlineStr">
        <is>
          <t>Turnraum</t>
        </is>
      </c>
      <c r="D195" t="inlineStr">
        <is>
          <t>BA05</t>
        </is>
      </c>
      <c r="E195" t="inlineStr">
        <is>
          <t>Stück</t>
        </is>
      </c>
    </row>
    <row r="196">
      <c r="A196" t="inlineStr">
        <is>
          <t>BA05-04</t>
        </is>
      </c>
      <c r="B196" t="inlineStr">
        <is>
          <t>Spielhochbett mit Bällebad und Rutsche</t>
        </is>
      </c>
      <c r="C196" t="inlineStr">
        <is>
          <t>Turnraum</t>
        </is>
      </c>
      <c r="D196" t="inlineStr">
        <is>
          <t>BA05</t>
        </is>
      </c>
      <c r="E196" t="inlineStr">
        <is>
          <t>Stück</t>
        </is>
      </c>
    </row>
    <row r="197">
      <c r="A197" t="inlineStr">
        <is>
          <t>BA05-05</t>
        </is>
      </c>
      <c r="B197" t="inlineStr">
        <is>
          <t>Sprossenwand einzeln</t>
        </is>
      </c>
      <c r="C197" t="inlineStr">
        <is>
          <t>Turnraum</t>
        </is>
      </c>
      <c r="D197" t="inlineStr">
        <is>
          <t>BA05</t>
        </is>
      </c>
      <c r="E197" t="inlineStr">
        <is>
          <t>Stück</t>
        </is>
      </c>
    </row>
    <row r="198">
      <c r="A198" t="inlineStr">
        <is>
          <t>BA05-06</t>
        </is>
      </c>
      <c r="B198" t="inlineStr">
        <is>
          <t>Doppelsprossenwand</t>
        </is>
      </c>
      <c r="C198" t="inlineStr">
        <is>
          <t>Turnraum</t>
        </is>
      </c>
      <c r="D198" t="inlineStr">
        <is>
          <t>BA05</t>
        </is>
      </c>
      <c r="E198" t="inlineStr">
        <is>
          <t>Stück</t>
        </is>
      </c>
    </row>
    <row r="199">
      <c r="A199" t="inlineStr">
        <is>
          <t>BA05-07</t>
        </is>
      </c>
      <c r="B199" t="inlineStr">
        <is>
          <t>Treppenturngerät gepolstert</t>
        </is>
      </c>
      <c r="C199" t="inlineStr">
        <is>
          <t>Turnraum</t>
        </is>
      </c>
      <c r="D199" t="inlineStr">
        <is>
          <t>BA05</t>
        </is>
      </c>
      <c r="E199" t="inlineStr">
        <is>
          <t>Stück</t>
        </is>
      </c>
    </row>
    <row r="200">
      <c r="A200" t="inlineStr">
        <is>
          <t>BA05-08</t>
        </is>
      </c>
      <c r="B200" t="inlineStr">
        <is>
          <t>Rody Hüpfpferd, rot und grün</t>
        </is>
      </c>
      <c r="C200" t="inlineStr">
        <is>
          <t>Turnraum</t>
        </is>
      </c>
      <c r="D200" t="inlineStr">
        <is>
          <t>BA05</t>
        </is>
      </c>
      <c r="E200" t="inlineStr">
        <is>
          <t>Stück</t>
        </is>
      </c>
    </row>
    <row r="201">
      <c r="A201" t="inlineStr">
        <is>
          <t>BA05-09</t>
        </is>
      </c>
      <c r="B201" t="inlineStr">
        <is>
          <t>Spiel &amp; Bewegungsinsel gepolstert, groß 1 Set</t>
        </is>
      </c>
      <c r="C201" t="inlineStr">
        <is>
          <t>Turnraum</t>
        </is>
      </c>
      <c r="D201" t="inlineStr">
        <is>
          <t>BA05</t>
        </is>
      </c>
      <c r="E201" t="inlineStr">
        <is>
          <t>Stück</t>
        </is>
      </c>
    </row>
    <row r="202">
      <c r="A202" t="inlineStr">
        <is>
          <t>BA05-10</t>
        </is>
      </c>
      <c r="B202" t="inlineStr">
        <is>
          <t>WESCO bewegliche Stossschutzwand</t>
        </is>
      </c>
      <c r="C202" t="inlineStr">
        <is>
          <t>Turnraum</t>
        </is>
      </c>
      <c r="D202" t="inlineStr">
        <is>
          <t>BA05</t>
        </is>
      </c>
      <c r="E202" t="inlineStr">
        <is>
          <t>Stück</t>
        </is>
      </c>
    </row>
    <row r="203">
      <c r="A203" t="inlineStr">
        <is>
          <t>BA06-03</t>
        </is>
      </c>
      <c r="B203" t="inlineStr">
        <is>
          <t>BIG Bobby Quad</t>
        </is>
      </c>
      <c r="C203" t="inlineStr">
        <is>
          <t>Materialraum</t>
        </is>
      </c>
      <c r="D203" t="inlineStr">
        <is>
          <t>BA06</t>
        </is>
      </c>
      <c r="E203" t="inlineStr">
        <is>
          <t>Stück</t>
        </is>
      </c>
    </row>
    <row r="204">
      <c r="A204" t="inlineStr">
        <is>
          <t>BA06-04</t>
        </is>
      </c>
      <c r="B204" t="inlineStr">
        <is>
          <t>Holz-Dreirad mit Kuhkopf</t>
        </is>
      </c>
      <c r="C204" t="inlineStr">
        <is>
          <t>Materialraum</t>
        </is>
      </c>
      <c r="D204" t="inlineStr">
        <is>
          <t>BA06</t>
        </is>
      </c>
      <c r="E204" t="inlineStr">
        <is>
          <t>Stück</t>
        </is>
      </c>
    </row>
    <row r="205">
      <c r="A205" t="inlineStr">
        <is>
          <t>BA06-05</t>
        </is>
      </c>
      <c r="B205" t="inlineStr">
        <is>
          <t>Schaukel- und Rutschtier aus Formholz</t>
        </is>
      </c>
      <c r="C205" t="inlineStr">
        <is>
          <t>Materialraum</t>
        </is>
      </c>
      <c r="D205" t="inlineStr">
        <is>
          <t>BA06</t>
        </is>
      </c>
      <c r="E205" t="inlineStr">
        <is>
          <t>Stück</t>
        </is>
      </c>
    </row>
    <row r="206">
      <c r="A206" t="inlineStr">
        <is>
          <t>BA06-06</t>
        </is>
      </c>
      <c r="B206" t="inlineStr">
        <is>
          <t>BIG Bobby Car Feuerwehr</t>
        </is>
      </c>
      <c r="C206" t="inlineStr">
        <is>
          <t>Materialraum</t>
        </is>
      </c>
      <c r="D206" t="inlineStr">
        <is>
          <t>BA06</t>
        </is>
      </c>
      <c r="E206" t="inlineStr">
        <is>
          <t>Stück</t>
        </is>
      </c>
    </row>
    <row r="207">
      <c r="A207" t="inlineStr">
        <is>
          <t>BA06-07</t>
        </is>
      </c>
      <c r="B207" t="inlineStr">
        <is>
          <t>Klettergerüst Holz</t>
        </is>
      </c>
      <c r="C207" t="inlineStr">
        <is>
          <t>Materialraum</t>
        </is>
      </c>
      <c r="D207" t="inlineStr">
        <is>
          <t>BA06</t>
        </is>
      </c>
      <c r="E207" t="inlineStr">
        <is>
          <t>Stück</t>
        </is>
      </c>
    </row>
    <row r="208">
      <c r="A208" t="inlineStr">
        <is>
          <t>BA06-08</t>
        </is>
      </c>
      <c r="B208" t="inlineStr">
        <is>
          <t>Klettergerüst grün mit Rutschbrett</t>
        </is>
      </c>
      <c r="C208" t="inlineStr">
        <is>
          <t>Materialraum</t>
        </is>
      </c>
      <c r="D208" t="inlineStr">
        <is>
          <t>BA06</t>
        </is>
      </c>
      <c r="E208" t="inlineStr">
        <is>
          <t>Stück</t>
        </is>
      </c>
    </row>
    <row r="209">
      <c r="A209" t="inlineStr">
        <is>
          <t>BA06-09</t>
        </is>
      </c>
      <c r="B209" t="inlineStr">
        <is>
          <t>Holz-Lastwagen zum Rutschen</t>
        </is>
      </c>
      <c r="C209" t="inlineStr">
        <is>
          <t>Materialraum</t>
        </is>
      </c>
      <c r="D209" t="inlineStr">
        <is>
          <t>BA06</t>
        </is>
      </c>
      <c r="E209" t="inlineStr">
        <is>
          <t>Stück</t>
        </is>
      </c>
    </row>
    <row r="210">
      <c r="A210" t="inlineStr">
        <is>
          <t>BA06-10</t>
        </is>
      </c>
      <c r="B210" t="inlineStr">
        <is>
          <t>Feuerwehrhaus aus Holz</t>
        </is>
      </c>
      <c r="C210" t="inlineStr">
        <is>
          <t>Materialraum</t>
        </is>
      </c>
      <c r="D210" t="inlineStr">
        <is>
          <t>BA06</t>
        </is>
      </c>
      <c r="E210" t="inlineStr">
        <is>
          <t>Stück</t>
        </is>
      </c>
    </row>
    <row r="211">
      <c r="A211" t="inlineStr">
        <is>
          <t>BA06-11</t>
        </is>
      </c>
      <c r="B211" t="inlineStr">
        <is>
          <t>Sitzschaukel Kunststoff mit Seilen</t>
        </is>
      </c>
      <c r="C211" t="inlineStr">
        <is>
          <t>Materialraum</t>
        </is>
      </c>
      <c r="D211" t="inlineStr">
        <is>
          <t>BA06</t>
        </is>
      </c>
      <c r="E211" t="inlineStr">
        <is>
          <t>Stück</t>
        </is>
      </c>
    </row>
    <row r="212">
      <c r="A212" t="inlineStr">
        <is>
          <t>BA06-12</t>
        </is>
      </c>
      <c r="B212" t="inlineStr">
        <is>
          <t>Spieltunnel grün, 180 cm</t>
        </is>
      </c>
      <c r="C212" t="inlineStr">
        <is>
          <t>Materialraum</t>
        </is>
      </c>
      <c r="D212" t="inlineStr">
        <is>
          <t>BA06</t>
        </is>
      </c>
      <c r="E212" t="inlineStr">
        <is>
          <t>Stück</t>
        </is>
      </c>
    </row>
    <row r="213">
      <c r="A213" t="inlineStr">
        <is>
          <t>BA07-01</t>
        </is>
      </c>
      <c r="B213" t="inlineStr">
        <is>
          <t>Kissen in Wolkenform, hellblau</t>
        </is>
      </c>
      <c r="C213" t="inlineStr">
        <is>
          <t>Lernraum</t>
        </is>
      </c>
      <c r="D213" t="inlineStr">
        <is>
          <t>BA07</t>
        </is>
      </c>
      <c r="E213" t="inlineStr">
        <is>
          <t>Stück</t>
        </is>
      </c>
    </row>
    <row r="214">
      <c r="A214" t="inlineStr">
        <is>
          <t>BA07-02</t>
        </is>
      </c>
      <c r="B214" t="inlineStr">
        <is>
          <t>Wandleuchte rund mit Holzrand</t>
        </is>
      </c>
      <c r="C214" t="inlineStr">
        <is>
          <t>Lernraum</t>
        </is>
      </c>
      <c r="D214" t="inlineStr">
        <is>
          <t>BA07</t>
        </is>
      </c>
      <c r="E214" t="inlineStr">
        <is>
          <t>Stück</t>
        </is>
      </c>
    </row>
    <row r="215">
      <c r="A215" t="inlineStr">
        <is>
          <t>BA07-03</t>
        </is>
      </c>
      <c r="B215" t="inlineStr">
        <is>
          <t>Standregal grau mit Wolkenaufsatz</t>
        </is>
      </c>
      <c r="C215" t="inlineStr">
        <is>
          <t>Lernraum</t>
        </is>
      </c>
      <c r="D215" t="inlineStr">
        <is>
          <t>BA07</t>
        </is>
      </c>
      <c r="E215" t="inlineStr">
        <is>
          <t>Stück</t>
        </is>
      </c>
    </row>
    <row r="216">
      <c r="A216" t="inlineStr">
        <is>
          <t>BA07-05</t>
        </is>
      </c>
      <c r="B216" t="inlineStr">
        <is>
          <t>Tisch weiß, lang, auf schwarzen Beinen</t>
        </is>
      </c>
      <c r="C216" t="inlineStr">
        <is>
          <t>Lernraum</t>
        </is>
      </c>
      <c r="D216" t="inlineStr">
        <is>
          <t>BA07</t>
        </is>
      </c>
      <c r="E216" t="inlineStr">
        <is>
          <t>Stück</t>
        </is>
      </c>
    </row>
    <row r="217">
      <c r="A217" t="inlineStr">
        <is>
          <t>BA07-06</t>
        </is>
      </c>
      <c r="B217" t="inlineStr">
        <is>
          <t>Regal creme, 16 Fächer, auf Metallbeinen</t>
        </is>
      </c>
      <c r="C217" t="inlineStr">
        <is>
          <t>Lernraum</t>
        </is>
      </c>
      <c r="D217" t="inlineStr">
        <is>
          <t>BA07</t>
        </is>
      </c>
      <c r="E217" t="inlineStr">
        <is>
          <t>Stück</t>
        </is>
      </c>
    </row>
    <row r="218">
      <c r="A218" t="inlineStr">
        <is>
          <t>BA08-05</t>
        </is>
      </c>
      <c r="B218" t="inlineStr">
        <is>
          <t>Acrylbild schwarz-weiß, Kreise mit Punkten 90x90cm</t>
        </is>
      </c>
      <c r="C218" t="inlineStr">
        <is>
          <t>Atelier</t>
        </is>
      </c>
      <c r="D218" t="inlineStr">
        <is>
          <t>BA08</t>
        </is>
      </c>
      <c r="E218" t="inlineStr">
        <is>
          <t>Stück</t>
        </is>
      </c>
    </row>
    <row r="219">
      <c r="A219" t="inlineStr">
        <is>
          <t>BA08-06</t>
        </is>
      </c>
      <c r="B219" t="inlineStr">
        <is>
          <t>VS Schalenstuhl grau, Vierfußgestell</t>
        </is>
      </c>
      <c r="C219" t="inlineStr">
        <is>
          <t>Atelier</t>
        </is>
      </c>
      <c r="D219" t="inlineStr">
        <is>
          <t>BA08</t>
        </is>
      </c>
      <c r="E219" t="inlineStr">
        <is>
          <t>Stück</t>
        </is>
      </c>
    </row>
    <row r="220">
      <c r="A220" t="inlineStr">
        <is>
          <t>BA08-07</t>
        </is>
      </c>
      <c r="B220" t="inlineStr">
        <is>
          <t>Konvolut Feinkrepp-Papier</t>
        </is>
      </c>
      <c r="C220" t="inlineStr">
        <is>
          <t>Atelier</t>
        </is>
      </c>
      <c r="D220" t="inlineStr">
        <is>
          <t>BA08</t>
        </is>
      </c>
      <c r="E220" t="inlineStr">
        <is>
          <t>Konvolut</t>
        </is>
      </c>
    </row>
    <row r="221">
      <c r="A221" t="inlineStr">
        <is>
          <t>BA08-08</t>
        </is>
      </c>
      <c r="B221" t="inlineStr">
        <is>
          <t>Deko-Pilze auf Holzfuß</t>
        </is>
      </c>
      <c r="C221" t="inlineStr">
        <is>
          <t>Atelier</t>
        </is>
      </c>
      <c r="D221" t="inlineStr">
        <is>
          <t>BA08</t>
        </is>
      </c>
      <c r="E221" t="inlineStr">
        <is>
          <t>Stück</t>
        </is>
      </c>
    </row>
    <row r="222">
      <c r="A222" t="inlineStr">
        <is>
          <t>BA08-09</t>
        </is>
      </c>
      <c r="B222" t="inlineStr">
        <is>
          <t>Bastelscheren im Betzold-Holzblock, Set</t>
        </is>
      </c>
      <c r="C222" t="inlineStr">
        <is>
          <t>Atelier</t>
        </is>
      </c>
      <c r="D222" t="inlineStr">
        <is>
          <t>BA08</t>
        </is>
      </c>
      <c r="E222" t="inlineStr">
        <is>
          <t>Set</t>
        </is>
      </c>
    </row>
    <row r="223">
      <c r="A223" t="inlineStr">
        <is>
          <t>BA08-10</t>
        </is>
      </c>
      <c r="B223" t="inlineStr">
        <is>
          <t>Kunstpflanze Gras im weißen Topf</t>
        </is>
      </c>
      <c r="C223" t="inlineStr">
        <is>
          <t>Atelier</t>
        </is>
      </c>
      <c r="D223" t="inlineStr">
        <is>
          <t>BA08</t>
        </is>
      </c>
      <c r="E223" t="inlineStr">
        <is>
          <t>Stück</t>
        </is>
      </c>
    </row>
    <row r="224">
      <c r="A224" t="inlineStr">
        <is>
          <t>BA08-11</t>
        </is>
      </c>
      <c r="B224" t="inlineStr">
        <is>
          <t>Bilderrahmen mit Zeichenwerkzeug</t>
        </is>
      </c>
      <c r="C224" t="inlineStr">
        <is>
          <t>Atelier</t>
        </is>
      </c>
      <c r="D224" t="inlineStr">
        <is>
          <t>BA08</t>
        </is>
      </c>
      <c r="E224" t="inlineStr">
        <is>
          <t>Stück</t>
        </is>
      </c>
    </row>
    <row r="225">
      <c r="A225" t="inlineStr">
        <is>
          <t>BA08-12</t>
        </is>
      </c>
      <c r="B225" t="inlineStr">
        <is>
          <t>Wandregalbrett weiß</t>
        </is>
      </c>
      <c r="C225" t="inlineStr">
        <is>
          <t>Atelier</t>
        </is>
      </c>
      <c r="D225" t="inlineStr">
        <is>
          <t>BA08</t>
        </is>
      </c>
      <c r="E225" t="inlineStr">
        <is>
          <t>Stück</t>
        </is>
      </c>
    </row>
    <row r="226">
      <c r="A226" t="inlineStr">
        <is>
          <t>BU01-01</t>
        </is>
      </c>
      <c r="B226" t="inlineStr">
        <is>
          <t>Hausbett Buche massiv</t>
        </is>
      </c>
      <c r="C226" t="inlineStr">
        <is>
          <t>Flur</t>
        </is>
      </c>
      <c r="D226" t="inlineStr">
        <is>
          <t>BU01</t>
        </is>
      </c>
      <c r="E226" t="inlineStr">
        <is>
          <t>Stück</t>
        </is>
      </c>
    </row>
    <row r="227">
      <c r="A227" t="inlineStr">
        <is>
          <t>BU01-02</t>
        </is>
      </c>
      <c r="B227" t="inlineStr">
        <is>
          <t>IKEA DUKTIG Spielküche klein mit Mikrowelle</t>
        </is>
      </c>
      <c r="C227" t="inlineStr">
        <is>
          <t>Flur</t>
        </is>
      </c>
      <c r="D227" t="inlineStr">
        <is>
          <t>BU01</t>
        </is>
      </c>
      <c r="E227" t="inlineStr">
        <is>
          <t>Stück</t>
        </is>
      </c>
    </row>
    <row r="228">
      <c r="A228" t="inlineStr">
        <is>
          <t>BU01-04</t>
        </is>
      </c>
      <c r="B228" t="inlineStr">
        <is>
          <t>IKEA Trofast Gestell Kiefer mit sechs Wannen</t>
        </is>
      </c>
      <c r="C228" t="inlineStr">
        <is>
          <t>Flur</t>
        </is>
      </c>
      <c r="D228" t="inlineStr">
        <is>
          <t>BU01</t>
        </is>
      </c>
      <c r="E228" t="inlineStr">
        <is>
          <t>Stück</t>
        </is>
      </c>
    </row>
    <row r="229">
      <c r="A229" t="inlineStr">
        <is>
          <t>BU01-05</t>
        </is>
      </c>
      <c r="B229" t="inlineStr">
        <is>
          <t>IKEA Småstad Bank  weiß</t>
        </is>
      </c>
      <c r="C229" t="inlineStr">
        <is>
          <t>Flur</t>
        </is>
      </c>
      <c r="D229" t="inlineStr">
        <is>
          <t>BU01</t>
        </is>
      </c>
      <c r="E229" t="inlineStr">
        <is>
          <t>Stück</t>
        </is>
      </c>
    </row>
    <row r="230">
      <c r="A230" t="inlineStr">
        <is>
          <t>BU01-06</t>
        </is>
      </c>
      <c r="B230" t="inlineStr">
        <is>
          <t>Wanddeko Lama, Steckwand</t>
        </is>
      </c>
      <c r="C230" t="inlineStr">
        <is>
          <t>Flur</t>
        </is>
      </c>
      <c r="D230" t="inlineStr">
        <is>
          <t>BU01</t>
        </is>
      </c>
      <c r="E230" t="inlineStr">
        <is>
          <t>Stück</t>
        </is>
      </c>
    </row>
    <row r="231">
      <c r="A231" t="inlineStr">
        <is>
          <t>BU01-07</t>
        </is>
      </c>
      <c r="B231" t="inlineStr">
        <is>
          <t>IKEA Grua Wandspiegel, schwarzer Rahmen</t>
        </is>
      </c>
      <c r="C231" t="inlineStr">
        <is>
          <t>Flur</t>
        </is>
      </c>
      <c r="D231" t="inlineStr">
        <is>
          <t>BU01</t>
        </is>
      </c>
      <c r="E231" t="inlineStr">
        <is>
          <t>Stück</t>
        </is>
      </c>
    </row>
    <row r="232">
      <c r="A232" t="inlineStr">
        <is>
          <t>BU02-01</t>
        </is>
      </c>
      <c r="B232" t="inlineStr">
        <is>
          <t>Hausbett Holz natur mit Stoffdach</t>
        </is>
      </c>
      <c r="C232" t="inlineStr">
        <is>
          <t>Flur</t>
        </is>
      </c>
      <c r="D232" t="inlineStr">
        <is>
          <t>BU02</t>
        </is>
      </c>
      <c r="E232" t="inlineStr">
        <is>
          <t>Stück</t>
        </is>
      </c>
    </row>
    <row r="233">
      <c r="A233" t="inlineStr">
        <is>
          <t>BU02-02</t>
        </is>
      </c>
      <c r="B233" t="inlineStr">
        <is>
          <t>Nachtlicht Marienkäfer, schwarz</t>
        </is>
      </c>
      <c r="C233" t="inlineStr">
        <is>
          <t>Flur</t>
        </is>
      </c>
      <c r="D233" t="inlineStr">
        <is>
          <t>BU02</t>
        </is>
      </c>
      <c r="E233" t="inlineStr">
        <is>
          <t>Stück</t>
        </is>
      </c>
    </row>
    <row r="234">
      <c r="A234" t="inlineStr">
        <is>
          <t>BU02-03</t>
        </is>
      </c>
      <c r="B234" t="inlineStr">
        <is>
          <t>Kindertisch weiß, oval, aus vier Segmenten</t>
        </is>
      </c>
      <c r="C234" t="inlineStr">
        <is>
          <t>Flur</t>
        </is>
      </c>
      <c r="D234" t="inlineStr">
        <is>
          <t>BU02</t>
        </is>
      </c>
      <c r="E234" t="inlineStr">
        <is>
          <t>Set</t>
        </is>
      </c>
    </row>
    <row r="235">
      <c r="A235" t="inlineStr">
        <is>
          <t>BU02-05</t>
        </is>
      </c>
      <c r="B235" t="inlineStr">
        <is>
          <t>IKEA Duktig Spielküche mit Mikrowelle</t>
        </is>
      </c>
      <c r="C235" t="inlineStr">
        <is>
          <t>Flur</t>
        </is>
      </c>
      <c r="D235" t="inlineStr">
        <is>
          <t>BU02</t>
        </is>
      </c>
      <c r="E235" t="inlineStr">
        <is>
          <t>Stück</t>
        </is>
      </c>
    </row>
    <row r="236">
      <c r="A236" t="inlineStr">
        <is>
          <t>BU02-06</t>
        </is>
      </c>
      <c r="B236" t="inlineStr">
        <is>
          <t>Kinder-Putzständer, fünfteilig</t>
        </is>
      </c>
      <c r="C236" t="inlineStr">
        <is>
          <t>Flur</t>
        </is>
      </c>
      <c r="D236" t="inlineStr">
        <is>
          <t>BU02</t>
        </is>
      </c>
      <c r="E236" t="inlineStr">
        <is>
          <t>Stück</t>
        </is>
      </c>
    </row>
    <row r="237">
      <c r="A237" t="inlineStr">
        <is>
          <t>BU02-09</t>
        </is>
      </c>
      <c r="B237" t="inlineStr">
        <is>
          <t>Acrylbild Herz auf Strahlenkranz</t>
        </is>
      </c>
      <c r="C237" t="inlineStr">
        <is>
          <t>Flur</t>
        </is>
      </c>
      <c r="D237" t="inlineStr">
        <is>
          <t>BU02</t>
        </is>
      </c>
      <c r="E237" t="inlineStr">
        <is>
          <t>Stück</t>
        </is>
      </c>
    </row>
    <row r="238">
      <c r="A238" t="inlineStr">
        <is>
          <t>BU02-12</t>
        </is>
      </c>
      <c r="B238" t="inlineStr">
        <is>
          <t>IKEA Trofast Wandregal weiß mit drei Wannen, geschwungen</t>
        </is>
      </c>
      <c r="C238" t="inlineStr">
        <is>
          <t>Flur</t>
        </is>
      </c>
      <c r="D238" t="inlineStr">
        <is>
          <t>BU02</t>
        </is>
      </c>
      <c r="E238" t="inlineStr">
        <is>
          <t>Stück</t>
        </is>
      </c>
    </row>
    <row r="239">
      <c r="A239" t="inlineStr">
        <is>
          <t>BU02-15</t>
        </is>
      </c>
      <c r="B239" t="inlineStr">
        <is>
          <t>Bodensitzkissen beige, selbststehend</t>
        </is>
      </c>
      <c r="C239" t="inlineStr">
        <is>
          <t>Flur</t>
        </is>
      </c>
      <c r="D239" t="inlineStr">
        <is>
          <t>BU02</t>
        </is>
      </c>
      <c r="E239" t="inlineStr">
        <is>
          <t>Stück</t>
        </is>
      </c>
    </row>
    <row r="240">
      <c r="A240" t="inlineStr">
        <is>
          <t>BU02-16</t>
        </is>
      </c>
      <c r="B240" t="inlineStr">
        <is>
          <t>Servierwagen Metall schwarz, drei Ebenen</t>
        </is>
      </c>
      <c r="C240" t="inlineStr">
        <is>
          <t>Flur</t>
        </is>
      </c>
      <c r="D240" t="inlineStr">
        <is>
          <t>BU02</t>
        </is>
      </c>
      <c r="E240" t="inlineStr">
        <is>
          <t>Stück</t>
        </is>
      </c>
    </row>
    <row r="241">
      <c r="A241" t="inlineStr">
        <is>
          <t>BU02-17</t>
        </is>
      </c>
      <c r="B241" t="inlineStr">
        <is>
          <t>Kommode weiß, drei Schubladen</t>
        </is>
      </c>
      <c r="C241" t="inlineStr">
        <is>
          <t>Flur</t>
        </is>
      </c>
      <c r="D241" t="inlineStr">
        <is>
          <t>BU02</t>
        </is>
      </c>
      <c r="E241" t="inlineStr">
        <is>
          <t>Stück</t>
        </is>
      </c>
    </row>
    <row r="242">
      <c r="A242" t="inlineStr">
        <is>
          <t>BU02-18</t>
        </is>
      </c>
      <c r="B242" t="inlineStr">
        <is>
          <t>Hochflorteppich grau</t>
        </is>
      </c>
      <c r="C242" t="inlineStr">
        <is>
          <t>Flur</t>
        </is>
      </c>
      <c r="D242" t="inlineStr">
        <is>
          <t>BU02</t>
        </is>
      </c>
      <c r="E242" t="inlineStr">
        <is>
          <t>Stück</t>
        </is>
      </c>
    </row>
    <row r="243">
      <c r="A243" t="inlineStr">
        <is>
          <t>BU02-19</t>
        </is>
      </c>
      <c r="B243" t="inlineStr">
        <is>
          <t>IKEA Trofast dreiteilig</t>
        </is>
      </c>
      <c r="C243" t="inlineStr">
        <is>
          <t>Flur</t>
        </is>
      </c>
      <c r="D243" t="inlineStr">
        <is>
          <t>BU02</t>
        </is>
      </c>
      <c r="E243" t="inlineStr">
        <is>
          <t>Set</t>
        </is>
      </c>
    </row>
    <row r="244">
      <c r="A244" t="inlineStr">
        <is>
          <t>BU03-02</t>
        </is>
      </c>
      <c r="B244" t="inlineStr">
        <is>
          <t>Schwingspiegel, geschwungene Form</t>
        </is>
      </c>
      <c r="C244" t="inlineStr">
        <is>
          <t>Garderobenflur</t>
        </is>
      </c>
      <c r="D244" t="inlineStr">
        <is>
          <t>BU03</t>
        </is>
      </c>
      <c r="E244" t="inlineStr">
        <is>
          <t>Stück</t>
        </is>
      </c>
    </row>
    <row r="245">
      <c r="A245" t="inlineStr">
        <is>
          <t>BU03-03</t>
        </is>
      </c>
      <c r="B245" t="inlineStr">
        <is>
          <t>Schuhregal schwarz mit Chromstangen</t>
        </is>
      </c>
      <c r="C245" t="inlineStr">
        <is>
          <t>Garderobenflur</t>
        </is>
      </c>
      <c r="D245" t="inlineStr">
        <is>
          <t>BU03</t>
        </is>
      </c>
      <c r="E245" t="inlineStr">
        <is>
          <t>Stück</t>
        </is>
      </c>
    </row>
    <row r="246">
      <c r="A246" t="inlineStr">
        <is>
          <t>BU03-04</t>
        </is>
      </c>
      <c r="B246" t="inlineStr">
        <is>
          <t>Metallregal weiß, vier Böden</t>
        </is>
      </c>
      <c r="C246" t="inlineStr">
        <is>
          <t>Garderobenflur</t>
        </is>
      </c>
      <c r="D246" t="inlineStr">
        <is>
          <t>BU03</t>
        </is>
      </c>
      <c r="E246" t="inlineStr">
        <is>
          <t>Stück</t>
        </is>
      </c>
    </row>
    <row r="247">
      <c r="A247" t="inlineStr">
        <is>
          <t>BU03-05</t>
        </is>
      </c>
      <c r="B247" t="inlineStr">
        <is>
          <t>IKEA HEMNES Schuhschrank weiß mit Klappfächern</t>
        </is>
      </c>
      <c r="C247" t="inlineStr">
        <is>
          <t>Garderobenflur</t>
        </is>
      </c>
      <c r="D247" t="inlineStr">
        <is>
          <t>BU03</t>
        </is>
      </c>
      <c r="E247" t="inlineStr">
        <is>
          <t>Stück</t>
        </is>
      </c>
    </row>
    <row r="248">
      <c r="A248" t="inlineStr">
        <is>
          <t>BU03-06</t>
        </is>
      </c>
      <c r="B248" t="inlineStr">
        <is>
          <t>Wäschekorb anthrazit mit Deckel, hoch</t>
        </is>
      </c>
      <c r="C248" t="inlineStr">
        <is>
          <t>Garderobenflur</t>
        </is>
      </c>
      <c r="D248" t="inlineStr">
        <is>
          <t>BU03</t>
        </is>
      </c>
      <c r="E248" t="inlineStr">
        <is>
          <t>Stück</t>
        </is>
      </c>
    </row>
    <row r="249">
      <c r="A249" t="inlineStr">
        <is>
          <t>BU03-07</t>
        </is>
      </c>
      <c r="B249" t="inlineStr">
        <is>
          <t>Tischleuchte Holzgestell mit Stoffschirm</t>
        </is>
      </c>
      <c r="C249" t="inlineStr">
        <is>
          <t>Garderobenflur</t>
        </is>
      </c>
      <c r="D249" t="inlineStr">
        <is>
          <t>BU03</t>
        </is>
      </c>
      <c r="E249" t="inlineStr">
        <is>
          <t>Stück</t>
        </is>
      </c>
    </row>
    <row r="250">
      <c r="A250" t="inlineStr">
        <is>
          <t>BU03-08</t>
        </is>
      </c>
      <c r="B250" t="inlineStr">
        <is>
          <t>Beistelltisch rund türkis mit Hairpin-Beinen</t>
        </is>
      </c>
      <c r="C250" t="inlineStr">
        <is>
          <t>Garderobenflur</t>
        </is>
      </c>
      <c r="D250" t="inlineStr">
        <is>
          <t>BU03</t>
        </is>
      </c>
      <c r="E250" t="inlineStr">
        <is>
          <t>Stück</t>
        </is>
      </c>
    </row>
    <row r="251">
      <c r="A251" t="inlineStr">
        <is>
          <t>BU04-06</t>
        </is>
      </c>
      <c r="B251" t="inlineStr">
        <is>
          <t>Kindertisch weiß, lang, zweiteilig</t>
        </is>
      </c>
      <c r="C251" t="inlineStr">
        <is>
          <t>Gruppenraum</t>
        </is>
      </c>
      <c r="D251" t="inlineStr">
        <is>
          <t>BU04</t>
        </is>
      </c>
      <c r="E251" t="inlineStr">
        <is>
          <t>Set</t>
        </is>
      </c>
    </row>
    <row r="252">
      <c r="A252" t="inlineStr">
        <is>
          <t>BU04-07</t>
        </is>
      </c>
      <c r="B252" t="inlineStr">
        <is>
          <t>Gemälde Schwarzwaldfrau mit Planeten</t>
        </is>
      </c>
      <c r="C252" t="inlineStr">
        <is>
          <t>Gruppenraum</t>
        </is>
      </c>
      <c r="D252" t="inlineStr">
        <is>
          <t>BU04</t>
        </is>
      </c>
      <c r="E252" t="inlineStr">
        <is>
          <t>Stück</t>
        </is>
      </c>
    </row>
    <row r="253">
      <c r="A253" t="inlineStr">
        <is>
          <t>BU04-08</t>
        </is>
      </c>
      <c r="B253" t="inlineStr">
        <is>
          <t>Garderobenständer bunt, Stangenform</t>
        </is>
      </c>
      <c r="C253" t="inlineStr">
        <is>
          <t>Gruppenraum</t>
        </is>
      </c>
      <c r="D253" t="inlineStr">
        <is>
          <t>BU04</t>
        </is>
      </c>
      <c r="E253" t="inlineStr">
        <is>
          <t>Stück</t>
        </is>
      </c>
    </row>
    <row r="254">
      <c r="A254" t="inlineStr">
        <is>
          <t>BU04-10</t>
        </is>
      </c>
      <c r="B254" t="inlineStr">
        <is>
          <t>Kindertisch weiß aus fünf Segmenten</t>
        </is>
      </c>
      <c r="C254" t="inlineStr">
        <is>
          <t>Gruppenraum</t>
        </is>
      </c>
      <c r="D254" t="inlineStr">
        <is>
          <t>BU04</t>
        </is>
      </c>
      <c r="E254" t="inlineStr">
        <is>
          <t>Set</t>
        </is>
      </c>
    </row>
    <row r="255">
      <c r="A255" t="inlineStr">
        <is>
          <t>BU04-11</t>
        </is>
      </c>
      <c r="B255" t="inlineStr">
        <is>
          <t>Regal weiß, vier Böden</t>
        </is>
      </c>
      <c r="C255" t="inlineStr">
        <is>
          <t>Gruppenraum</t>
        </is>
      </c>
      <c r="D255" t="inlineStr">
        <is>
          <t>BU04</t>
        </is>
      </c>
      <c r="E255" t="inlineStr">
        <is>
          <t>Stück</t>
        </is>
      </c>
    </row>
    <row r="256">
      <c r="A256" t="inlineStr">
        <is>
          <t>BU04-13</t>
        </is>
      </c>
      <c r="B256" t="inlineStr">
        <is>
          <t>Servierwagen Metall grau, drei Ebenen</t>
        </is>
      </c>
      <c r="C256" t="inlineStr">
        <is>
          <t>Gruppenraum</t>
        </is>
      </c>
      <c r="D256" t="inlineStr">
        <is>
          <t>BU04</t>
        </is>
      </c>
      <c r="E256" t="inlineStr">
        <is>
          <t>Stück</t>
        </is>
      </c>
    </row>
    <row r="257">
      <c r="A257" t="inlineStr">
        <is>
          <t>BU04-14</t>
        </is>
      </c>
      <c r="B257" t="inlineStr">
        <is>
          <t>Bücherregal creme mit Wolkenaufsatz</t>
        </is>
      </c>
      <c r="C257" t="inlineStr">
        <is>
          <t>Gruppenraum</t>
        </is>
      </c>
      <c r="D257" t="inlineStr">
        <is>
          <t>BU04</t>
        </is>
      </c>
      <c r="E257" t="inlineStr">
        <is>
          <t>Stück</t>
        </is>
      </c>
    </row>
    <row r="258">
      <c r="A258" t="inlineStr">
        <is>
          <t>BU04-15</t>
        </is>
      </c>
      <c r="B258" t="inlineStr">
        <is>
          <t>Acrylbilder Roboter, schwarz-weiß</t>
        </is>
      </c>
      <c r="C258" t="inlineStr">
        <is>
          <t>Gruppenraum</t>
        </is>
      </c>
      <c r="D258" t="inlineStr">
        <is>
          <t>BU04</t>
        </is>
      </c>
      <c r="E258" t="inlineStr">
        <is>
          <t>Stück</t>
        </is>
      </c>
    </row>
    <row r="259">
      <c r="A259" t="inlineStr">
        <is>
          <t>BU05-01</t>
        </is>
      </c>
      <c r="B259" t="inlineStr">
        <is>
          <t>Spielhaus weiß mit Hochebene und Bett</t>
        </is>
      </c>
      <c r="C259" t="inlineStr">
        <is>
          <t>Schlafraum</t>
        </is>
      </c>
      <c r="D259" t="inlineStr">
        <is>
          <t>BU05</t>
        </is>
      </c>
      <c r="E259" t="inlineStr">
        <is>
          <t>Stück</t>
        </is>
      </c>
    </row>
    <row r="260">
      <c r="A260" t="inlineStr">
        <is>
          <t>BU05-02</t>
        </is>
      </c>
      <c r="B260" t="inlineStr">
        <is>
          <t>Wesco Spielküche, vier Module mit Mikrowelle</t>
        </is>
      </c>
      <c r="C260" t="inlineStr">
        <is>
          <t>Schlafraum</t>
        </is>
      </c>
      <c r="D260" t="inlineStr">
        <is>
          <t>BU05</t>
        </is>
      </c>
      <c r="E260" t="inlineStr">
        <is>
          <t>Set</t>
        </is>
      </c>
    </row>
    <row r="261">
      <c r="A261" t="inlineStr">
        <is>
          <t>BU05-03</t>
        </is>
      </c>
      <c r="B261" t="inlineStr">
        <is>
          <t>IKEA Trofast Treppenregal weiß mit Wannen</t>
        </is>
      </c>
      <c r="C261" t="inlineStr">
        <is>
          <t>Schlafraum</t>
        </is>
      </c>
      <c r="D261" t="inlineStr">
        <is>
          <t>BU05</t>
        </is>
      </c>
      <c r="E261" t="inlineStr">
        <is>
          <t>Stück</t>
        </is>
      </c>
    </row>
    <row r="262">
      <c r="A262" t="inlineStr">
        <is>
          <t>BU05-04</t>
        </is>
      </c>
      <c r="B262" t="inlineStr">
        <is>
          <t>Schaukeltier Storch</t>
        </is>
      </c>
      <c r="C262" t="inlineStr">
        <is>
          <t>Schlafraum</t>
        </is>
      </c>
      <c r="D262" t="inlineStr">
        <is>
          <t>BU05</t>
        </is>
      </c>
      <c r="E262" t="inlineStr">
        <is>
          <t>Stück</t>
        </is>
      </c>
    </row>
    <row r="263">
      <c r="A263" t="inlineStr">
        <is>
          <t>BU05-05</t>
        </is>
      </c>
      <c r="B263" t="inlineStr">
        <is>
          <t>Kindersessel Teddyfell beige</t>
        </is>
      </c>
      <c r="C263" t="inlineStr">
        <is>
          <t>Schlafraum</t>
        </is>
      </c>
      <c r="D263" t="inlineStr">
        <is>
          <t>BU05</t>
        </is>
      </c>
      <c r="E263" t="inlineStr">
        <is>
          <t>Stück</t>
        </is>
      </c>
    </row>
    <row r="264">
      <c r="A264" t="inlineStr">
        <is>
          <t>BU05-06</t>
        </is>
      </c>
      <c r="B264" t="inlineStr">
        <is>
          <t>Sitzbank gepolstert, hellgrau</t>
        </is>
      </c>
      <c r="C264" t="inlineStr">
        <is>
          <t>Schlafraum</t>
        </is>
      </c>
      <c r="D264" t="inlineStr">
        <is>
          <t>BU05</t>
        </is>
      </c>
      <c r="E264" t="inlineStr">
        <is>
          <t>Stück</t>
        </is>
      </c>
    </row>
    <row r="265">
      <c r="A265" t="inlineStr">
        <is>
          <t>BU05-07</t>
        </is>
      </c>
      <c r="B265" t="inlineStr">
        <is>
          <t>Puppenwagen rosa mit Tragetasche</t>
        </is>
      </c>
      <c r="C265" t="inlineStr">
        <is>
          <t>Schlafraum</t>
        </is>
      </c>
      <c r="D265" t="inlineStr">
        <is>
          <t>BU05</t>
        </is>
      </c>
      <c r="E265" t="inlineStr">
        <is>
          <t>Stück</t>
        </is>
      </c>
    </row>
    <row r="266">
      <c r="A266" t="inlineStr">
        <is>
          <t>BU05-09</t>
        </is>
      </c>
      <c r="B266" t="inlineStr">
        <is>
          <t>Puppenwagen Holz mit Gummirädern</t>
        </is>
      </c>
      <c r="C266" t="inlineStr">
        <is>
          <t>Schlafraum</t>
        </is>
      </c>
      <c r="D266" t="inlineStr">
        <is>
          <t>BU05</t>
        </is>
      </c>
      <c r="E266" t="inlineStr">
        <is>
          <t>Stück</t>
        </is>
      </c>
    </row>
    <row r="267">
      <c r="A267" t="inlineStr">
        <is>
          <t>BU05-10</t>
        </is>
      </c>
      <c r="B267" t="inlineStr">
        <is>
          <t>Wesco Lernlaufwagen</t>
        </is>
      </c>
      <c r="C267" t="inlineStr">
        <is>
          <t>Schlafraum</t>
        </is>
      </c>
      <c r="D267" t="inlineStr">
        <is>
          <t>BU05</t>
        </is>
      </c>
      <c r="E267" t="inlineStr">
        <is>
          <t>Stück</t>
        </is>
      </c>
    </row>
    <row r="268">
      <c r="A268" t="inlineStr">
        <is>
          <t>BU06-05</t>
        </is>
      </c>
      <c r="B268" t="inlineStr">
        <is>
          <t>Lernturm Holz natur</t>
        </is>
      </c>
      <c r="C268" t="inlineStr">
        <is>
          <t>Küche und Essbereich</t>
        </is>
      </c>
      <c r="D268" t="inlineStr">
        <is>
          <t>BU06</t>
        </is>
      </c>
      <c r="E268" t="inlineStr">
        <is>
          <t>Stück</t>
        </is>
      </c>
    </row>
    <row r="269">
      <c r="A269" t="inlineStr">
        <is>
          <t>BU06-06</t>
        </is>
      </c>
      <c r="B269" t="inlineStr">
        <is>
          <t>Lernturm Holz weiß</t>
        </is>
      </c>
      <c r="C269" t="inlineStr">
        <is>
          <t>Küche und Essbereich</t>
        </is>
      </c>
      <c r="D269" t="inlineStr">
        <is>
          <t>BU06</t>
        </is>
      </c>
      <c r="E269" t="inlineStr">
        <is>
          <t>Stück</t>
        </is>
      </c>
    </row>
    <row r="270">
      <c r="A270" t="inlineStr">
        <is>
          <t>BU06-07</t>
        </is>
      </c>
      <c r="B270" t="inlineStr">
        <is>
          <t>Rollschrank dunkelgrau, acht Fächer</t>
        </is>
      </c>
      <c r="C270" t="inlineStr">
        <is>
          <t>Küche und Essbereich</t>
        </is>
      </c>
      <c r="D270" t="inlineStr">
        <is>
          <t>BU06</t>
        </is>
      </c>
      <c r="E270" t="inlineStr">
        <is>
          <t>Stück</t>
        </is>
      </c>
    </row>
    <row r="271">
      <c r="A271" t="inlineStr">
        <is>
          <t>BU06-08</t>
        </is>
      </c>
      <c r="B271" t="inlineStr">
        <is>
          <t>Abfallbehälter Metall schwarz</t>
        </is>
      </c>
      <c r="C271" t="inlineStr">
        <is>
          <t>Küche und Essbereich</t>
        </is>
      </c>
      <c r="D271" t="inlineStr">
        <is>
          <t>BU06</t>
        </is>
      </c>
      <c r="E271" t="inlineStr">
        <is>
          <t>Stück</t>
        </is>
      </c>
    </row>
    <row r="272">
      <c r="A272" t="inlineStr">
        <is>
          <t>BU06-09</t>
        </is>
      </c>
      <c r="B272" t="inlineStr">
        <is>
          <t>Abfallbehälter Metall weiß mit Push-Deckel</t>
        </is>
      </c>
      <c r="C272" t="inlineStr">
        <is>
          <t>Küche und Essbereich</t>
        </is>
      </c>
      <c r="D272" t="inlineStr">
        <is>
          <t>BU06</t>
        </is>
      </c>
      <c r="E272" t="inlineStr">
        <is>
          <t>Stück</t>
        </is>
      </c>
    </row>
    <row r="273">
      <c r="A273" t="inlineStr">
        <is>
          <t>BU06-10</t>
        </is>
      </c>
      <c r="B273" t="inlineStr">
        <is>
          <t>IKEA FLYTTA Servierwagen Edelstahl, drei Ebenen</t>
        </is>
      </c>
      <c r="C273" t="inlineStr">
        <is>
          <t>Küche und Essbereich</t>
        </is>
      </c>
      <c r="D273" t="inlineStr">
        <is>
          <t>BU06</t>
        </is>
      </c>
      <c r="E273" t="inlineStr">
        <is>
          <t>Stück</t>
        </is>
      </c>
    </row>
    <row r="274">
      <c r="A274" t="inlineStr">
        <is>
          <t>BU06-11</t>
        </is>
      </c>
      <c r="B274" t="inlineStr">
        <is>
          <t>Schreibtisch schwarzbraun mit Schublade</t>
        </is>
      </c>
      <c r="C274" t="inlineStr">
        <is>
          <t>Küche und Essbereich</t>
        </is>
      </c>
      <c r="D274" t="inlineStr">
        <is>
          <t>BU06</t>
        </is>
      </c>
      <c r="E274" t="inlineStr">
        <is>
          <t>Stück</t>
        </is>
      </c>
    </row>
    <row r="275">
      <c r="A275" t="inlineStr">
        <is>
          <t>BU06-12</t>
        </is>
      </c>
      <c r="B275" t="inlineStr">
        <is>
          <t>Schalensessel grau mit Holzbeinen</t>
        </is>
      </c>
      <c r="C275" t="inlineStr">
        <is>
          <t>Küche und Essbereich</t>
        </is>
      </c>
      <c r="D275" t="inlineStr">
        <is>
          <t>BU06</t>
        </is>
      </c>
      <c r="E275" t="inlineStr">
        <is>
          <t>Stück</t>
        </is>
      </c>
    </row>
    <row r="276">
      <c r="A276" t="inlineStr">
        <is>
          <t>BU06-13</t>
        </is>
      </c>
      <c r="B276" t="inlineStr">
        <is>
          <t>Regal weiß, schmal und hoch</t>
        </is>
      </c>
      <c r="C276" t="inlineStr">
        <is>
          <t>Küche und Essbereich</t>
        </is>
      </c>
      <c r="D276" t="inlineStr">
        <is>
          <t>BU06</t>
        </is>
      </c>
      <c r="E276" t="inlineStr">
        <is>
          <t>Stück</t>
        </is>
      </c>
    </row>
    <row r="277">
      <c r="A277" t="inlineStr">
        <is>
          <t>BU06-14</t>
        </is>
      </c>
      <c r="B277" t="inlineStr">
        <is>
          <t>Fächerregal grau, 24 Fächer</t>
        </is>
      </c>
      <c r="C277" t="inlineStr">
        <is>
          <t>Küche und Essbereich</t>
        </is>
      </c>
      <c r="D277" t="inlineStr">
        <is>
          <t>BU06</t>
        </is>
      </c>
      <c r="E277" t="inlineStr">
        <is>
          <t>Stück</t>
        </is>
      </c>
    </row>
    <row r="278">
      <c r="A278" t="inlineStr">
        <is>
          <t>NE03-01</t>
        </is>
      </c>
      <c r="B278" t="inlineStr">
        <is>
          <t>Wandregale in Wolkenform</t>
        </is>
      </c>
      <c r="C278" t="inlineStr">
        <is>
          <t>Krippenschlafraum</t>
        </is>
      </c>
      <c r="D278" t="inlineStr">
        <is>
          <t>NE03</t>
        </is>
      </c>
      <c r="E278" t="inlineStr">
        <is>
          <t>Stück</t>
        </is>
      </c>
    </row>
    <row r="279">
      <c r="A279" t="inlineStr">
        <is>
          <t>NE03-03</t>
        </is>
      </c>
      <c r="B279" t="inlineStr">
        <is>
          <t>Wesco Gitterbett Kunststoff, grau</t>
        </is>
      </c>
      <c r="C279" t="inlineStr">
        <is>
          <t>Krippenschlafraum</t>
        </is>
      </c>
      <c r="D279" t="inlineStr">
        <is>
          <t>NE03</t>
        </is>
      </c>
      <c r="E279" t="inlineStr">
        <is>
          <t>Stück</t>
        </is>
      </c>
    </row>
    <row r="280">
      <c r="A280" t="inlineStr">
        <is>
          <t>NE03-04</t>
        </is>
      </c>
      <c r="B280" t="inlineStr">
        <is>
          <t>Gitterbett Holz weiß</t>
        </is>
      </c>
      <c r="C280" t="inlineStr">
        <is>
          <t>Krippenschlafraum</t>
        </is>
      </c>
      <c r="D280" t="inlineStr">
        <is>
          <t>NE03</t>
        </is>
      </c>
      <c r="E280" t="inlineStr">
        <is>
          <t>Stück</t>
        </is>
      </c>
    </row>
    <row r="281">
      <c r="A281" t="inlineStr">
        <is>
          <t>NE03-05</t>
        </is>
      </c>
      <c r="B281" t="inlineStr">
        <is>
          <t>Hauck Kinderwagen schwarz</t>
        </is>
      </c>
      <c r="C281" t="inlineStr">
        <is>
          <t>Krippenschlafraum</t>
        </is>
      </c>
      <c r="D281" t="inlineStr">
        <is>
          <t>NE03</t>
        </is>
      </c>
      <c r="E281" t="inlineStr">
        <is>
          <t>Stück</t>
        </is>
      </c>
    </row>
    <row r="282">
      <c r="A282" t="inlineStr">
        <is>
          <t>NE03-06</t>
        </is>
      </c>
      <c r="B282" t="inlineStr">
        <is>
          <t>Leuchtobjekt Elefant, Metall</t>
        </is>
      </c>
      <c r="C282" t="inlineStr">
        <is>
          <t>Krippenschlafraum</t>
        </is>
      </c>
      <c r="D282" t="inlineStr">
        <is>
          <t>NE03</t>
        </is>
      </c>
      <c r="E282" t="inlineStr">
        <is>
          <t>Stück</t>
        </is>
      </c>
    </row>
    <row r="283">
      <c r="A283" t="inlineStr">
        <is>
          <t>NE03-07</t>
        </is>
      </c>
      <c r="B283" t="inlineStr">
        <is>
          <t>IKEA Kleiderschrank anthrazit mit drei Böden</t>
        </is>
      </c>
      <c r="C283" t="inlineStr">
        <is>
          <t>Krippenschlafraum</t>
        </is>
      </c>
      <c r="D283" t="inlineStr">
        <is>
          <t>NE03</t>
        </is>
      </c>
      <c r="E283" t="inlineStr">
        <is>
          <t>Stück</t>
        </is>
      </c>
    </row>
    <row r="284">
      <c r="A284" t="inlineStr">
        <is>
          <t>NE03-09</t>
        </is>
      </c>
      <c r="B284" t="inlineStr">
        <is>
          <t>IKEA Schrank weiß mit Drahtkörben</t>
        </is>
      </c>
      <c r="C284" t="inlineStr">
        <is>
          <t>Krippenschlafraum</t>
        </is>
      </c>
      <c r="D284" t="inlineStr">
        <is>
          <t>NE03</t>
        </is>
      </c>
      <c r="E284" t="inlineStr">
        <is>
          <t>Stück</t>
        </is>
      </c>
    </row>
    <row r="285">
      <c r="A285" t="inlineStr">
        <is>
          <t>NE03-10</t>
        </is>
      </c>
      <c r="B285" t="inlineStr">
        <is>
          <t>Plüsch-Elefanten, zwei Stück</t>
        </is>
      </c>
      <c r="C285" t="inlineStr">
        <is>
          <t>Krippenschlafraum</t>
        </is>
      </c>
      <c r="D285" t="inlineStr">
        <is>
          <t>NE03</t>
        </is>
      </c>
      <c r="E285" t="inlineStr">
        <is>
          <t>Stück</t>
        </is>
      </c>
    </row>
    <row r="286">
      <c r="A286" t="inlineStr">
        <is>
          <t>NE03-11</t>
        </is>
      </c>
      <c r="B286" t="inlineStr">
        <is>
          <t>Wolken-Mobile Stoff, weiß</t>
        </is>
      </c>
      <c r="C286" t="inlineStr">
        <is>
          <t>Krippenschlafraum</t>
        </is>
      </c>
      <c r="D286" t="inlineStr">
        <is>
          <t>NE03</t>
        </is>
      </c>
      <c r="E286" t="inlineStr">
        <is>
          <t>Stück</t>
        </is>
      </c>
    </row>
    <row r="287">
      <c r="A287" t="inlineStr">
        <is>
          <t>NE04-03</t>
        </is>
      </c>
      <c r="B287" t="inlineStr">
        <is>
          <t>Wanddekoration Wolken schwarz</t>
        </is>
      </c>
      <c r="C287" t="inlineStr">
        <is>
          <t>Krippenschlafraum</t>
        </is>
      </c>
      <c r="D287" t="inlineStr">
        <is>
          <t>NE04</t>
        </is>
      </c>
      <c r="E287" t="inlineStr">
        <is>
          <t>Stück</t>
        </is>
      </c>
    </row>
    <row r="288">
      <c r="A288" t="inlineStr">
        <is>
          <t>NE04-04</t>
        </is>
      </c>
      <c r="B288" t="inlineStr">
        <is>
          <t>Schrank weiß mit zwei Türen und zwei Schubladen</t>
        </is>
      </c>
      <c r="C288" t="inlineStr">
        <is>
          <t>Krippenschlafraum</t>
        </is>
      </c>
      <c r="D288" t="inlineStr">
        <is>
          <t>NE04</t>
        </is>
      </c>
      <c r="E288" t="inlineStr">
        <is>
          <t>Stück</t>
        </is>
      </c>
    </row>
    <row r="289">
      <c r="A289" t="inlineStr">
        <is>
          <t>NE04-06</t>
        </is>
      </c>
      <c r="B289" t="inlineStr">
        <is>
          <t>Wandspiegel in Wolkenform, weiß</t>
        </is>
      </c>
      <c r="C289" t="inlineStr">
        <is>
          <t>Krippenschlafraum</t>
        </is>
      </c>
      <c r="D289" t="inlineStr">
        <is>
          <t>NE04</t>
        </is>
      </c>
      <c r="E289" t="inlineStr">
        <is>
          <t>Stück</t>
        </is>
      </c>
    </row>
    <row r="290">
      <c r="A290" t="inlineStr">
        <is>
          <t>NE04-07</t>
        </is>
      </c>
      <c r="B290" t="inlineStr">
        <is>
          <t>Wesco Wickelauflage beige</t>
        </is>
      </c>
      <c r="C290" t="inlineStr">
        <is>
          <t>Krippenschlafraum</t>
        </is>
      </c>
      <c r="D290" t="inlineStr">
        <is>
          <t>NE04</t>
        </is>
      </c>
      <c r="E290" t="inlineStr">
        <is>
          <t>Stück</t>
        </is>
      </c>
    </row>
    <row r="291">
      <c r="A291" t="inlineStr">
        <is>
          <t>NE04-08</t>
        </is>
      </c>
      <c r="B291" t="inlineStr">
        <is>
          <t>WESCO Wickelkommode Buche mit zehn Wannen</t>
        </is>
      </c>
      <c r="C291" t="inlineStr">
        <is>
          <t>Krippenschlafraum</t>
        </is>
      </c>
      <c r="D291" t="inlineStr">
        <is>
          <t>NE04</t>
        </is>
      </c>
      <c r="E291" t="inlineStr">
        <is>
          <t>Stück</t>
        </is>
      </c>
    </row>
    <row r="292">
      <c r="A292" t="inlineStr">
        <is>
          <t>NE04-09</t>
        </is>
      </c>
      <c r="B292" t="inlineStr">
        <is>
          <t>WESCO Wickelkommode Buche groß mit Treppe</t>
        </is>
      </c>
      <c r="C292" t="inlineStr">
        <is>
          <t>Krippenschlafraum</t>
        </is>
      </c>
      <c r="D292" t="inlineStr">
        <is>
          <t>NE04</t>
        </is>
      </c>
      <c r="E292" t="inlineStr">
        <is>
          <t>Stück</t>
        </is>
      </c>
    </row>
    <row r="293">
      <c r="A293" t="inlineStr">
        <is>
          <t>NE04-10</t>
        </is>
      </c>
      <c r="B293" t="inlineStr">
        <is>
          <t>WESCO Wickelkommode mit Türen und Fachböden</t>
        </is>
      </c>
      <c r="C293" t="inlineStr">
        <is>
          <t>Krippenschlafraum</t>
        </is>
      </c>
      <c r="D293" t="inlineStr">
        <is>
          <t>NE04</t>
        </is>
      </c>
      <c r="E293" t="inlineStr">
        <is>
          <t>Stück</t>
        </is>
      </c>
    </row>
    <row r="294">
      <c r="A294" t="inlineStr">
        <is>
          <t>NE04-11</t>
        </is>
      </c>
      <c r="B294" t="inlineStr">
        <is>
          <t>Baby Jogger City Select Kinderwagen, rot</t>
        </is>
      </c>
      <c r="C294" t="inlineStr">
        <is>
          <t>Krippenschlafraum</t>
        </is>
      </c>
      <c r="D294" t="inlineStr">
        <is>
          <t>NE04</t>
        </is>
      </c>
      <c r="E294" t="inlineStr">
        <is>
          <t>Stück</t>
        </is>
      </c>
    </row>
    <row r="295">
      <c r="A295" t="inlineStr">
        <is>
          <t>NE04-12</t>
        </is>
      </c>
      <c r="B295" t="inlineStr">
        <is>
          <t>Hochflorteppich rund, rot-orange</t>
        </is>
      </c>
      <c r="C295" t="inlineStr">
        <is>
          <t>Krippenschlafraum</t>
        </is>
      </c>
      <c r="D295" t="inlineStr">
        <is>
          <t>NE04</t>
        </is>
      </c>
      <c r="E295" t="inlineStr">
        <is>
          <t>Stück</t>
        </is>
      </c>
    </row>
    <row r="296">
      <c r="A296" t="inlineStr">
        <is>
          <t>NE04-13</t>
        </is>
      </c>
      <c r="B296" t="inlineStr">
        <is>
          <t>Windeleimer weiß mit Deckel</t>
        </is>
      </c>
      <c r="C296" t="inlineStr">
        <is>
          <t>Krippenschlafraum</t>
        </is>
      </c>
      <c r="D296" t="inlineStr">
        <is>
          <t>NE04</t>
        </is>
      </c>
      <c r="E296" t="inlineStr">
        <is>
          <t>Stück</t>
        </is>
      </c>
    </row>
    <row r="297">
      <c r="A297" t="inlineStr">
        <is>
          <t>NE04-14</t>
        </is>
      </c>
      <c r="B297" t="inlineStr">
        <is>
          <t>Wandregal in Bergform, Holz</t>
        </is>
      </c>
      <c r="C297" t="inlineStr">
        <is>
          <t>Krippenschlafraum</t>
        </is>
      </c>
      <c r="D297" t="inlineStr">
        <is>
          <t>NE04</t>
        </is>
      </c>
      <c r="E297" t="inlineStr">
        <is>
          <t>Stück</t>
        </is>
      </c>
    </row>
    <row r="298">
      <c r="A298" t="inlineStr">
        <is>
          <t>NE04-15</t>
        </is>
      </c>
      <c r="B298" t="inlineStr">
        <is>
          <t>Mobile Holzbogen mit Filzkugeln</t>
        </is>
      </c>
      <c r="C298" t="inlineStr">
        <is>
          <t>Krippenschlafraum</t>
        </is>
      </c>
      <c r="D298" t="inlineStr">
        <is>
          <t>NE04</t>
        </is>
      </c>
      <c r="E298" t="inlineStr">
        <is>
          <t>Stück</t>
        </is>
      </c>
    </row>
    <row r="299">
      <c r="A299" t="inlineStr">
        <is>
          <t>NE05-04</t>
        </is>
      </c>
      <c r="B299" t="inlineStr">
        <is>
          <t>Vitra Panton Chair rot, Erwachsenengröße</t>
        </is>
      </c>
      <c r="C299" t="inlineStr">
        <is>
          <t>Speisesaal</t>
        </is>
      </c>
      <c r="D299" t="inlineStr">
        <is>
          <t>NE05</t>
        </is>
      </c>
      <c r="E299" t="inlineStr">
        <is>
          <t>Stück</t>
        </is>
      </c>
    </row>
    <row r="300">
      <c r="A300" t="inlineStr">
        <is>
          <t>NE05-05</t>
        </is>
      </c>
      <c r="B300" t="inlineStr">
        <is>
          <t>Vitra Panton Chair Junior rot, Kindergröße</t>
        </is>
      </c>
      <c r="C300" t="inlineStr">
        <is>
          <t>Speisesaal</t>
        </is>
      </c>
      <c r="D300" t="inlineStr">
        <is>
          <t>NE05</t>
        </is>
      </c>
      <c r="E300" t="inlineStr">
        <is>
          <t>Stück</t>
        </is>
      </c>
    </row>
    <row r="301">
      <c r="A301" t="inlineStr">
        <is>
          <t>NE05-06</t>
        </is>
      </c>
      <c r="B301" t="inlineStr">
        <is>
          <t>Stokke Steps Treppenhochstuhl, schwarz</t>
        </is>
      </c>
      <c r="C301" t="inlineStr">
        <is>
          <t>Speisesaal</t>
        </is>
      </c>
      <c r="D301" t="inlineStr">
        <is>
          <t>NE05</t>
        </is>
      </c>
      <c r="E301" t="inlineStr">
        <is>
          <t>Stück</t>
        </is>
      </c>
    </row>
    <row r="302">
      <c r="A302" t="inlineStr">
        <is>
          <t>NE05-07</t>
        </is>
      </c>
      <c r="B302" t="inlineStr">
        <is>
          <t>Stokke Steps Treppenhochstuhl, weiß mit schwarzem Gestell</t>
        </is>
      </c>
      <c r="C302" t="inlineStr">
        <is>
          <t>Speisesaal</t>
        </is>
      </c>
      <c r="D302" t="inlineStr">
        <is>
          <t>NE05</t>
        </is>
      </c>
      <c r="E302" t="inlineStr">
        <is>
          <t>Stück</t>
        </is>
      </c>
    </row>
    <row r="303">
      <c r="A303" t="inlineStr">
        <is>
          <t>NE05-08</t>
        </is>
      </c>
      <c r="B303" t="inlineStr">
        <is>
          <t>Stokke Steps Treppenhochstuhl, grau mit Buchengestell</t>
        </is>
      </c>
      <c r="C303" t="inlineStr">
        <is>
          <t>Speisesaal</t>
        </is>
      </c>
      <c r="D303" t="inlineStr">
        <is>
          <t>NE05</t>
        </is>
      </c>
      <c r="E303" t="inlineStr">
        <is>
          <t>Stück</t>
        </is>
      </c>
    </row>
    <row r="304">
      <c r="A304" t="inlineStr">
        <is>
          <t>NE05-09</t>
        </is>
      </c>
      <c r="B304" t="inlineStr">
        <is>
          <t>IKEA Ingolf Kinderhochstuhl weiß</t>
        </is>
      </c>
      <c r="C304" t="inlineStr">
        <is>
          <t>Speisesaal</t>
        </is>
      </c>
      <c r="D304" t="inlineStr">
        <is>
          <t>NE05</t>
        </is>
      </c>
      <c r="E304" t="inlineStr">
        <is>
          <t>Stück</t>
        </is>
      </c>
    </row>
    <row r="305">
      <c r="A305" t="inlineStr">
        <is>
          <t>NE05-13</t>
        </is>
      </c>
      <c r="B305" t="inlineStr">
        <is>
          <t>Rollwagen schwarz mit Holzplatte</t>
        </is>
      </c>
      <c r="C305" t="inlineStr">
        <is>
          <t>Speisesaal</t>
        </is>
      </c>
      <c r="D305" t="inlineStr">
        <is>
          <t>NE05</t>
        </is>
      </c>
      <c r="E305" t="inlineStr">
        <is>
          <t>Stück</t>
        </is>
      </c>
    </row>
    <row r="306">
      <c r="A306" t="inlineStr">
        <is>
          <t>NE05-14</t>
        </is>
      </c>
      <c r="B306" t="inlineStr">
        <is>
          <t>Glas-Magnettafel weiß, großformatig</t>
        </is>
      </c>
      <c r="C306" t="inlineStr">
        <is>
          <t>Speisesaal</t>
        </is>
      </c>
      <c r="D306" t="inlineStr">
        <is>
          <t>NE05</t>
        </is>
      </c>
      <c r="E306" t="inlineStr">
        <is>
          <t>Stück</t>
        </is>
      </c>
    </row>
    <row r="307">
      <c r="A307" t="inlineStr">
        <is>
          <t>NE05-15</t>
        </is>
      </c>
      <c r="B307" t="inlineStr">
        <is>
          <t>Wandleuchte Rehkitz schwarz</t>
        </is>
      </c>
      <c r="C307" t="inlineStr">
        <is>
          <t>Speisesaal</t>
        </is>
      </c>
      <c r="D307" t="inlineStr">
        <is>
          <t>NE05</t>
        </is>
      </c>
      <c r="E307" t="inlineStr">
        <is>
          <t>Stück</t>
        </is>
      </c>
    </row>
    <row r="308">
      <c r="A308" t="inlineStr">
        <is>
          <t>NE05-16</t>
        </is>
      </c>
      <c r="B308" t="inlineStr">
        <is>
          <t>Deko-Stern Holz</t>
        </is>
      </c>
      <c r="C308" t="inlineStr">
        <is>
          <t>Speisesaal</t>
        </is>
      </c>
      <c r="D308" t="inlineStr">
        <is>
          <t>NE05</t>
        </is>
      </c>
      <c r="E308" t="inlineStr">
        <is>
          <t>Stück</t>
        </is>
      </c>
    </row>
    <row r="309">
      <c r="A309" t="inlineStr">
        <is>
          <t>NE05-17</t>
        </is>
      </c>
      <c r="B309" t="inlineStr">
        <is>
          <t>Wandhaken in Stuhlform, schwarz</t>
        </is>
      </c>
      <c r="C309" t="inlineStr">
        <is>
          <t>Speisesaal</t>
        </is>
      </c>
      <c r="D309" t="inlineStr">
        <is>
          <t>NE05</t>
        </is>
      </c>
      <c r="E309" t="inlineStr">
        <is>
          <t>Stück</t>
        </is>
      </c>
    </row>
    <row r="310">
      <c r="A310" t="inlineStr">
        <is>
          <t>NE05-12</t>
        </is>
      </c>
      <c r="B310" t="inlineStr">
        <is>
          <t>Vitra Panton Chair Junior weiß, Kindergröße</t>
        </is>
      </c>
      <c r="C310" t="inlineStr">
        <is>
          <t>Speisesaal</t>
        </is>
      </c>
      <c r="D310" t="inlineStr">
        <is>
          <t>NE05</t>
        </is>
      </c>
      <c r="E310" t="inlineStr">
        <is>
          <t>Stück</t>
        </is>
      </c>
    </row>
    <row r="311">
      <c r="A311" t="inlineStr">
        <is>
          <t>NU02-25</t>
        </is>
      </c>
      <c r="B311" t="inlineStr">
        <is>
          <t>Vitra Eames Elephant, kleine Ausführung, schwarz</t>
        </is>
      </c>
      <c r="C311" t="inlineStr">
        <is>
          <t>Gruppenraum</t>
        </is>
      </c>
      <c r="D311" t="inlineStr">
        <is>
          <t>NU02</t>
        </is>
      </c>
      <c r="E311" t="inlineStr">
        <is>
          <t>Stück</t>
        </is>
      </c>
    </row>
    <row r="312">
      <c r="A312" t="inlineStr">
        <is>
          <t>BE01-04</t>
        </is>
      </c>
      <c r="B312" t="inlineStr">
        <is>
          <t>Beistelltisch rund, Drahtgestell schwarz</t>
        </is>
      </c>
      <c r="C312" t="inlineStr">
        <is>
          <t>Flur</t>
        </is>
      </c>
      <c r="D312" t="inlineStr">
        <is>
          <t>BE01</t>
        </is>
      </c>
      <c r="E312" t="inlineStr">
        <is>
          <t>Stück</t>
        </is>
      </c>
    </row>
    <row r="313">
      <c r="A313" t="inlineStr">
        <is>
          <t>BE01-05</t>
        </is>
      </c>
      <c r="B313" t="inlineStr">
        <is>
          <t>IKEA Trofast Wandhängeregal weiß, drei Fächer</t>
        </is>
      </c>
      <c r="C313" t="inlineStr">
        <is>
          <t>Flur</t>
        </is>
      </c>
      <c r="D313" t="inlineStr">
        <is>
          <t>BE01</t>
        </is>
      </c>
      <c r="E313" t="inlineStr">
        <is>
          <t>Stück</t>
        </is>
      </c>
    </row>
    <row r="314">
      <c r="A314" t="inlineStr">
        <is>
          <t>BE01-06</t>
        </is>
      </c>
      <c r="B314" t="inlineStr">
        <is>
          <t>Wandregal in Hausform, Holz</t>
        </is>
      </c>
      <c r="C314" t="inlineStr">
        <is>
          <t>Flur</t>
        </is>
      </c>
      <c r="D314" t="inlineStr">
        <is>
          <t>BE01</t>
        </is>
      </c>
      <c r="E314" t="inlineStr">
        <is>
          <t>Stück</t>
        </is>
      </c>
    </row>
    <row r="315">
      <c r="A315" t="inlineStr">
        <is>
          <t>BE01-07</t>
        </is>
      </c>
      <c r="B315" t="inlineStr">
        <is>
          <t>Wanddeko Hirschkopf mit Holzgeweih</t>
        </is>
      </c>
      <c r="C315" t="inlineStr">
        <is>
          <t>Flur</t>
        </is>
      </c>
      <c r="D315" t="inlineStr">
        <is>
          <t>BE01</t>
        </is>
      </c>
      <c r="E315" t="inlineStr">
        <is>
          <t>Stück</t>
        </is>
      </c>
    </row>
    <row r="316">
      <c r="A316" t="inlineStr">
        <is>
          <t>BE10-05</t>
        </is>
      </c>
      <c r="B316" t="inlineStr">
        <is>
          <t>Schalenstuhl weiß mit Holzbeinen</t>
        </is>
      </c>
      <c r="C316" t="inlineStr">
        <is>
          <t>Büro und Besprechung</t>
        </is>
      </c>
      <c r="D316" t="inlineStr">
        <is>
          <t>BE10</t>
        </is>
      </c>
      <c r="E316" t="inlineStr">
        <is>
          <t>Stück</t>
        </is>
      </c>
    </row>
    <row r="317">
      <c r="A317" t="inlineStr">
        <is>
          <t>BE10-06</t>
        </is>
      </c>
      <c r="B317" t="inlineStr">
        <is>
          <t>Acrylbild abstrakt, schwarz-weiß-beige, großformatig</t>
        </is>
      </c>
      <c r="C317" t="inlineStr">
        <is>
          <t>Büro und Besprechung</t>
        </is>
      </c>
      <c r="D317" t="inlineStr">
        <is>
          <t>BE10</t>
        </is>
      </c>
      <c r="E317" t="inlineStr">
        <is>
          <t>Stück</t>
        </is>
      </c>
    </row>
    <row r="318">
      <c r="A318" t="inlineStr">
        <is>
          <t>BE10-08</t>
        </is>
      </c>
      <c r="B318" t="inlineStr">
        <is>
          <t>Eckschreibtisch weiß</t>
        </is>
      </c>
      <c r="C318" t="inlineStr">
        <is>
          <t>Büro und Besprechung</t>
        </is>
      </c>
      <c r="D318" t="inlineStr">
        <is>
          <t>BE10</t>
        </is>
      </c>
      <c r="E318" t="inlineStr">
        <is>
          <t>Stück</t>
        </is>
      </c>
    </row>
    <row r="319">
      <c r="A319" t="inlineStr">
        <is>
          <t>TE02-07</t>
        </is>
      </c>
      <c r="B319" t="inlineStr">
        <is>
          <t>KidKraft Kinder-Strandliege mit Sonnendach</t>
        </is>
      </c>
      <c r="C319" t="inlineStr">
        <is>
          <t>Dachterrasse</t>
        </is>
      </c>
      <c r="D319" t="inlineStr">
        <is>
          <t>TE02</t>
        </is>
      </c>
      <c r="E319" t="inlineStr">
        <is>
          <t>Stück</t>
        </is>
      </c>
    </row>
    <row r="320">
      <c r="A320" t="inlineStr">
        <is>
          <t>TE02-08</t>
        </is>
      </c>
      <c r="B320" t="inlineStr">
        <is>
          <t>IKEA Skarpö Sessel weiß</t>
        </is>
      </c>
      <c r="C320" t="inlineStr">
        <is>
          <t>Dachterrasse</t>
        </is>
      </c>
      <c r="D320" t="inlineStr">
        <is>
          <t>TE02</t>
        </is>
      </c>
      <c r="E320" t="inlineStr">
        <is>
          <t>Stück</t>
        </is>
      </c>
    </row>
    <row r="321">
      <c r="A321" t="inlineStr">
        <is>
          <t>TE02-09</t>
        </is>
      </c>
      <c r="B321" t="inlineStr">
        <is>
          <t>IKEA Mammut Kinderstuhl rot</t>
        </is>
      </c>
      <c r="C321" t="inlineStr">
        <is>
          <t>Dachterrasse</t>
        </is>
      </c>
      <c r="D321" t="inlineStr">
        <is>
          <t>TE02</t>
        </is>
      </c>
      <c r="E321" t="inlineStr">
        <is>
          <t>Stück</t>
        </is>
      </c>
    </row>
    <row r="322">
      <c r="A322" t="inlineStr">
        <is>
          <t>TE02-10</t>
        </is>
      </c>
      <c r="B322" t="inlineStr">
        <is>
          <t>IKEA Mammut Kinderstuhl grün</t>
        </is>
      </c>
      <c r="C322" t="inlineStr">
        <is>
          <t>Dachterrasse</t>
        </is>
      </c>
      <c r="D322" t="inlineStr">
        <is>
          <t>TE02</t>
        </is>
      </c>
      <c r="E322" t="inlineStr">
        <is>
          <t>Stück</t>
        </is>
      </c>
    </row>
    <row r="323">
      <c r="A323" t="inlineStr">
        <is>
          <t>TE02-11</t>
        </is>
      </c>
      <c r="B323" t="inlineStr">
        <is>
          <t>IKEA Mammut Kindertisch grün, rund</t>
        </is>
      </c>
      <c r="C323" t="inlineStr">
        <is>
          <t>Dachterrasse</t>
        </is>
      </c>
      <c r="D323" t="inlineStr">
        <is>
          <t>TE02</t>
        </is>
      </c>
      <c r="E323" t="inlineStr">
        <is>
          <t>Stück</t>
        </is>
      </c>
    </row>
    <row r="324">
      <c r="A324" t="inlineStr">
        <is>
          <t>TE02-12</t>
        </is>
      </c>
      <c r="B324" t="inlineStr">
        <is>
          <t>IKEA Mammut Kindertisch grün, rund, stark verwittert</t>
        </is>
      </c>
      <c r="C324" t="inlineStr">
        <is>
          <t>Dachterrasse</t>
        </is>
      </c>
      <c r="D324" t="inlineStr">
        <is>
          <t>TE02</t>
        </is>
      </c>
      <c r="E324" t="inlineStr">
        <is>
          <t>Stück</t>
        </is>
      </c>
    </row>
    <row r="325">
      <c r="A325" t="inlineStr">
        <is>
          <t>TE02-13</t>
        </is>
      </c>
      <c r="B325" t="inlineStr">
        <is>
          <t>IKEA Mammut Kinderstuhl weiß</t>
        </is>
      </c>
      <c r="C325" t="inlineStr">
        <is>
          <t>Dachterrasse</t>
        </is>
      </c>
      <c r="D325" t="inlineStr">
        <is>
          <t>TE02</t>
        </is>
      </c>
      <c r="E325" t="inlineStr">
        <is>
          <t>Stück</t>
        </is>
      </c>
    </row>
    <row r="326">
      <c r="A326" t="inlineStr">
        <is>
          <t>TE02-14</t>
        </is>
      </c>
      <c r="B326" t="inlineStr">
        <is>
          <t>IKEA Mammut Kinderstuhl rosa</t>
        </is>
      </c>
      <c r="C326" t="inlineStr">
        <is>
          <t>Dachterrasse</t>
        </is>
      </c>
      <c r="D326" t="inlineStr">
        <is>
          <t>TE02</t>
        </is>
      </c>
      <c r="E326" t="inlineStr">
        <is>
          <t>Stück</t>
        </is>
      </c>
    </row>
    <row r="327">
      <c r="A327" t="inlineStr">
        <is>
          <t>TE02-15</t>
        </is>
      </c>
      <c r="B327" t="inlineStr">
        <is>
          <t>IKEA Mammut Kindertisch rot</t>
        </is>
      </c>
      <c r="C327" t="inlineStr">
        <is>
          <t>Dachterrasse</t>
        </is>
      </c>
      <c r="D327" t="inlineStr">
        <is>
          <t>TE02</t>
        </is>
      </c>
      <c r="E327" t="inlineStr">
        <is>
          <t>Stück</t>
        </is>
      </c>
    </row>
    <row r="328">
      <c r="A328" t="inlineStr">
        <is>
          <t>TE02-17</t>
        </is>
      </c>
      <c r="B328" t="inlineStr">
        <is>
          <t>IKEA Mammut Kindertisch weiß</t>
        </is>
      </c>
      <c r="C328" t="inlineStr">
        <is>
          <t>Dachterrasse</t>
        </is>
      </c>
      <c r="D328" t="inlineStr">
        <is>
          <t>TE02</t>
        </is>
      </c>
      <c r="E328" t="inlineStr">
        <is>
          <t>Stück</t>
        </is>
      </c>
    </row>
    <row r="329">
      <c r="A329" t="inlineStr">
        <is>
          <t>GA01-02</t>
        </is>
      </c>
      <c r="B329" t="inlineStr">
        <is>
          <t>Smoby Kinderrutsche</t>
        </is>
      </c>
      <c r="C329" t="inlineStr">
        <is>
          <t>Garten</t>
        </is>
      </c>
      <c r="D329" t="inlineStr">
        <is>
          <t>GA01</t>
        </is>
      </c>
      <c r="E329" t="inlineStr">
        <is>
          <t>Stück</t>
        </is>
      </c>
    </row>
    <row r="330">
      <c r="A330" t="inlineStr">
        <is>
          <t>GA01-05</t>
        </is>
      </c>
      <c r="B330" t="inlineStr">
        <is>
          <t>Smoby Kindertisch mit zwei Stühlen</t>
        </is>
      </c>
      <c r="C330" t="inlineStr">
        <is>
          <t>Garten</t>
        </is>
      </c>
      <c r="D330" t="inlineStr">
        <is>
          <t>GA01</t>
        </is>
      </c>
      <c r="E330" t="inlineStr">
        <is>
          <t>Set</t>
        </is>
      </c>
    </row>
    <row r="331">
      <c r="A331" t="inlineStr">
        <is>
          <t>GA01-06</t>
        </is>
      </c>
      <c r="B331" t="inlineStr">
        <is>
          <t>IKEA Mammut Kinderstuhl weiß</t>
        </is>
      </c>
      <c r="C331" t="inlineStr">
        <is>
          <t>Garten</t>
        </is>
      </c>
      <c r="D331" t="inlineStr">
        <is>
          <t>GA01</t>
        </is>
      </c>
      <c r="E331" t="inlineStr">
        <is>
          <t>Stück</t>
        </is>
      </c>
    </row>
    <row r="332">
      <c r="A332" t="inlineStr">
        <is>
          <t>GA01-07</t>
        </is>
      </c>
      <c r="B332" t="inlineStr">
        <is>
          <t>IKEA Mammut Kinderstuhl blau</t>
        </is>
      </c>
      <c r="C332" t="inlineStr">
        <is>
          <t>Garten</t>
        </is>
      </c>
      <c r="D332" t="inlineStr">
        <is>
          <t>GA01</t>
        </is>
      </c>
      <c r="E332" t="inlineStr">
        <is>
          <t>Stück</t>
        </is>
      </c>
    </row>
    <row r="333">
      <c r="A333" t="inlineStr">
        <is>
          <t>GA01-12</t>
        </is>
      </c>
      <c r="B333" t="inlineStr">
        <is>
          <t>Claas Axos 340 Trettraktor</t>
        </is>
      </c>
      <c r="C333" t="inlineStr">
        <is>
          <t>Garten</t>
        </is>
      </c>
      <c r="D333" t="inlineStr">
        <is>
          <t>GA01</t>
        </is>
      </c>
      <c r="E333" t="inlineStr">
        <is>
          <t>Stück</t>
        </is>
      </c>
    </row>
    <row r="334">
      <c r="A334" t="inlineStr">
        <is>
          <t>GA01-13</t>
        </is>
      </c>
      <c r="B334" t="inlineStr">
        <is>
          <t>Kinder-Liege Kunststoff orange</t>
        </is>
      </c>
      <c r="C334" t="inlineStr">
        <is>
          <t>Garten</t>
        </is>
      </c>
      <c r="D334" t="inlineStr">
        <is>
          <t>GA01</t>
        </is>
      </c>
      <c r="E334" t="inlineStr">
        <is>
          <t>Stück</t>
        </is>
      </c>
    </row>
    <row r="335">
      <c r="A335" t="inlineStr">
        <is>
          <t>GA01-14</t>
        </is>
      </c>
      <c r="B335" t="inlineStr">
        <is>
          <t>Wehrfritz Spielanlage Burg mit zwei Rutschen</t>
        </is>
      </c>
      <c r="C335" t="inlineStr">
        <is>
          <t>Garten</t>
        </is>
      </c>
      <c r="D335" t="inlineStr">
        <is>
          <t>GA01</t>
        </is>
      </c>
      <c r="E335" t="inlineStr">
        <is>
          <t>Stück</t>
        </is>
      </c>
    </row>
    <row r="336">
      <c r="A336" t="inlineStr">
        <is>
          <t>GA01-15</t>
        </is>
      </c>
      <c r="B336" t="inlineStr">
        <is>
          <t>Sitzgruppe Holz, sechseckig</t>
        </is>
      </c>
      <c r="C336" t="inlineStr">
        <is>
          <t>Garten</t>
        </is>
      </c>
      <c r="D336" t="inlineStr">
        <is>
          <t>GA01</t>
        </is>
      </c>
      <c r="E336" t="inlineStr">
        <is>
          <t>Stück</t>
        </is>
      </c>
    </row>
    <row r="337">
      <c r="A337" t="inlineStr">
        <is>
          <t>GA01-16</t>
        </is>
      </c>
      <c r="B337" t="inlineStr">
        <is>
          <t>Pinolino Kindersitzgarnitur mit Tisch</t>
        </is>
      </c>
      <c r="C337" t="inlineStr">
        <is>
          <t>Garten</t>
        </is>
      </c>
      <c r="D337" t="inlineStr">
        <is>
          <t>GA01</t>
        </is>
      </c>
      <c r="E337" t="inlineStr">
        <is>
          <t>Stück</t>
        </is>
      </c>
    </row>
    <row r="338">
      <c r="A338" t="inlineStr">
        <is>
          <t>BA08-15</t>
        </is>
      </c>
      <c r="B338" t="inlineStr">
        <is>
          <t>Buntes Kopierpapier DIN A4, Konvolut</t>
        </is>
      </c>
      <c r="C338" t="inlineStr">
        <is>
          <t>Atelier</t>
        </is>
      </c>
      <c r="D338" t="inlineStr">
        <is>
          <t>BA08</t>
        </is>
      </c>
      <c r="E338" t="inlineStr">
        <is>
          <t>Konvolut</t>
        </is>
      </c>
    </row>
    <row r="339">
      <c r="A339" t="inlineStr">
        <is>
          <t>BA08-16</t>
        </is>
      </c>
      <c r="B339" t="inlineStr">
        <is>
          <t>IKEA MÅLA Papierrolle, 30 m</t>
        </is>
      </c>
      <c r="C339" t="inlineStr">
        <is>
          <t>Atelier</t>
        </is>
      </c>
      <c r="D339" t="inlineStr">
        <is>
          <t>BA08</t>
        </is>
      </c>
      <c r="E339" t="inlineStr">
        <is>
          <t>Stück</t>
        </is>
      </c>
    </row>
    <row r="340">
      <c r="A340" t="inlineStr">
        <is>
          <t>BA08-17</t>
        </is>
      </c>
      <c r="B340" t="inlineStr">
        <is>
          <t>Acrylfarben Van Bleiswijck, Konvolut</t>
        </is>
      </c>
      <c r="C340" t="inlineStr">
        <is>
          <t>Atelier</t>
        </is>
      </c>
      <c r="D340" t="inlineStr">
        <is>
          <t>BA08</t>
        </is>
      </c>
      <c r="E340" t="inlineStr">
        <is>
          <t>Konvolut</t>
        </is>
      </c>
    </row>
    <row r="341">
      <c r="A341" t="inlineStr">
        <is>
          <t>BA08-18</t>
        </is>
      </c>
      <c r="B341" t="inlineStr">
        <is>
          <t>Schreibhefte DIN A5, Lineatur 1A, Konvolut</t>
        </is>
      </c>
      <c r="C341" t="inlineStr">
        <is>
          <t>Atelier</t>
        </is>
      </c>
      <c r="D341" t="inlineStr">
        <is>
          <t>BA08</t>
        </is>
      </c>
      <c r="E341" t="inlineStr">
        <is>
          <t>Konvolut</t>
        </is>
      </c>
    </row>
    <row r="342">
      <c r="A342" t="inlineStr">
        <is>
          <t>BA08-19</t>
        </is>
      </c>
      <c r="B342" t="inlineStr">
        <is>
          <t>Schreibhefte DIN A4, 32 Blatt, Konvolut</t>
        </is>
      </c>
      <c r="C342" t="inlineStr">
        <is>
          <t>Atelier</t>
        </is>
      </c>
      <c r="D342" t="inlineStr">
        <is>
          <t>BA08</t>
        </is>
      </c>
      <c r="E342" t="inlineStr">
        <is>
          <t>Konvolut</t>
        </is>
      </c>
    </row>
    <row r="343">
      <c r="A343" t="inlineStr">
        <is>
          <t>BA08-20</t>
        </is>
      </c>
      <c r="B343" t="inlineStr">
        <is>
          <t>Strickfäustlinge Ernie, Paar</t>
        </is>
      </c>
      <c r="C343" t="inlineStr">
        <is>
          <t>Atelier</t>
        </is>
      </c>
      <c r="D343" t="inlineStr">
        <is>
          <t>BA08</t>
        </is>
      </c>
      <c r="E343" t="inlineStr">
        <is>
          <t>Stück</t>
        </is>
      </c>
    </row>
    <row r="344">
      <c r="A344" t="inlineStr">
        <is>
          <t>BA08-21</t>
        </is>
      </c>
      <c r="B344" t="inlineStr">
        <is>
          <t>Seidentuch Pongé 05, 90 × 90 cm</t>
        </is>
      </c>
      <c r="C344" t="inlineStr">
        <is>
          <t>Atelier</t>
        </is>
      </c>
      <c r="D344" t="inlineStr">
        <is>
          <t>BA08</t>
        </is>
      </c>
      <c r="E344" t="inlineStr">
        <is>
          <t>Stück</t>
        </is>
      </c>
    </row>
    <row r="345">
      <c r="A345" t="inlineStr">
        <is>
          <t>BA08-22</t>
        </is>
      </c>
      <c r="B345" t="inlineStr">
        <is>
          <t>Pinselset im Sortierkasten</t>
        </is>
      </c>
      <c r="C345" t="inlineStr">
        <is>
          <t>Atelier</t>
        </is>
      </c>
      <c r="D345" t="inlineStr">
        <is>
          <t>BA08</t>
        </is>
      </c>
      <c r="E345" t="inlineStr">
        <is>
          <t>Set</t>
        </is>
      </c>
    </row>
    <row r="346">
      <c r="A346" t="inlineStr">
        <is>
          <t>BA08-24</t>
        </is>
      </c>
      <c r="B346" t="inlineStr">
        <is>
          <t>Kreativ-Set Körbchen Schmuckwelle</t>
        </is>
      </c>
      <c r="C346" t="inlineStr">
        <is>
          <t>Atelier</t>
        </is>
      </c>
      <c r="D346" t="inlineStr">
        <is>
          <t>BA08</t>
        </is>
      </c>
      <c r="E346" t="inlineStr">
        <is>
          <t>Stück</t>
        </is>
      </c>
    </row>
    <row r="347">
      <c r="A347" t="inlineStr">
        <is>
          <t>BA08-25</t>
        </is>
      </c>
      <c r="B347" t="inlineStr">
        <is>
          <t>Kreativ-Set Einladungskarten „Invito“</t>
        </is>
      </c>
      <c r="C347" t="inlineStr">
        <is>
          <t>Atelier</t>
        </is>
      </c>
      <c r="D347" t="inlineStr">
        <is>
          <t>BA08</t>
        </is>
      </c>
      <c r="E347" t="inlineStr">
        <is>
          <t>Stück</t>
        </is>
      </c>
    </row>
    <row r="348">
      <c r="A348" t="inlineStr">
        <is>
          <t>BA08-26</t>
        </is>
      </c>
      <c r="B348" t="inlineStr">
        <is>
          <t>Kreativ-Set Rupf-Zupf-Karten I</t>
        </is>
      </c>
      <c r="C348" t="inlineStr">
        <is>
          <t>Atelier</t>
        </is>
      </c>
      <c r="D348" t="inlineStr">
        <is>
          <t>BA08</t>
        </is>
      </c>
      <c r="E348" t="inlineStr">
        <is>
          <t>Stück</t>
        </is>
      </c>
    </row>
    <row r="349">
      <c r="A349" t="inlineStr">
        <is>
          <t>BA08-27</t>
        </is>
      </c>
      <c r="B349" t="inlineStr">
        <is>
          <t>Kreativ-Set Taschen mit Herz</t>
        </is>
      </c>
      <c r="C349" t="inlineStr">
        <is>
          <t>Atelier</t>
        </is>
      </c>
      <c r="D349" t="inlineStr">
        <is>
          <t>BA08</t>
        </is>
      </c>
      <c r="E349" t="inlineStr">
        <is>
          <t>Stück</t>
        </is>
      </c>
    </row>
    <row r="350">
      <c r="A350" t="inlineStr">
        <is>
          <t>BA08-28</t>
        </is>
      </c>
      <c r="B350" t="inlineStr">
        <is>
          <t>Kreativ-Set Dekokugeln</t>
        </is>
      </c>
      <c r="C350" t="inlineStr">
        <is>
          <t>Atelier</t>
        </is>
      </c>
      <c r="D350" t="inlineStr">
        <is>
          <t>BA08</t>
        </is>
      </c>
      <c r="E350" t="inlineStr">
        <is>
          <t>Stück</t>
        </is>
      </c>
    </row>
    <row r="351">
      <c r="A351" t="inlineStr">
        <is>
          <t>BA08-29</t>
        </is>
      </c>
      <c r="B351" t="inlineStr">
        <is>
          <t>Kreativ-Set Rupf-Zupf-Karten II</t>
        </is>
      </c>
      <c r="C351" t="inlineStr">
        <is>
          <t>Atelier</t>
        </is>
      </c>
      <c r="D351" t="inlineStr">
        <is>
          <t>BA08</t>
        </is>
      </c>
      <c r="E351" t="inlineStr">
        <is>
          <t>Stück</t>
        </is>
      </c>
    </row>
    <row r="352">
      <c r="A352" t="inlineStr">
        <is>
          <t>BA08-30</t>
        </is>
      </c>
      <c r="B352" t="inlineStr">
        <is>
          <t>Kreativ-Set Blumentaschen</t>
        </is>
      </c>
      <c r="C352" t="inlineStr">
        <is>
          <t>Atelier</t>
        </is>
      </c>
      <c r="D352" t="inlineStr">
        <is>
          <t>BA08</t>
        </is>
      </c>
      <c r="E352" t="inlineStr">
        <is>
          <t>Stück</t>
        </is>
      </c>
    </row>
    <row r="353">
      <c r="A353" t="inlineStr">
        <is>
          <t>BA08-31</t>
        </is>
      </c>
      <c r="B353" t="inlineStr">
        <is>
          <t>Kreativ-Set Windlichter „Mediterran“</t>
        </is>
      </c>
      <c r="C353" t="inlineStr">
        <is>
          <t>Atelier</t>
        </is>
      </c>
      <c r="D353" t="inlineStr">
        <is>
          <t>BA08</t>
        </is>
      </c>
      <c r="E353" t="inlineStr">
        <is>
          <t>Stück</t>
        </is>
      </c>
    </row>
    <row r="354">
      <c r="A354" t="inlineStr">
        <is>
          <t>BA08-32</t>
        </is>
      </c>
      <c r="B354" t="inlineStr">
        <is>
          <t>Kreativ-Set Grußkarten</t>
        </is>
      </c>
      <c r="C354" t="inlineStr">
        <is>
          <t>Atelier</t>
        </is>
      </c>
      <c r="D354" t="inlineStr">
        <is>
          <t>BA08</t>
        </is>
      </c>
      <c r="E354" t="inlineStr">
        <is>
          <t>Stück</t>
        </is>
      </c>
    </row>
    <row r="355">
      <c r="A355" t="inlineStr">
        <is>
          <t>BA08-33</t>
        </is>
      </c>
      <c r="B355" t="inlineStr">
        <is>
          <t>Kreativ-Set Einladungskarten „Festa“</t>
        </is>
      </c>
      <c r="C355" t="inlineStr">
        <is>
          <t>Atelier</t>
        </is>
      </c>
      <c r="D355" t="inlineStr">
        <is>
          <t>BA08</t>
        </is>
      </c>
      <c r="E355" t="inlineStr">
        <is>
          <t>Stück</t>
        </is>
      </c>
    </row>
    <row r="356">
      <c r="A356" t="inlineStr">
        <is>
          <t>BA08-34</t>
        </is>
      </c>
      <c r="B356" t="inlineStr">
        <is>
          <t>Motivstanzer, Set</t>
        </is>
      </c>
      <c r="C356" t="inlineStr">
        <is>
          <t>Atelier</t>
        </is>
      </c>
      <c r="D356" t="inlineStr">
        <is>
          <t>BA08</t>
        </is>
      </c>
      <c r="E356" t="inlineStr">
        <is>
          <t>Set</t>
        </is>
      </c>
    </row>
    <row r="357">
      <c r="A357" t="inlineStr">
        <is>
          <t>BA08-35</t>
        </is>
      </c>
      <c r="B357" t="inlineStr">
        <is>
          <t>Plotterpapier Plotforms, Rolle 45 m</t>
        </is>
      </c>
      <c r="C357" t="inlineStr">
        <is>
          <t>Atelier</t>
        </is>
      </c>
      <c r="D357" t="inlineStr">
        <is>
          <t>BA08</t>
        </is>
      </c>
      <c r="E357" t="inlineStr">
        <is>
          <t>Stück</t>
        </is>
      </c>
    </row>
    <row r="358">
      <c r="A358" t="inlineStr">
        <is>
          <t>BA08-36</t>
        </is>
      </c>
      <c r="B358" t="inlineStr">
        <is>
          <t>Transparentpapier-Rolle 70 × 100 cm</t>
        </is>
      </c>
      <c r="C358" t="inlineStr">
        <is>
          <t>Atelier</t>
        </is>
      </c>
      <c r="D358" t="inlineStr">
        <is>
          <t>BA08</t>
        </is>
      </c>
      <c r="E358" t="inlineStr">
        <is>
          <t>Stück</t>
        </is>
      </c>
    </row>
    <row r="359">
      <c r="A359" t="inlineStr">
        <is>
          <t>BA08-37</t>
        </is>
      </c>
      <c r="B359" t="inlineStr">
        <is>
          <t>Bastelpapier beige, 30 × 42 cm</t>
        </is>
      </c>
      <c r="C359" t="inlineStr">
        <is>
          <t>Atelier</t>
        </is>
      </c>
      <c r="D359" t="inlineStr">
        <is>
          <t>BA08</t>
        </is>
      </c>
      <c r="E359" t="inlineStr">
        <is>
          <t>Konvolut</t>
        </is>
      </c>
    </row>
    <row r="360">
      <c r="A360" t="inlineStr">
        <is>
          <t>BA04-19</t>
        </is>
      </c>
      <c r="B360" t="inlineStr">
        <is>
          <t>Stofftasche mit Druckknopf, gestreift</t>
        </is>
      </c>
      <c r="C360" t="inlineStr">
        <is>
          <t>Gruppenraum</t>
        </is>
      </c>
      <c r="D360" t="inlineStr">
        <is>
          <t>BA04</t>
        </is>
      </c>
      <c r="E360" t="inlineStr">
        <is>
          <t>Stück</t>
        </is>
      </c>
    </row>
    <row r="361">
      <c r="A361" t="inlineStr">
        <is>
          <t>BA04-20</t>
        </is>
      </c>
      <c r="B361" t="inlineStr">
        <is>
          <t>Stoffkorb weiß mit schwarzen Punkten</t>
        </is>
      </c>
      <c r="C361" t="inlineStr">
        <is>
          <t>Gruppenraum</t>
        </is>
      </c>
      <c r="D361" t="inlineStr">
        <is>
          <t>BA04</t>
        </is>
      </c>
      <c r="E361" t="inlineStr">
        <is>
          <t>Stück</t>
        </is>
      </c>
    </row>
    <row r="362">
      <c r="A362" t="inlineStr">
        <is>
          <t>BU09-04</t>
        </is>
      </c>
      <c r="B362" t="inlineStr">
        <is>
          <t>Hobelbank Massivholz, groß</t>
        </is>
      </c>
      <c r="C362" t="inlineStr">
        <is>
          <t>Werkraum</t>
        </is>
      </c>
      <c r="D362" t="inlineStr">
        <is>
          <t>BU09</t>
        </is>
      </c>
      <c r="E362" t="inlineStr">
        <is>
          <t>Stück</t>
        </is>
      </c>
    </row>
    <row r="363">
      <c r="A363" t="inlineStr">
        <is>
          <t>BU09-05</t>
        </is>
      </c>
      <c r="B363" t="inlineStr">
        <is>
          <t>Werkzeugschrank für Kinder, mit Werkzeug</t>
        </is>
      </c>
      <c r="C363" t="inlineStr">
        <is>
          <t>Werkraum</t>
        </is>
      </c>
      <c r="D363" t="inlineStr">
        <is>
          <t>BU09</t>
        </is>
      </c>
      <c r="E363" t="inlineStr">
        <is>
          <t>Stück</t>
        </is>
      </c>
    </row>
    <row r="364">
      <c r="A364" t="inlineStr">
        <is>
          <t>NE02-06</t>
        </is>
      </c>
      <c r="B364" t="inlineStr">
        <is>
          <t>Kinderbecher mit facettiertem Fuß</t>
        </is>
      </c>
      <c r="C364" t="inlineStr">
        <is>
          <t>Küche</t>
        </is>
      </c>
      <c r="D364" t="inlineStr">
        <is>
          <t>NE02</t>
        </is>
      </c>
      <c r="E364" t="inlineStr">
        <is>
          <t>Set</t>
        </is>
      </c>
    </row>
    <row r="365">
      <c r="A365" t="inlineStr">
        <is>
          <t>NE02-07</t>
        </is>
      </c>
      <c r="B365" t="inlineStr">
        <is>
          <t>Kinderteller bunt und mit Tiermotiv</t>
        </is>
      </c>
      <c r="C365" t="inlineStr">
        <is>
          <t>Küche</t>
        </is>
      </c>
      <c r="D365" t="inlineStr">
        <is>
          <t>NE02</t>
        </is>
      </c>
      <c r="E365" t="inlineStr">
        <is>
          <t>Set</t>
        </is>
      </c>
    </row>
    <row r="366">
      <c r="A366" t="inlineStr">
        <is>
          <t>BU06-03</t>
        </is>
      </c>
      <c r="B366" t="inlineStr">
        <is>
          <t>Kinderbecher rot</t>
        </is>
      </c>
      <c r="C366" t="inlineStr">
        <is>
          <t>Küche und Essbereich</t>
        </is>
      </c>
      <c r="D366" t="inlineStr">
        <is>
          <t>BU06</t>
        </is>
      </c>
      <c r="E366" t="inlineStr">
        <is>
          <t>Set</t>
        </is>
      </c>
    </row>
    <row r="367">
      <c r="A367" t="inlineStr">
        <is>
          <t>BA04-10</t>
        </is>
      </c>
      <c r="B367" t="inlineStr">
        <is>
          <t>Bruder CAT Spielzeugbagger gelb-schwarz</t>
        </is>
      </c>
      <c r="C367" t="inlineStr">
        <is>
          <t>Gruppenraum</t>
        </is>
      </c>
      <c r="D367" t="inlineStr">
        <is>
          <t>BA04</t>
        </is>
      </c>
      <c r="E367" t="inlineStr">
        <is>
          <t>Stück</t>
        </is>
      </c>
    </row>
    <row r="368">
      <c r="A368" t="inlineStr">
        <is>
          <t>BA04-11</t>
        </is>
      </c>
      <c r="B368" t="inlineStr">
        <is>
          <t>Bruder CAT Teleskoplader</t>
        </is>
      </c>
      <c r="C368" t="inlineStr">
        <is>
          <t>Gruppenraum</t>
        </is>
      </c>
      <c r="D368" t="inlineStr">
        <is>
          <t>BA04</t>
        </is>
      </c>
      <c r="E368" t="inlineStr">
        <is>
          <t>Stück</t>
        </is>
      </c>
    </row>
    <row r="369">
      <c r="A369" t="inlineStr">
        <is>
          <t>BA04-12</t>
        </is>
      </c>
      <c r="B369" t="inlineStr">
        <is>
          <t>Bruder JCB Midi CX Baggerlader</t>
        </is>
      </c>
      <c r="C369" t="inlineStr">
        <is>
          <t>Gruppenraum</t>
        </is>
      </c>
      <c r="D369" t="inlineStr">
        <is>
          <t>BA04</t>
        </is>
      </c>
      <c r="E369" t="inlineStr">
        <is>
          <t>Stück</t>
        </is>
      </c>
    </row>
    <row r="370">
      <c r="A370" t="inlineStr">
        <is>
          <t>BA04-13</t>
        </is>
      </c>
      <c r="B370" t="inlineStr">
        <is>
          <t>Spielzeug-Müllauto orange</t>
        </is>
      </c>
      <c r="C370" t="inlineStr">
        <is>
          <t>Gruppenraum</t>
        </is>
      </c>
      <c r="D370" t="inlineStr">
        <is>
          <t>BA04</t>
        </is>
      </c>
      <c r="E370" t="inlineStr">
        <is>
          <t>Stück</t>
        </is>
      </c>
    </row>
    <row r="371">
      <c r="A371" t="inlineStr">
        <is>
          <t>BA04-14</t>
        </is>
      </c>
      <c r="B371" t="inlineStr">
        <is>
          <t>Bruder Deutz Traktor grün</t>
        </is>
      </c>
      <c r="C371" t="inlineStr">
        <is>
          <t>Gruppenraum</t>
        </is>
      </c>
      <c r="D371" t="inlineStr">
        <is>
          <t>BA04</t>
        </is>
      </c>
      <c r="E371" t="inlineStr">
        <is>
          <t>Stück</t>
        </is>
      </c>
    </row>
    <row r="372">
      <c r="A372" t="inlineStr">
        <is>
          <t>BA04-15</t>
        </is>
      </c>
      <c r="B372" t="inlineStr">
        <is>
          <t>Spielzeug-Hoflader Schäffer rot</t>
        </is>
      </c>
      <c r="C372" t="inlineStr">
        <is>
          <t>Gruppenraum</t>
        </is>
      </c>
      <c r="D372" t="inlineStr">
        <is>
          <t>BA04</t>
        </is>
      </c>
      <c r="E372" t="inlineStr">
        <is>
          <t>Stück</t>
        </is>
      </c>
    </row>
    <row r="373">
      <c r="A373" t="inlineStr">
        <is>
          <t>BA04-16</t>
        </is>
      </c>
      <c r="B373" t="inlineStr">
        <is>
          <t>Bruder Claas Lexion 480 Mähdrescher</t>
        </is>
      </c>
      <c r="C373" t="inlineStr">
        <is>
          <t>Gruppenraum</t>
        </is>
      </c>
      <c r="D373" t="inlineStr">
        <is>
          <t>BA04</t>
        </is>
      </c>
      <c r="E373" t="inlineStr">
        <is>
          <t>Stück</t>
        </is>
      </c>
    </row>
    <row r="374">
      <c r="A374" t="inlineStr">
        <is>
          <t>BA04-17</t>
        </is>
      </c>
      <c r="B374" t="inlineStr">
        <is>
          <t>Bruder Jeep rot „Super Eagle"</t>
        </is>
      </c>
      <c r="C374" t="inlineStr">
        <is>
          <t>Gruppenraum</t>
        </is>
      </c>
      <c r="D374" t="inlineStr">
        <is>
          <t>BA04</t>
        </is>
      </c>
      <c r="E374" t="inlineStr">
        <is>
          <t>Stück</t>
        </is>
      </c>
    </row>
    <row r="375">
      <c r="A375" t="inlineStr">
        <is>
          <t>BA04-18</t>
        </is>
      </c>
      <c r="B375" t="inlineStr">
        <is>
          <t>Spielzeug-Feldhäcksler Claas Jaguar</t>
        </is>
      </c>
      <c r="C375" t="inlineStr">
        <is>
          <t>Gruppenraum</t>
        </is>
      </c>
      <c r="D375" t="inlineStr">
        <is>
          <t>BA04</t>
        </is>
      </c>
      <c r="E375" t="inlineStr">
        <is>
          <t>Stück</t>
        </is>
      </c>
    </row>
    <row r="376">
      <c r="A376" t="inlineStr">
        <is>
          <t>BE10-14</t>
        </is>
      </c>
      <c r="B376" t="inlineStr">
        <is>
          <t>Truhe Holz weiß mit gewölbtem Deckel</t>
        </is>
      </c>
      <c r="C376" t="inlineStr">
        <is>
          <t>Büro und Besprechung</t>
        </is>
      </c>
      <c r="D376" t="inlineStr">
        <is>
          <t>BE10</t>
        </is>
      </c>
      <c r="E376" t="inlineStr">
        <is>
          <t>Stück</t>
        </is>
      </c>
    </row>
    <row r="377">
      <c r="A377" t="inlineStr">
        <is>
          <t>BU12-01</t>
        </is>
      </c>
      <c r="B377" t="inlineStr">
        <is>
          <t>Winther Dreirad mit Doppelsitz</t>
        </is>
      </c>
      <c r="C377" t="inlineStr">
        <is>
          <t>Abstellraum</t>
        </is>
      </c>
      <c r="D377" t="inlineStr">
        <is>
          <t>BU12</t>
        </is>
      </c>
      <c r="E377" t="inlineStr">
        <is>
          <t>Stück</t>
        </is>
      </c>
    </row>
    <row r="378">
      <c r="A378" t="inlineStr">
        <is>
          <t>BU12-02</t>
        </is>
      </c>
      <c r="B378" t="inlineStr">
        <is>
          <t>Winther Dreirad, Einsitzer</t>
        </is>
      </c>
      <c r="C378" t="inlineStr">
        <is>
          <t>Abstellraum</t>
        </is>
      </c>
      <c r="D378" t="inlineStr">
        <is>
          <t>BU12</t>
        </is>
      </c>
      <c r="E378" t="inlineStr">
        <is>
          <t>Stück</t>
        </is>
      </c>
    </row>
    <row r="379">
      <c r="A379" t="inlineStr">
        <is>
          <t>BU12-03</t>
        </is>
      </c>
      <c r="B379" t="inlineStr">
        <is>
          <t>Gartengeräte für Kinder: Besen, Rechen, Haken</t>
        </is>
      </c>
      <c r="C379" t="inlineStr">
        <is>
          <t>Abstellraum</t>
        </is>
      </c>
      <c r="D379" t="inlineStr">
        <is>
          <t>BU12</t>
        </is>
      </c>
      <c r="E379" t="inlineStr">
        <is>
          <t>Konvolut</t>
        </is>
      </c>
    </row>
    <row r="380">
      <c r="A380" t="inlineStr">
        <is>
          <t>BU12-04</t>
        </is>
      </c>
      <c r="B380" t="inlineStr">
        <is>
          <t>Winther Spiel-Tankstelle</t>
        </is>
      </c>
      <c r="C380" t="inlineStr">
        <is>
          <t>Abstellraum</t>
        </is>
      </c>
      <c r="D380" t="inlineStr">
        <is>
          <t>BU12</t>
        </is>
      </c>
      <c r="E380" t="inlineStr">
        <is>
          <t>Stück</t>
        </is>
      </c>
    </row>
    <row r="381">
      <c r="A381" t="inlineStr">
        <is>
          <t>BU12-05</t>
        </is>
      </c>
      <c r="B381" t="inlineStr">
        <is>
          <t>Winther Dreirad, Zweisitzer</t>
        </is>
      </c>
      <c r="C381" t="inlineStr">
        <is>
          <t>Abstellraum</t>
        </is>
      </c>
      <c r="D381" t="inlineStr">
        <is>
          <t>BU12</t>
        </is>
      </c>
      <c r="E381" t="inlineStr">
        <is>
          <t>Stück</t>
        </is>
      </c>
    </row>
    <row r="382">
      <c r="A382" t="inlineStr">
        <is>
          <t>BU12-06</t>
        </is>
      </c>
      <c r="B382" t="inlineStr">
        <is>
          <t>Winther Lastendreirad mit Transportwanne</t>
        </is>
      </c>
      <c r="C382" t="inlineStr">
        <is>
          <t>Abstellraum</t>
        </is>
      </c>
      <c r="D382" t="inlineStr">
        <is>
          <t>BU12</t>
        </is>
      </c>
      <c r="E382" t="inlineStr">
        <is>
          <t>Stück</t>
        </is>
      </c>
    </row>
    <row r="383">
      <c r="A383" t="inlineStr">
        <is>
          <t>BU12-07</t>
        </is>
      </c>
      <c r="B383" t="inlineStr">
        <is>
          <t>Winther Dreirad mit Mitfahrersitz</t>
        </is>
      </c>
      <c r="C383" t="inlineStr">
        <is>
          <t>Abstellraum</t>
        </is>
      </c>
      <c r="D383" t="inlineStr">
        <is>
          <t>BU12</t>
        </is>
      </c>
      <c r="E383" t="inlineStr">
        <is>
          <t>Stück</t>
        </is>
      </c>
    </row>
    <row r="384">
      <c r="A384" t="inlineStr">
        <is>
          <t>BU12-08</t>
        </is>
      </c>
      <c r="B384" t="inlineStr">
        <is>
          <t>Winther Dreirad mit Trittplattform</t>
        </is>
      </c>
      <c r="C384" t="inlineStr">
        <is>
          <t>Abstellraum</t>
        </is>
      </c>
      <c r="D384" t="inlineStr">
        <is>
          <t>BU12</t>
        </is>
      </c>
      <c r="E384" t="inlineStr">
        <is>
          <t>Stück</t>
        </is>
      </c>
    </row>
    <row r="385">
      <c r="A385" t="inlineStr">
        <is>
          <t>BU12-09</t>
        </is>
      </c>
      <c r="B385" t="inlineStr">
        <is>
          <t>Winther Zugwagen mit Sitz</t>
        </is>
      </c>
      <c r="C385" t="inlineStr">
        <is>
          <t>Abstellraum</t>
        </is>
      </c>
      <c r="D385" t="inlineStr">
        <is>
          <t>BU12</t>
        </is>
      </c>
      <c r="E385" t="inlineStr">
        <is>
          <t>Stück</t>
        </is>
      </c>
    </row>
    <row r="386">
      <c r="A386" t="inlineStr">
        <is>
          <t>BU12-10</t>
        </is>
      </c>
      <c r="B386" t="inlineStr">
        <is>
          <t>Kinder-Schneeschaufeln rot</t>
        </is>
      </c>
      <c r="C386" t="inlineStr">
        <is>
          <t>Abstellraum</t>
        </is>
      </c>
      <c r="D386" t="inlineStr">
        <is>
          <t>BU12</t>
        </is>
      </c>
      <c r="E386" t="inlineStr">
        <is>
          <t>Konvolut</t>
        </is>
      </c>
    </row>
    <row r="387">
      <c r="A387" t="inlineStr">
        <is>
          <t>BU12-11</t>
        </is>
      </c>
      <c r="B387" t="inlineStr">
        <is>
          <t>BIG Bobby Car rot</t>
        </is>
      </c>
      <c r="C387" t="inlineStr">
        <is>
          <t>Abstellraum</t>
        </is>
      </c>
      <c r="D387" t="inlineStr">
        <is>
          <t>BU12</t>
        </is>
      </c>
      <c r="E387" t="inlineStr">
        <is>
          <t>Stück</t>
        </is>
      </c>
    </row>
    <row r="388">
      <c r="A388" t="inlineStr">
        <is>
          <t>BU12-17</t>
        </is>
      </c>
      <c r="B388" t="inlineStr">
        <is>
          <t>BIG Bobby Car schwarz und grau</t>
        </is>
      </c>
      <c r="C388" t="inlineStr">
        <is>
          <t>Abstellraum</t>
        </is>
      </c>
      <c r="D388" t="inlineStr">
        <is>
          <t>BU12</t>
        </is>
      </c>
      <c r="E388" t="inlineStr">
        <is>
          <t>Stück</t>
        </is>
      </c>
    </row>
    <row r="389">
      <c r="A389" t="inlineStr">
        <is>
          <t>BU12-12</t>
        </is>
      </c>
      <c r="B389" t="inlineStr">
        <is>
          <t>Nadle Dreirad schwarz</t>
        </is>
      </c>
      <c r="C389" t="inlineStr">
        <is>
          <t>Abstellraum</t>
        </is>
      </c>
      <c r="D389" t="inlineStr">
        <is>
          <t>BU12</t>
        </is>
      </c>
      <c r="E389" t="inlineStr">
        <is>
          <t>Stück</t>
        </is>
      </c>
    </row>
    <row r="390">
      <c r="A390" t="inlineStr">
        <is>
          <t>BU12-13</t>
        </is>
      </c>
      <c r="B390" t="inlineStr">
        <is>
          <t>Kettler Dreirad blau</t>
        </is>
      </c>
      <c r="C390" t="inlineStr">
        <is>
          <t>Abstellraum</t>
        </is>
      </c>
      <c r="D390" t="inlineStr">
        <is>
          <t>BU12</t>
        </is>
      </c>
      <c r="E390" t="inlineStr">
        <is>
          <t>Stück</t>
        </is>
      </c>
    </row>
    <row r="391">
      <c r="A391" t="inlineStr">
        <is>
          <t>BU12-14</t>
        </is>
      </c>
      <c r="B391" t="inlineStr">
        <is>
          <t>Puky Laufrad / Kinderfahrzeug</t>
        </is>
      </c>
      <c r="C391" t="inlineStr">
        <is>
          <t>Abstellraum</t>
        </is>
      </c>
      <c r="D391" t="inlineStr">
        <is>
          <t>BU12</t>
        </is>
      </c>
      <c r="E391" t="inlineStr">
        <is>
          <t>Stück</t>
        </is>
      </c>
    </row>
    <row r="392">
      <c r="A392" t="inlineStr">
        <is>
          <t>BU12-15</t>
        </is>
      </c>
      <c r="B392" t="inlineStr">
        <is>
          <t>Kettler Laufrad rot-gelb</t>
        </is>
      </c>
      <c r="C392" t="inlineStr">
        <is>
          <t>Abstellraum</t>
        </is>
      </c>
      <c r="D392" t="inlineStr">
        <is>
          <t>BU12</t>
        </is>
      </c>
      <c r="E392" t="inlineStr">
        <is>
          <t>Stück</t>
        </is>
      </c>
    </row>
    <row r="393">
      <c r="A393" t="inlineStr">
        <is>
          <t>BU12-16</t>
        </is>
      </c>
      <c r="B393" t="inlineStr">
        <is>
          <t>Kinderroller orange</t>
        </is>
      </c>
      <c r="C393" t="inlineStr">
        <is>
          <t>Abstellraum</t>
        </is>
      </c>
      <c r="D393" t="inlineStr">
        <is>
          <t>BU12</t>
        </is>
      </c>
      <c r="E393" t="inlineStr">
        <is>
          <t>Stück</t>
        </is>
      </c>
    </row>
    <row r="394">
      <c r="A394" t="inlineStr">
        <is>
          <t>BU13-01</t>
        </is>
      </c>
      <c r="B394" t="inlineStr">
        <is>
          <t>Stehtisch weiß, rund, Ø 70 cm</t>
        </is>
      </c>
      <c r="C394" t="inlineStr">
        <is>
          <t>Material</t>
        </is>
      </c>
      <c r="D394" t="inlineStr">
        <is>
          <t>BU13</t>
        </is>
      </c>
      <c r="E394" t="inlineStr">
        <is>
          <t>Stück</t>
        </is>
      </c>
    </row>
    <row r="395">
      <c r="A395" t="inlineStr">
        <is>
          <t>BU13-02</t>
        </is>
      </c>
      <c r="B395" t="inlineStr">
        <is>
          <t>Sonnenschirm rot-weiß gestreift, mit Schutzhülle</t>
        </is>
      </c>
      <c r="C395" t="inlineStr">
        <is>
          <t>Material</t>
        </is>
      </c>
      <c r="D395" t="inlineStr">
        <is>
          <t>BU13</t>
        </is>
      </c>
      <c r="E395" t="inlineStr">
        <is>
          <t>Stück</t>
        </is>
      </c>
    </row>
    <row r="396">
      <c r="A396" t="inlineStr">
        <is>
          <t>BU13-03</t>
        </is>
      </c>
      <c r="B396" t="inlineStr">
        <is>
          <t>Sonnenschirm rot-weiß gestreift, ausgebleicht</t>
        </is>
      </c>
      <c r="C396" t="inlineStr">
        <is>
          <t>Material</t>
        </is>
      </c>
      <c r="D396" t="inlineStr">
        <is>
          <t>BU13</t>
        </is>
      </c>
      <c r="E396" t="inlineStr">
        <is>
          <t>Stück</t>
        </is>
      </c>
    </row>
    <row r="397">
      <c r="A397" t="inlineStr">
        <is>
          <t>BU13-04</t>
        </is>
      </c>
      <c r="B397" t="inlineStr">
        <is>
          <t>Sonnenschirm rot-weiß gestreift, mit Schirmständer</t>
        </is>
      </c>
      <c r="C397" t="inlineStr">
        <is>
          <t>Material</t>
        </is>
      </c>
      <c r="D397" t="inlineStr">
        <is>
          <t>BU13</t>
        </is>
      </c>
      <c r="E397" t="inlineStr">
        <is>
          <t>Stück</t>
        </is>
      </c>
    </row>
    <row r="398">
      <c r="A398" t="inlineStr">
        <is>
          <t>BU13-05</t>
        </is>
      </c>
      <c r="B398" t="inlineStr">
        <is>
          <t>Bob-Schale für Kinder</t>
        </is>
      </c>
      <c r="C398" t="inlineStr">
        <is>
          <t>Material</t>
        </is>
      </c>
      <c r="D398" t="inlineStr">
        <is>
          <t>BU13</t>
        </is>
      </c>
      <c r="E398" t="inlineStr">
        <is>
          <t>Stück</t>
        </is>
      </c>
    </row>
    <row r="399">
      <c r="A399" t="inlineStr">
        <is>
          <t>BU13-06</t>
        </is>
      </c>
      <c r="B399" t="inlineStr">
        <is>
          <t>Tellerrutscher mit Griff</t>
        </is>
      </c>
      <c r="C399" t="inlineStr">
        <is>
          <t>Material</t>
        </is>
      </c>
      <c r="D399" t="inlineStr">
        <is>
          <t>BU13</t>
        </is>
      </c>
      <c r="E399" t="inlineStr">
        <is>
          <t>Stück</t>
        </is>
      </c>
    </row>
    <row r="400">
      <c r="A400" t="inlineStr">
        <is>
          <t>BU13-07</t>
        </is>
      </c>
      <c r="B400" t="inlineStr">
        <is>
          <t>Kinderschlitten blau mit Hai-Motiv</t>
        </is>
      </c>
      <c r="C400" t="inlineStr">
        <is>
          <t>Material</t>
        </is>
      </c>
      <c r="D400" t="inlineStr">
        <is>
          <t>BU13</t>
        </is>
      </c>
      <c r="E400" t="inlineStr">
        <is>
          <t>Stück</t>
        </is>
      </c>
    </row>
    <row r="401">
      <c r="A401" t="inlineStr">
        <is>
          <t>BU13-08</t>
        </is>
      </c>
      <c r="B401" t="inlineStr">
        <is>
          <t>Stiga Snowracer Lenkschlitten schwarz</t>
        </is>
      </c>
      <c r="C401" t="inlineStr">
        <is>
          <t>Material</t>
        </is>
      </c>
      <c r="D401" t="inlineStr">
        <is>
          <t>BU13</t>
        </is>
      </c>
      <c r="E401" t="inlineStr">
        <is>
          <t>Stück</t>
        </is>
      </c>
    </row>
    <row r="402">
      <c r="A402" t="inlineStr">
        <is>
          <t>BU14-01</t>
        </is>
      </c>
      <c r="B402" t="inlineStr">
        <is>
          <t>Stokke Steps Baby Set, neu</t>
        </is>
      </c>
      <c r="C402" t="inlineStr">
        <is>
          <t>Heizung</t>
        </is>
      </c>
      <c r="D402" t="inlineStr">
        <is>
          <t>BU14</t>
        </is>
      </c>
      <c r="E402" t="inlineStr">
        <is>
          <t>Stück</t>
        </is>
      </c>
    </row>
    <row r="403">
      <c r="A403" t="inlineStr">
        <is>
          <t>BU14-02</t>
        </is>
      </c>
      <c r="B403" t="inlineStr">
        <is>
          <t>Peha-soft nitrile fino Handschuhe, Größe L, neu</t>
        </is>
      </c>
      <c r="C403" t="inlineStr">
        <is>
          <t>Heizung</t>
        </is>
      </c>
      <c r="D403" t="inlineStr">
        <is>
          <t>BU14</t>
        </is>
      </c>
      <c r="E403" t="inlineStr">
        <is>
          <t>Karton</t>
        </is>
      </c>
    </row>
    <row r="404">
      <c r="A404" t="inlineStr">
        <is>
          <t>BU14-03</t>
        </is>
      </c>
      <c r="B404" t="inlineStr">
        <is>
          <t>Livarno Living Truhenbank, neu</t>
        </is>
      </c>
      <c r="C404" t="inlineStr">
        <is>
          <t>Heizung</t>
        </is>
      </c>
      <c r="D404" t="inlineStr">
        <is>
          <t>BU14</t>
        </is>
      </c>
      <c r="E404" t="inlineStr">
        <is>
          <t>Stück</t>
        </is>
      </c>
    </row>
    <row r="405">
      <c r="A405" t="inlineStr">
        <is>
          <t>BU14-04</t>
        </is>
      </c>
      <c r="B405" t="inlineStr">
        <is>
          <t>Bambusfackeln</t>
        </is>
      </c>
      <c r="C405" t="inlineStr">
        <is>
          <t>Heizung</t>
        </is>
      </c>
      <c r="D405" t="inlineStr">
        <is>
          <t>BU14</t>
        </is>
      </c>
      <c r="E405" t="inlineStr">
        <is>
          <t>Konvolut</t>
        </is>
      </c>
    </row>
    <row r="406">
      <c r="A406" t="inlineStr">
        <is>
          <t>BU14-06</t>
        </is>
      </c>
      <c r="B406" t="inlineStr">
        <is>
          <t>HENDI Heißgetränkespender 27 l</t>
        </is>
      </c>
      <c r="C406" t="inlineStr">
        <is>
          <t>Heizung</t>
        </is>
      </c>
      <c r="D406" t="inlineStr">
        <is>
          <t>BU14</t>
        </is>
      </c>
      <c r="E406" t="inlineStr">
        <is>
          <t>Stück</t>
        </is>
      </c>
    </row>
    <row r="407">
      <c r="A407" t="inlineStr">
        <is>
          <t>BU14-07</t>
        </is>
      </c>
      <c r="B407" t="inlineStr">
        <is>
          <t>alvita Krankenunterlagen 60 x 90 cm, neu</t>
        </is>
      </c>
      <c r="C407" t="inlineStr">
        <is>
          <t>Heizung</t>
        </is>
      </c>
      <c r="D407" t="inlineStr">
        <is>
          <t>BU14</t>
        </is>
      </c>
      <c r="E407" t="inlineStr">
        <is>
          <t>Karton</t>
        </is>
      </c>
    </row>
    <row r="408">
      <c r="A408" t="inlineStr">
        <is>
          <t>BU14-08</t>
        </is>
      </c>
      <c r="B408" t="inlineStr">
        <is>
          <t>Streuwagen</t>
        </is>
      </c>
      <c r="C408" t="inlineStr">
        <is>
          <t>Heizung</t>
        </is>
      </c>
      <c r="D408" t="inlineStr">
        <is>
          <t>BU14</t>
        </is>
      </c>
      <c r="E408" t="inlineStr">
        <is>
          <t>Stück</t>
        </is>
      </c>
    </row>
    <row r="409">
      <c r="A409" t="inlineStr">
        <is>
          <t>GA01-17</t>
        </is>
      </c>
      <c r="B409" t="inlineStr">
        <is>
          <t>Röhrenrutsche grün, gebogen</t>
        </is>
      </c>
      <c r="C409" t="inlineStr">
        <is>
          <t>Garten</t>
        </is>
      </c>
      <c r="D409" t="inlineStr">
        <is>
          <t>GA01</t>
        </is>
      </c>
      <c r="E409" t="inlineStr">
        <is>
          <t>Stück</t>
        </is>
      </c>
    </row>
    <row r="410">
      <c r="A410" t="inlineStr">
        <is>
          <t>GA01-18</t>
        </is>
      </c>
      <c r="B410" t="inlineStr">
        <is>
          <t>Röhrenrutsche grün, Kurvenform</t>
        </is>
      </c>
      <c r="C410" t="inlineStr">
        <is>
          <t>Garten</t>
        </is>
      </c>
      <c r="D410" t="inlineStr">
        <is>
          <t>GA01</t>
        </is>
      </c>
      <c r="E410" t="inlineStr">
        <is>
          <t>Stück</t>
        </is>
      </c>
    </row>
    <row r="411">
      <c r="A411" t="inlineStr">
        <is>
          <t>BA08-40</t>
        </is>
      </c>
      <c r="B411" t="inlineStr">
        <is>
          <t>Feinkrepp weiß, 80 Rollen (Werola)</t>
        </is>
      </c>
      <c r="C411" t="inlineStr">
        <is>
          <t>Atelier</t>
        </is>
      </c>
      <c r="D411" t="inlineStr">
        <is>
          <t>BA08</t>
        </is>
      </c>
      <c r="E411" t="inlineStr">
        <is>
          <t>Konvolut</t>
        </is>
      </c>
    </row>
    <row r="412">
      <c r="A412" t="inlineStr">
        <is>
          <t>BA08-41</t>
        </is>
      </c>
      <c r="B412" t="inlineStr">
        <is>
          <t>Fein-Krepp gelb, 57 Rollen (folia)</t>
        </is>
      </c>
      <c r="C412" t="inlineStr">
        <is>
          <t>Atelier</t>
        </is>
      </c>
      <c r="D412" t="inlineStr">
        <is>
          <t>BA08</t>
        </is>
      </c>
      <c r="E412" t="inlineStr">
        <is>
          <t>Konvolut</t>
        </is>
      </c>
    </row>
    <row r="413">
      <c r="A413" t="inlineStr">
        <is>
          <t>BA08-42</t>
        </is>
      </c>
      <c r="B413" t="inlineStr">
        <is>
          <t>Feinkrepp glutrot, 29 Rollen (Marpa Jansen)</t>
        </is>
      </c>
      <c r="C413" t="inlineStr">
        <is>
          <t>Atelier</t>
        </is>
      </c>
      <c r="D413" t="inlineStr">
        <is>
          <t>BA08</t>
        </is>
      </c>
      <c r="E413" t="inlineStr">
        <is>
          <t>Konvolut</t>
        </is>
      </c>
    </row>
    <row r="414">
      <c r="A414" t="inlineStr">
        <is>
          <t>BA08-43</t>
        </is>
      </c>
      <c r="B414" t="inlineStr">
        <is>
          <t>Feinkrepp hellblau, 9 Rollen (Marpa Jansen)</t>
        </is>
      </c>
      <c r="C414" t="inlineStr">
        <is>
          <t>Atelier</t>
        </is>
      </c>
      <c r="D414" t="inlineStr">
        <is>
          <t>BA08</t>
        </is>
      </c>
      <c r="E414" t="inlineStr">
        <is>
          <t>Konvolut</t>
        </is>
      </c>
    </row>
    <row r="415">
      <c r="A415" t="inlineStr">
        <is>
          <t>BA08-44</t>
        </is>
      </c>
      <c r="B415" t="inlineStr">
        <is>
          <t>Feinkrepp grün und blau, 7 Rollen (Marpa Jansen)</t>
        </is>
      </c>
      <c r="C415" t="inlineStr">
        <is>
          <t>Atelier</t>
        </is>
      </c>
      <c r="D415" t="inlineStr">
        <is>
          <t>BA08</t>
        </is>
      </c>
      <c r="E415" t="inlineStr">
        <is>
          <t>Konvolut</t>
        </is>
      </c>
    </row>
    <row r="416">
      <c r="A416" t="inlineStr">
        <is>
          <t>BA08-45</t>
        </is>
      </c>
      <c r="B416" t="inlineStr">
        <is>
          <t>Krepppapier gelb, 9 Rollen (Islong)</t>
        </is>
      </c>
      <c r="C416" t="inlineStr">
        <is>
          <t>Atelier</t>
        </is>
      </c>
      <c r="D416" t="inlineStr">
        <is>
          <t>BA08</t>
        </is>
      </c>
      <c r="E416" t="inlineStr">
        <is>
          <t>Konvolut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2026-10-08T13:40:39Z</dcterms:created>
  <dcterms:modified xmlns:dcterms="http://purl.org/dc/terms/" xmlns:xsi="http://www.w3.org/2001/XMLSchema-instance" xsi:type="dcterms:W3CDTF">2026-10-08T13:40:40Z</dcterms:modified>
</cp:coreProperties>
</file>