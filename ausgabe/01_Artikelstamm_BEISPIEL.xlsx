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stamm" sheetId="1" state="visible" r:id="rId1"/>
    <sheet name="Verkaufsübersicht" sheetId="2" state="visible" r:id="rId2"/>
    <sheet name="Legende" sheetId="3" state="visible" r:id="rId3"/>
  </sheets>
  <definedNames>
    <definedName name="_xlnm._FilterDatabase" localSheetId="0" hidden="1">'Artikelstamm'!$A$2:$AC$18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i val="1"/>
      <color rgb="00808080"/>
      <sz val="9"/>
    </font>
    <font>
      <name val="Arial"/>
      <b val="1"/>
      <color rgb="001F3864"/>
      <sz val="11"/>
    </font>
    <font>
      <name val="Arial"/>
      <b val="1"/>
      <sz val="10"/>
    </font>
    <font>
      <name val="Arial"/>
      <b val="1"/>
      <color rgb="001F3864"/>
      <sz val="14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6000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633A82"/>
      </patternFill>
    </fill>
    <fill>
      <patternFill patternType="solid">
        <fgColor rgb="000E5A6B"/>
      </patternFill>
    </fill>
    <fill>
      <patternFill patternType="solid">
        <fgColor rgb="002E5A9C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1" fontId="3" fillId="0" borderId="1" applyAlignment="1" pivotButton="0" quotePrefix="0" xfId="0">
      <alignment vertical="top"/>
    </xf>
    <xf numFmtId="1" fontId="3" fillId="9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164" fontId="3" fillId="9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1" fontId="3" fillId="0" borderId="0" applyAlignment="1" pivotButton="0" quotePrefix="0" xfId="0">
      <alignment horizontal="right"/>
    </xf>
    <xf numFmtId="0" fontId="7" fillId="0" borderId="0" pivotButton="0" quotePrefix="0" xfId="0"/>
    <xf numFmtId="164" fontId="7" fillId="1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" fontId="7" fillId="10" borderId="0" applyAlignment="1" pivotButton="0" quotePrefix="0" xfId="0">
      <alignment horizontal="right"/>
    </xf>
    <xf numFmtId="0" fontId="2" fillId="8" borderId="0" pivotButton="0" quotePrefix="0" xfId="0"/>
    <xf numFmtId="1" fontId="3" fillId="0" borderId="0" pivotButton="0" quotePrefix="0" xfId="0"/>
    <xf numFmtId="164" fontId="3" fillId="0" borderId="0" pivotButton="0" quotePrefix="0" xfId="0"/>
    <xf numFmtId="1" fontId="7" fillId="10" borderId="0" pivotButton="0" quotePrefix="0" xfId="0"/>
    <xf numFmtId="164" fontId="7" fillId="1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bgColor rgb="00E2EFDA"/>
        </patternFill>
      </fill>
    </dxf>
    <dxf>
      <fill>
        <patternFill patternType="solid">
          <bgColor rgb="00FFF2CC"/>
        </patternFill>
      </fill>
    </dxf>
    <dxf>
      <fill>
        <patternFill patternType="solid"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52" customWidth="1" min="3" max="3"/>
    <col width="18" customWidth="1" min="4" max="4"/>
    <col width="18" customWidth="1" min="5" max="5"/>
    <col width="8" customWidth="1" min="6" max="6"/>
    <col width="12" customWidth="1" min="7" max="7"/>
    <col width="11" customWidth="1" min="8" max="8"/>
    <col width="10" customWidth="1" min="9" max="9"/>
    <col width="14" customWidth="1" min="10" max="10"/>
    <col width="11" customWidth="1" min="11" max="11"/>
    <col width="12" customWidth="1" min="12" max="12"/>
    <col width="17" customWidth="1" min="13" max="13"/>
    <col width="14" customWidth="1" min="14" max="14"/>
    <col width="11" customWidth="1" min="15" max="15"/>
    <col width="16" customWidth="1" min="16" max="16"/>
    <col width="14" customWidth="1" min="17" max="17"/>
    <col width="12" customWidth="1" min="18" max="18"/>
    <col width="14" customWidth="1" min="19" max="19"/>
    <col width="22" customWidth="1" min="20" max="20"/>
    <col width="17" customWidth="1" min="21" max="21"/>
    <col width="14" customWidth="1" min="22" max="22"/>
    <col width="14" customWidth="1" min="23" max="23"/>
    <col width="24" customWidth="1" min="24" max="24"/>
    <col width="14" customWidth="1" min="25" max="25"/>
    <col width="11" customWidth="1" min="26" max="26"/>
    <col width="13" customWidth="1" min="27" max="27"/>
    <col width="13" customWidth="1" min="28" max="28"/>
    <col width="36" customWidth="1" min="29" max="29"/>
  </cols>
  <sheetData>
    <row r="1" ht="16" customHeight="1">
      <c r="A1" s="1" t="inlineStr">
        <is>
          <t>STAMMDATEN</t>
        </is>
      </c>
      <c r="K1" s="2" t="inlineStr">
        <is>
          <t>BUCHHALTUNG</t>
        </is>
      </c>
      <c r="N1" s="3" t="inlineStr">
        <is>
          <t>PREIS</t>
        </is>
      </c>
      <c r="P1" s="4" t="inlineStr">
        <is>
          <t>VERMARKTUNG</t>
        </is>
      </c>
      <c r="U1" s="5" t="inlineStr">
        <is>
          <t>VERKAUF</t>
        </is>
      </c>
      <c r="Y1" s="6" t="inlineStr">
        <is>
          <t>KAUFMÄNNISCH</t>
        </is>
      </c>
    </row>
    <row r="2" ht="30" customHeight="1">
      <c r="A2" s="7" t="inlineStr">
        <is>
          <t>ArtNr</t>
        </is>
      </c>
      <c r="B2" s="7" t="inlineStr">
        <is>
          <t>Bezeichnung</t>
        </is>
      </c>
      <c r="C2" s="7" t="inlineStr">
        <is>
          <t>Beschreibung</t>
        </is>
      </c>
      <c r="D2" s="7" t="inlineStr">
        <is>
          <t>Kategorie</t>
        </is>
      </c>
      <c r="E2" s="7" t="inlineStr">
        <is>
          <t>Raum</t>
        </is>
      </c>
      <c r="F2" s="7" t="inlineStr">
        <is>
          <t>Menge</t>
        </is>
      </c>
      <c r="G2" s="7" t="inlineStr">
        <is>
          <t>Verkauft_Menge</t>
        </is>
      </c>
      <c r="H2" s="7" t="inlineStr">
        <is>
          <t>Restmenge</t>
        </is>
      </c>
      <c r="I2" s="7" t="inlineStr">
        <is>
          <t>Einheit</t>
        </is>
      </c>
      <c r="J2" s="7" t="inlineStr">
        <is>
          <t>Zustand</t>
        </is>
      </c>
      <c r="K2" s="7" t="inlineStr">
        <is>
          <t>Anschaffungsjahr</t>
        </is>
      </c>
      <c r="L2" s="7" t="inlineStr">
        <is>
          <t>Anlagennr</t>
        </is>
      </c>
      <c r="M2" s="7" t="inlineStr">
        <is>
          <t>Anschaffungswert_netto</t>
        </is>
      </c>
      <c r="N2" s="7" t="inlineStr">
        <is>
          <t>Preis_netto</t>
        </is>
      </c>
      <c r="O2" s="7" t="inlineStr">
        <is>
          <t>Preisbasis</t>
        </is>
      </c>
      <c r="P2" s="7" t="inlineStr">
        <is>
          <t>Versand</t>
        </is>
      </c>
      <c r="Q2" s="7" t="inlineStr">
        <is>
          <t>Foto</t>
        </is>
      </c>
      <c r="R2" s="7" t="inlineStr">
        <is>
          <t>Status</t>
        </is>
      </c>
      <c r="S2" s="7" t="inlineStr">
        <is>
          <t>Kanal</t>
        </is>
      </c>
      <c r="T2" s="7" t="inlineStr">
        <is>
          <t>Reserviert_für</t>
        </is>
      </c>
      <c r="U2" s="7" t="inlineStr">
        <is>
          <t>Verkaufspreis_netto</t>
        </is>
      </c>
      <c r="V2" s="7" t="inlineStr">
        <is>
          <t>Umsatz_netto</t>
        </is>
      </c>
      <c r="W2" s="7" t="inlineStr">
        <is>
          <t>Verkaufsdatum</t>
        </is>
      </c>
      <c r="X2" s="7" t="inlineStr">
        <is>
          <t>Käufer</t>
        </is>
      </c>
      <c r="Y2" s="7" t="inlineStr">
        <is>
          <t>Rechnungsnr</t>
        </is>
      </c>
      <c r="Z2" s="7" t="inlineStr">
        <is>
          <t>Zahlung</t>
        </is>
      </c>
      <c r="AA2" s="7" t="inlineStr">
        <is>
          <t>Zahlart</t>
        </is>
      </c>
      <c r="AB2" s="7" t="inlineStr">
        <is>
          <t>Abholtermin</t>
        </is>
      </c>
      <c r="AC2" s="7" t="inlineStr">
        <is>
          <t>Bemerkung</t>
        </is>
      </c>
    </row>
    <row r="3" ht="30" customHeight="1">
      <c r="A3" s="8" t="inlineStr">
        <is>
          <t>K-001</t>
        </is>
      </c>
      <c r="B3" s="8" t="inlineStr">
        <is>
          <t>Garderobenbank mit Hakenleiste</t>
        </is>
      </c>
      <c r="C3" s="9" t="inlineStr">
        <is>
          <t>Buche massiv, 6 Plätze, B 120 x H 140 x T 35 cm, Sitzbank mit Schuhablage</t>
        </is>
      </c>
      <c r="D3" s="8" t="inlineStr">
        <is>
          <t>Möbel</t>
        </is>
      </c>
      <c r="E3" s="8" t="inlineStr">
        <is>
          <t>Flur EG</t>
        </is>
      </c>
      <c r="F3" s="10" t="n">
        <v>12</v>
      </c>
      <c r="G3" s="11" t="n"/>
      <c r="H3" s="10">
        <f>F3-IF(G3="",0,G3)</f>
        <v/>
      </c>
      <c r="I3" s="8" t="inlineStr">
        <is>
          <t>Stück</t>
        </is>
      </c>
      <c r="J3" s="8" t="inlineStr">
        <is>
          <t>gut</t>
        </is>
      </c>
      <c r="K3" s="8" t="inlineStr">
        <is>
          <t>2009</t>
        </is>
      </c>
      <c r="L3" s="8" t="inlineStr">
        <is>
          <t>AV-0112</t>
        </is>
      </c>
      <c r="M3" s="12" t="n">
        <v>340</v>
      </c>
      <c r="N3" s="13" t="n">
        <v>85</v>
      </c>
      <c r="O3" s="8" t="inlineStr">
        <is>
          <t>Fix</t>
        </is>
      </c>
      <c r="P3" s="8" t="inlineStr">
        <is>
          <t>nur Abholung</t>
        </is>
      </c>
      <c r="Q3" s="8" t="inlineStr">
        <is>
          <t>K-001.jpg</t>
        </is>
      </c>
      <c r="R3" s="14" t="inlineStr">
        <is>
          <t>verfügbar</t>
        </is>
      </c>
      <c r="S3" s="14" t="inlineStr">
        <is>
          <t>Klinik</t>
        </is>
      </c>
      <c r="T3" s="14" t="n"/>
      <c r="U3" s="13" t="n"/>
      <c r="V3" s="12">
        <f>IF(G3="","",G3*U3)</f>
        <v/>
      </c>
      <c r="W3" s="8" t="n"/>
      <c r="X3" s="8" t="n"/>
      <c r="Y3" s="14" t="n"/>
      <c r="Z3" s="14" t="n"/>
      <c r="AA3" s="8" t="n"/>
      <c r="AB3" s="14" t="n"/>
      <c r="AC3" s="9" t="inlineStr">
        <is>
          <t>2 Stück mit leichten Kratzern</t>
        </is>
      </c>
    </row>
    <row r="4" ht="30" customHeight="1">
      <c r="A4" s="8" t="inlineStr">
        <is>
          <t>K-002</t>
        </is>
      </c>
      <c r="B4" s="8" t="inlineStr">
        <is>
          <t>Kindertisch trapezförmig</t>
        </is>
      </c>
      <c r="C4" s="9" t="inlineStr">
        <is>
          <t>Buche, 120 x 60 cm, Höhe 53 cm, kombinierbar zu Sechseck</t>
        </is>
      </c>
      <c r="D4" s="8" t="inlineStr">
        <is>
          <t>Möbel</t>
        </is>
      </c>
      <c r="E4" s="8" t="inlineStr">
        <is>
          <t>Gruppenraum 1-3</t>
        </is>
      </c>
      <c r="F4" s="10" t="n">
        <v>18</v>
      </c>
      <c r="G4" s="11" t="n"/>
      <c r="H4" s="10">
        <f>F4-IF(G4="",0,G4)</f>
        <v/>
      </c>
      <c r="I4" s="8" t="inlineStr">
        <is>
          <t>Stück</t>
        </is>
      </c>
      <c r="J4" s="8" t="inlineStr">
        <is>
          <t>gut</t>
        </is>
      </c>
      <c r="K4" s="8" t="inlineStr">
        <is>
          <t>2010</t>
        </is>
      </c>
      <c r="L4" s="8" t="inlineStr">
        <is>
          <t>AV-0118</t>
        </is>
      </c>
      <c r="M4" s="12" t="n">
        <v>180</v>
      </c>
      <c r="N4" s="13" t="n">
        <v>45</v>
      </c>
      <c r="O4" s="8" t="inlineStr">
        <is>
          <t>Fix</t>
        </is>
      </c>
      <c r="P4" s="8" t="inlineStr">
        <is>
          <t>nur Abholung</t>
        </is>
      </c>
      <c r="Q4" s="8" t="inlineStr">
        <is>
          <t>K-002.jpg</t>
        </is>
      </c>
      <c r="R4" s="14" t="inlineStr">
        <is>
          <t>verfügbar</t>
        </is>
      </c>
      <c r="S4" s="14" t="inlineStr">
        <is>
          <t>Klinik</t>
        </is>
      </c>
      <c r="T4" s="14" t="n"/>
      <c r="U4" s="13" t="n"/>
      <c r="V4" s="12">
        <f>IF(G4="","",G4*U4)</f>
        <v/>
      </c>
      <c r="W4" s="8" t="n"/>
      <c r="X4" s="8" t="n"/>
      <c r="Y4" s="14" t="n"/>
      <c r="Z4" s="14" t="n"/>
      <c r="AA4" s="8" t="n"/>
      <c r="AB4" s="14" t="n"/>
      <c r="AC4" s="9" t="n"/>
    </row>
    <row r="5" ht="30" customHeight="1">
      <c r="A5" s="8" t="inlineStr">
        <is>
          <t>K-003</t>
        </is>
      </c>
      <c r="B5" s="8" t="inlineStr">
        <is>
          <t>Kinderstuhl Holz</t>
        </is>
      </c>
      <c r="C5" s="9" t="inlineStr">
        <is>
          <t>Buche, Sitzhöhe 34 cm, stapelbar</t>
        </is>
      </c>
      <c r="D5" s="8" t="inlineStr">
        <is>
          <t>Möbel</t>
        </is>
      </c>
      <c r="E5" s="8" t="inlineStr">
        <is>
          <t>Gruppenraum 1-3</t>
        </is>
      </c>
      <c r="F5" s="10" t="n">
        <v>64</v>
      </c>
      <c r="G5" s="11" t="n"/>
      <c r="H5" s="10">
        <f>F5-IF(G5="",0,G5)</f>
        <v/>
      </c>
      <c r="I5" s="8" t="inlineStr">
        <is>
          <t>Stück</t>
        </is>
      </c>
      <c r="J5" s="8" t="inlineStr">
        <is>
          <t>gebraucht</t>
        </is>
      </c>
      <c r="K5" s="8" t="inlineStr">
        <is>
          <t>2010</t>
        </is>
      </c>
      <c r="L5" s="8" t="inlineStr">
        <is>
          <t>AV-0119</t>
        </is>
      </c>
      <c r="M5" s="12" t="n">
        <v>48</v>
      </c>
      <c r="N5" s="13" t="n">
        <v>12</v>
      </c>
      <c r="O5" s="8" t="inlineStr">
        <is>
          <t>Fix</t>
        </is>
      </c>
      <c r="P5" s="8" t="inlineStr">
        <is>
          <t>Versand möglich</t>
        </is>
      </c>
      <c r="Q5" s="8" t="inlineStr">
        <is>
          <t>K-003.jpg</t>
        </is>
      </c>
      <c r="R5" s="14" t="inlineStr">
        <is>
          <t>verfügbar</t>
        </is>
      </c>
      <c r="S5" s="14" t="inlineStr">
        <is>
          <t>Klinik</t>
        </is>
      </c>
      <c r="T5" s="14" t="n"/>
      <c r="U5" s="13" t="n"/>
      <c r="V5" s="12">
        <f>IF(G5="","",G5*U5)</f>
        <v/>
      </c>
      <c r="W5" s="8" t="n"/>
      <c r="X5" s="8" t="n"/>
      <c r="Y5" s="14" t="n"/>
      <c r="Z5" s="14" t="n"/>
      <c r="AA5" s="8" t="n"/>
      <c r="AB5" s="14" t="n"/>
      <c r="AC5" s="9" t="inlineStr">
        <is>
          <t>Mengenrabatt ab 20 Stück möglich</t>
        </is>
      </c>
    </row>
    <row r="6" ht="30" customHeight="1">
      <c r="A6" s="8" t="inlineStr">
        <is>
          <t>K-004</t>
        </is>
      </c>
      <c r="B6" s="8" t="inlineStr">
        <is>
          <t>Rollcontainer Materialwagen</t>
        </is>
      </c>
      <c r="C6" s="9" t="inlineStr">
        <is>
          <t>Weiß, 4 Schubladen, abschließbar, auf Rollen, B 40 x H 60 cm</t>
        </is>
      </c>
      <c r="D6" s="8" t="inlineStr">
        <is>
          <t>Möbel</t>
        </is>
      </c>
      <c r="E6" s="8" t="inlineStr">
        <is>
          <t>Gruppenraum 2</t>
        </is>
      </c>
      <c r="F6" s="10" t="n">
        <v>6</v>
      </c>
      <c r="G6" s="11" t="n"/>
      <c r="H6" s="10">
        <f>F6-IF(G6="",0,G6)</f>
        <v/>
      </c>
      <c r="I6" s="8" t="inlineStr">
        <is>
          <t>Stück</t>
        </is>
      </c>
      <c r="J6" s="8" t="inlineStr">
        <is>
          <t>gut</t>
        </is>
      </c>
      <c r="K6" s="8" t="inlineStr">
        <is>
          <t>2014</t>
        </is>
      </c>
      <c r="L6" s="8" t="inlineStr">
        <is>
          <t>AV-0231</t>
        </is>
      </c>
      <c r="M6" s="12" t="n">
        <v>210</v>
      </c>
      <c r="N6" s="13" t="n">
        <v>60</v>
      </c>
      <c r="O6" s="8" t="inlineStr">
        <is>
          <t>Fix</t>
        </is>
      </c>
      <c r="P6" s="8" t="inlineStr">
        <is>
          <t>Versand möglich</t>
        </is>
      </c>
      <c r="Q6" s="8" t="inlineStr">
        <is>
          <t>K-004.jpg</t>
        </is>
      </c>
      <c r="R6" s="14" t="inlineStr">
        <is>
          <t>reserviert</t>
        </is>
      </c>
      <c r="S6" s="14" t="inlineStr">
        <is>
          <t>Klinik</t>
        </is>
      </c>
      <c r="T6" s="14" t="inlineStr">
        <is>
          <t>Klinikum Musterstadt</t>
        </is>
      </c>
      <c r="U6" s="13" t="n"/>
      <c r="V6" s="12">
        <f>IF(G6="","",G6*U6)</f>
        <v/>
      </c>
      <c r="W6" s="8" t="n"/>
      <c r="X6" s="8" t="n"/>
      <c r="Y6" s="14" t="n"/>
      <c r="Z6" s="14" t="n"/>
      <c r="AA6" s="8" t="n"/>
      <c r="AB6" s="14" t="n"/>
      <c r="AC6" s="9" t="inlineStr">
        <is>
          <t>Reservierung bis 30.09.</t>
        </is>
      </c>
    </row>
    <row r="7" ht="30" customHeight="1">
      <c r="A7" s="8" t="inlineStr">
        <is>
          <t>K-005</t>
        </is>
      </c>
      <c r="B7" s="8" t="inlineStr">
        <is>
          <t>Wickelkommode mit Aufstiegstreppe</t>
        </is>
      </c>
      <c r="C7" s="9" t="inlineStr">
        <is>
          <t>Mit ausziehbarer Treppe, Wickelauflage, 2 Ablagefächer, B 100 x H 100 cm</t>
        </is>
      </c>
      <c r="D7" s="8" t="inlineStr">
        <is>
          <t>Möbel</t>
        </is>
      </c>
      <c r="E7" s="8" t="inlineStr">
        <is>
          <t>Waschraum</t>
        </is>
      </c>
      <c r="F7" s="10" t="n">
        <v>2</v>
      </c>
      <c r="G7" s="11" t="n"/>
      <c r="H7" s="10">
        <f>F7-IF(G7="",0,G7)</f>
        <v/>
      </c>
      <c r="I7" s="8" t="inlineStr">
        <is>
          <t>Stück</t>
        </is>
      </c>
      <c r="J7" s="8" t="inlineStr">
        <is>
          <t>gut</t>
        </is>
      </c>
      <c r="K7" s="8" t="inlineStr">
        <is>
          <t>2015</t>
        </is>
      </c>
      <c r="L7" s="8" t="inlineStr">
        <is>
          <t>AV-0288</t>
        </is>
      </c>
      <c r="M7" s="12" t="n">
        <v>890</v>
      </c>
      <c r="N7" s="13" t="n">
        <v>320</v>
      </c>
      <c r="O7" s="8" t="inlineStr">
        <is>
          <t>VHB</t>
        </is>
      </c>
      <c r="P7" s="8" t="inlineStr">
        <is>
          <t>nur Abholung</t>
        </is>
      </c>
      <c r="Q7" s="8" t="inlineStr">
        <is>
          <t>K-005.jpg</t>
        </is>
      </c>
      <c r="R7" s="14" t="inlineStr">
        <is>
          <t>verfügbar</t>
        </is>
      </c>
      <c r="S7" s="14" t="inlineStr">
        <is>
          <t>Klinik</t>
        </is>
      </c>
      <c r="T7" s="14" t="n"/>
      <c r="U7" s="13" t="n"/>
      <c r="V7" s="12">
        <f>IF(G7="","",G7*U7)</f>
        <v/>
      </c>
      <c r="W7" s="8" t="n"/>
      <c r="X7" s="8" t="n"/>
      <c r="Y7" s="14" t="n"/>
      <c r="Z7" s="14" t="n"/>
      <c r="AA7" s="8" t="n"/>
      <c r="AB7" s="14" t="n"/>
      <c r="AC7" s="9" t="inlineStr">
        <is>
          <t>Für Kinderstation interessant</t>
        </is>
      </c>
    </row>
    <row r="8" ht="30" customHeight="1">
      <c r="A8" s="8" t="inlineStr">
        <is>
          <t>K-006</t>
        </is>
      </c>
      <c r="B8" s="8" t="inlineStr">
        <is>
          <t>Ruheliege stapelbar</t>
        </is>
      </c>
      <c r="C8" s="9" t="inlineStr">
        <is>
          <t>Stapelliege, Metallrahmen mit Netzbespannung, 130 x 60 cm</t>
        </is>
      </c>
      <c r="D8" s="8" t="inlineStr">
        <is>
          <t>Möbel</t>
        </is>
      </c>
      <c r="E8" s="8" t="inlineStr">
        <is>
          <t>Schlafraum</t>
        </is>
      </c>
      <c r="F8" s="10" t="n">
        <v>20</v>
      </c>
      <c r="G8" s="11" t="n"/>
      <c r="H8" s="10">
        <f>F8-IF(G8="",0,G8)</f>
        <v/>
      </c>
      <c r="I8" s="8" t="inlineStr">
        <is>
          <t>Stück</t>
        </is>
      </c>
      <c r="J8" s="8" t="inlineStr">
        <is>
          <t>gebraucht</t>
        </is>
      </c>
      <c r="K8" s="8" t="inlineStr">
        <is>
          <t>2011</t>
        </is>
      </c>
      <c r="L8" s="8" t="inlineStr">
        <is>
          <t>GWG-0421</t>
        </is>
      </c>
      <c r="M8" s="12" t="n">
        <v>65</v>
      </c>
      <c r="N8" s="13" t="n">
        <v>18</v>
      </c>
      <c r="O8" s="8" t="inlineStr">
        <is>
          <t>Fix</t>
        </is>
      </c>
      <c r="P8" s="8" t="inlineStr">
        <is>
          <t>Versand möglich</t>
        </is>
      </c>
      <c r="Q8" s="8" t="inlineStr">
        <is>
          <t>K-006.jpg</t>
        </is>
      </c>
      <c r="R8" s="14" t="inlineStr">
        <is>
          <t>verfügbar</t>
        </is>
      </c>
      <c r="S8" s="14" t="inlineStr">
        <is>
          <t>Kleinanzeigen</t>
        </is>
      </c>
      <c r="T8" s="14" t="n"/>
      <c r="U8" s="13" t="n"/>
      <c r="V8" s="12">
        <f>IF(G8="","",G8*U8)</f>
        <v/>
      </c>
      <c r="W8" s="8" t="n"/>
      <c r="X8" s="8" t="n"/>
      <c r="Y8" s="14" t="n"/>
      <c r="Z8" s="14" t="n"/>
      <c r="AA8" s="8" t="n"/>
      <c r="AB8" s="14" t="n"/>
      <c r="AC8" s="9" t="n"/>
    </row>
    <row r="9" ht="30" customHeight="1">
      <c r="A9" s="8" t="inlineStr">
        <is>
          <t>K-007</t>
        </is>
      </c>
      <c r="B9" s="8" t="inlineStr">
        <is>
          <t>Spielteppich groß</t>
        </is>
      </c>
      <c r="C9" s="9" t="inlineStr">
        <is>
          <t>200 x 300 cm, Motiv Straßenverkehr, gereinigt</t>
        </is>
      </c>
      <c r="D9" s="8" t="inlineStr">
        <is>
          <t>Spielmaterial</t>
        </is>
      </c>
      <c r="E9" s="8" t="inlineStr">
        <is>
          <t>Gruppenraum 1</t>
        </is>
      </c>
      <c r="F9" s="10" t="n">
        <v>3</v>
      </c>
      <c r="G9" s="11" t="n"/>
      <c r="H9" s="10">
        <f>F9-IF(G9="",0,G9)</f>
        <v/>
      </c>
      <c r="I9" s="8" t="inlineStr">
        <is>
          <t>Stück</t>
        </is>
      </c>
      <c r="J9" s="8" t="inlineStr">
        <is>
          <t>gebraucht</t>
        </is>
      </c>
      <c r="K9" s="8" t="inlineStr">
        <is>
          <t>2016</t>
        </is>
      </c>
      <c r="L9" s="8" t="n"/>
      <c r="M9" s="12" t="n"/>
      <c r="N9" s="13" t="n">
        <v>35</v>
      </c>
      <c r="O9" s="8" t="inlineStr">
        <is>
          <t>VHB</t>
        </is>
      </c>
      <c r="P9" s="8" t="inlineStr">
        <is>
          <t>Versand möglich</t>
        </is>
      </c>
      <c r="Q9" s="8" t="inlineStr">
        <is>
          <t>K-007.jpg</t>
        </is>
      </c>
      <c r="R9" s="14" t="inlineStr">
        <is>
          <t>verfügbar</t>
        </is>
      </c>
      <c r="S9" s="14" t="inlineStr">
        <is>
          <t>Klinik</t>
        </is>
      </c>
      <c r="T9" s="14" t="n"/>
      <c r="U9" s="13" t="n"/>
      <c r="V9" s="12">
        <f>IF(G9="","",G9*U9)</f>
        <v/>
      </c>
      <c r="W9" s="8" t="n"/>
      <c r="X9" s="8" t="n"/>
      <c r="Y9" s="14" t="n"/>
      <c r="Z9" s="14" t="n"/>
      <c r="AA9" s="8" t="n"/>
      <c r="AB9" s="14" t="n"/>
      <c r="AC9" s="9" t="n"/>
    </row>
    <row r="10" ht="30" customHeight="1">
      <c r="A10" s="8" t="inlineStr">
        <is>
          <t>K-008</t>
        </is>
      </c>
      <c r="B10" s="8" t="inlineStr">
        <is>
          <t>Karton Acrylfarben</t>
        </is>
      </c>
      <c r="C10" s="9" t="inlineStr">
        <is>
          <t>ca. 40 Flaschen à 500 ml, verschiedene Farben, ungeöffnet</t>
        </is>
      </c>
      <c r="D10" s="8" t="inlineStr">
        <is>
          <t>Verbrauchsmaterial</t>
        </is>
      </c>
      <c r="E10" s="8" t="inlineStr">
        <is>
          <t>Lager</t>
        </is>
      </c>
      <c r="F10" s="10" t="n">
        <v>3</v>
      </c>
      <c r="G10" s="11" t="n"/>
      <c r="H10" s="10">
        <f>F10-IF(G10="",0,G10)</f>
        <v/>
      </c>
      <c r="I10" s="8" t="inlineStr">
        <is>
          <t>Karton</t>
        </is>
      </c>
      <c r="J10" s="8" t="inlineStr">
        <is>
          <t>neuwertig</t>
        </is>
      </c>
      <c r="K10" s="8" t="inlineStr">
        <is>
          <t>2024</t>
        </is>
      </c>
      <c r="L10" s="8" t="n"/>
      <c r="M10" s="12" t="n"/>
      <c r="N10" s="13" t="n">
        <v>95</v>
      </c>
      <c r="O10" s="8" t="inlineStr">
        <is>
          <t>Fix</t>
        </is>
      </c>
      <c r="P10" s="8" t="inlineStr">
        <is>
          <t>Versand möglich</t>
        </is>
      </c>
      <c r="Q10" s="8" t="inlineStr">
        <is>
          <t>K-008.jpg</t>
        </is>
      </c>
      <c r="R10" s="14" t="inlineStr">
        <is>
          <t>verfügbar</t>
        </is>
      </c>
      <c r="S10" s="14" t="inlineStr">
        <is>
          <t>Klinik</t>
        </is>
      </c>
      <c r="T10" s="14" t="n"/>
      <c r="U10" s="13" t="n"/>
      <c r="V10" s="12">
        <f>IF(G10="","",G10*U10)</f>
        <v/>
      </c>
      <c r="W10" s="8" t="n"/>
      <c r="X10" s="8" t="n"/>
      <c r="Y10" s="14" t="n"/>
      <c r="Z10" s="14" t="n"/>
      <c r="AA10" s="8" t="n"/>
      <c r="AB10" s="14" t="n"/>
      <c r="AC10" s="9" t="inlineStr">
        <is>
          <t>Haltbarkeit geprüft</t>
        </is>
      </c>
    </row>
    <row r="11" ht="30" customHeight="1">
      <c r="A11" s="8" t="inlineStr">
        <is>
          <t>K-009</t>
        </is>
      </c>
      <c r="B11" s="8" t="inlineStr">
        <is>
          <t>Karton gemischtes Spielzeug</t>
        </is>
      </c>
      <c r="C11" s="9" t="inlineStr">
        <is>
          <t>Bausteine, Fahrzeuge, Puzzles, Steckspiele - gereinigt, vollständig geprüfte Sets</t>
        </is>
      </c>
      <c r="D11" s="8" t="inlineStr">
        <is>
          <t>Spielmaterial</t>
        </is>
      </c>
      <c r="E11" s="8" t="inlineStr">
        <is>
          <t>Lager</t>
        </is>
      </c>
      <c r="F11" s="10" t="n">
        <v>12</v>
      </c>
      <c r="G11" s="11" t="n"/>
      <c r="H11" s="10">
        <f>F11-IF(G11="",0,G11)</f>
        <v/>
      </c>
      <c r="I11" s="8" t="inlineStr">
        <is>
          <t>Karton</t>
        </is>
      </c>
      <c r="J11" s="8" t="inlineStr">
        <is>
          <t>gebraucht</t>
        </is>
      </c>
      <c r="K11" s="8" t="n"/>
      <c r="L11" s="8" t="n"/>
      <c r="M11" s="12" t="n"/>
      <c r="N11" s="13" t="n">
        <v>15</v>
      </c>
      <c r="O11" s="8" t="inlineStr">
        <is>
          <t>VHB</t>
        </is>
      </c>
      <c r="P11" s="8" t="inlineStr">
        <is>
          <t>Versand möglich</t>
        </is>
      </c>
      <c r="Q11" s="8" t="inlineStr">
        <is>
          <t>K-009.jpg</t>
        </is>
      </c>
      <c r="R11" s="14" t="inlineStr">
        <is>
          <t>verfügbar</t>
        </is>
      </c>
      <c r="S11" s="14" t="inlineStr">
        <is>
          <t>Klinik</t>
        </is>
      </c>
      <c r="T11" s="14" t="n"/>
      <c r="U11" s="13" t="n"/>
      <c r="V11" s="12">
        <f>IF(G11="","",G11*U11)</f>
        <v/>
      </c>
      <c r="W11" s="8" t="n"/>
      <c r="X11" s="8" t="n"/>
      <c r="Y11" s="14" t="n"/>
      <c r="Z11" s="14" t="n"/>
      <c r="AA11" s="8" t="n"/>
      <c r="AB11" s="14" t="n"/>
      <c r="AC11" s="9" t="inlineStr">
        <is>
          <t>Inhalt je Karton leicht unterschiedlich</t>
        </is>
      </c>
    </row>
    <row r="12" ht="30" customHeight="1">
      <c r="A12" s="8" t="inlineStr">
        <is>
          <t>K-010</t>
        </is>
      </c>
      <c r="B12" s="8" t="inlineStr">
        <is>
          <t>Gewerbespülmaschine Hobart</t>
        </is>
      </c>
      <c r="C12" s="9" t="inlineStr">
        <is>
          <t>Untertischgerät, Bj. 2016, gewartet 03/2025, 400 V</t>
        </is>
      </c>
      <c r="D12" s="8" t="inlineStr">
        <is>
          <t>Küchentechnik</t>
        </is>
      </c>
      <c r="E12" s="8" t="inlineStr">
        <is>
          <t>Küche</t>
        </is>
      </c>
      <c r="F12" s="10" t="n">
        <v>1</v>
      </c>
      <c r="G12" s="11" t="n"/>
      <c r="H12" s="10">
        <f>F12-IF(G12="",0,G12)</f>
        <v/>
      </c>
      <c r="I12" s="8" t="inlineStr">
        <is>
          <t>Stück</t>
        </is>
      </c>
      <c r="J12" s="8" t="inlineStr">
        <is>
          <t>gut</t>
        </is>
      </c>
      <c r="K12" s="8" t="inlineStr">
        <is>
          <t>2016</t>
        </is>
      </c>
      <c r="L12" s="8" t="inlineStr">
        <is>
          <t>AV-0301</t>
        </is>
      </c>
      <c r="M12" s="12" t="n">
        <v>3200</v>
      </c>
      <c r="N12" s="13" t="n">
        <v>1450</v>
      </c>
      <c r="O12" s="8" t="inlineStr">
        <is>
          <t>VHB</t>
        </is>
      </c>
      <c r="P12" s="8" t="inlineStr">
        <is>
          <t>nur Abholung</t>
        </is>
      </c>
      <c r="Q12" s="8" t="inlineStr">
        <is>
          <t>K-010.jpg</t>
        </is>
      </c>
      <c r="R12" s="14" t="inlineStr">
        <is>
          <t>verfügbar</t>
        </is>
      </c>
      <c r="S12" s="14" t="inlineStr">
        <is>
          <t>Klinik</t>
        </is>
      </c>
      <c r="T12" s="14" t="n"/>
      <c r="U12" s="13" t="n"/>
      <c r="V12" s="12">
        <f>IF(G12="","",G12*U12)</f>
        <v/>
      </c>
      <c r="W12" s="8" t="n"/>
      <c r="X12" s="8" t="n"/>
      <c r="Y12" s="14" t="n"/>
      <c r="Z12" s="14" t="n"/>
      <c r="AA12" s="8" t="n"/>
      <c r="AB12" s="14" t="n"/>
      <c r="AC12" s="9" t="inlineStr">
        <is>
          <t>Elektroanschluss durch Fachbetrieb</t>
        </is>
      </c>
    </row>
    <row r="13" ht="30" customHeight="1">
      <c r="A13" s="8" t="inlineStr">
        <is>
          <t>K-011</t>
        </is>
      </c>
      <c r="B13" s="8" t="inlineStr">
        <is>
          <t>Edelstahl-Arbeitstisch</t>
        </is>
      </c>
      <c r="C13" s="9" t="inlineStr">
        <is>
          <t>180 x 70 cm, mit Zwischenboden, höhenverstellbare Füße</t>
        </is>
      </c>
      <c r="D13" s="8" t="inlineStr">
        <is>
          <t>Küchentechnik</t>
        </is>
      </c>
      <c r="E13" s="8" t="inlineStr">
        <is>
          <t>Küche</t>
        </is>
      </c>
      <c r="F13" s="10" t="n">
        <v>3</v>
      </c>
      <c r="G13" s="11" t="n"/>
      <c r="H13" s="10">
        <f>F13-IF(G13="",0,G13)</f>
        <v/>
      </c>
      <c r="I13" s="8" t="inlineStr">
        <is>
          <t>Stück</t>
        </is>
      </c>
      <c r="J13" s="8" t="inlineStr">
        <is>
          <t>gut</t>
        </is>
      </c>
      <c r="K13" s="8" t="inlineStr">
        <is>
          <t>2016</t>
        </is>
      </c>
      <c r="L13" s="8" t="inlineStr">
        <is>
          <t>AV-0302</t>
        </is>
      </c>
      <c r="M13" s="12" t="n">
        <v>620</v>
      </c>
      <c r="N13" s="13" t="n">
        <v>180</v>
      </c>
      <c r="O13" s="8" t="inlineStr">
        <is>
          <t>Fix</t>
        </is>
      </c>
      <c r="P13" s="8" t="inlineStr">
        <is>
          <t>nur Abholung</t>
        </is>
      </c>
      <c r="Q13" s="8" t="inlineStr">
        <is>
          <t>K-011.jpg</t>
        </is>
      </c>
      <c r="R13" s="14" t="inlineStr">
        <is>
          <t>verfügbar</t>
        </is>
      </c>
      <c r="S13" s="14" t="inlineStr">
        <is>
          <t>Klinik</t>
        </is>
      </c>
      <c r="T13" s="14" t="n"/>
      <c r="U13" s="13" t="n"/>
      <c r="V13" s="12">
        <f>IF(G13="","",G13*U13)</f>
        <v/>
      </c>
      <c r="W13" s="8" t="n"/>
      <c r="X13" s="8" t="n"/>
      <c r="Y13" s="14" t="n"/>
      <c r="Z13" s="14" t="n"/>
      <c r="AA13" s="8" t="n"/>
      <c r="AB13" s="14" t="n"/>
      <c r="AC13" s="9" t="n"/>
    </row>
    <row r="14" ht="30" customHeight="1">
      <c r="A14" s="8" t="inlineStr">
        <is>
          <t>K-012</t>
        </is>
      </c>
      <c r="B14" s="8" t="inlineStr">
        <is>
          <t>Aktenschrank abschließbar</t>
        </is>
      </c>
      <c r="C14" s="9" t="inlineStr">
        <is>
          <t>Stahl, 4 Ordnerhöhen, grau, B 92 x H 195 cm</t>
        </is>
      </c>
      <c r="D14" s="8" t="inlineStr">
        <is>
          <t>Büro</t>
        </is>
      </c>
      <c r="E14" s="8" t="inlineStr">
        <is>
          <t>Büro Leitung</t>
        </is>
      </c>
      <c r="F14" s="10" t="n">
        <v>4</v>
      </c>
      <c r="G14" s="11" t="n">
        <v>2</v>
      </c>
      <c r="H14" s="10">
        <f>F14-IF(G14="",0,G14)</f>
        <v/>
      </c>
      <c r="I14" s="8" t="inlineStr">
        <is>
          <t>Stück</t>
        </is>
      </c>
      <c r="J14" s="8" t="inlineStr">
        <is>
          <t>gut</t>
        </is>
      </c>
      <c r="K14" s="8" t="inlineStr">
        <is>
          <t>2012</t>
        </is>
      </c>
      <c r="L14" s="8" t="inlineStr">
        <is>
          <t>AV-0155</t>
        </is>
      </c>
      <c r="M14" s="12" t="n">
        <v>390</v>
      </c>
      <c r="N14" s="13" t="n">
        <v>95</v>
      </c>
      <c r="O14" s="8" t="inlineStr">
        <is>
          <t>Fix</t>
        </is>
      </c>
      <c r="P14" s="8" t="inlineStr">
        <is>
          <t>nur Abholung</t>
        </is>
      </c>
      <c r="Q14" s="8" t="inlineStr">
        <is>
          <t>K-012.jpg</t>
        </is>
      </c>
      <c r="R14" s="14" t="inlineStr">
        <is>
          <t>verkauft</t>
        </is>
      </c>
      <c r="S14" s="14" t="inlineStr">
        <is>
          <t>Direkt</t>
        </is>
      </c>
      <c r="T14" s="14" t="n"/>
      <c r="U14" s="13" t="n">
        <v>95</v>
      </c>
      <c r="V14" s="12">
        <f>IF(G14="","",G14*U14)</f>
        <v/>
      </c>
      <c r="W14" s="8" t="inlineStr">
        <is>
          <t>08.09.2026</t>
        </is>
      </c>
      <c r="X14" s="8" t="inlineStr">
        <is>
          <t>Praxis Dr. Berger</t>
        </is>
      </c>
      <c r="Y14" s="14" t="inlineStr">
        <is>
          <t>RE-2026-0014</t>
        </is>
      </c>
      <c r="Z14" s="14" t="inlineStr">
        <is>
          <t>bezahlt</t>
        </is>
      </c>
      <c r="AA14" s="8" t="inlineStr">
        <is>
          <t>Überweisung</t>
        </is>
      </c>
      <c r="AB14" s="14" t="inlineStr">
        <is>
          <t>08.09.2026</t>
        </is>
      </c>
      <c r="AC14" s="9" t="n"/>
    </row>
    <row r="15" ht="30" customHeight="1">
      <c r="A15" s="8" t="inlineStr">
        <is>
          <t>K-013</t>
        </is>
      </c>
      <c r="B15" s="8" t="inlineStr">
        <is>
          <t>Schreibtisch höhenverstellbar</t>
        </is>
      </c>
      <c r="C15" s="9" t="inlineStr">
        <is>
          <t>160 x 80 cm, Kurbelverstellung, Ahorn</t>
        </is>
      </c>
      <c r="D15" s="8" t="inlineStr">
        <is>
          <t>Büro</t>
        </is>
      </c>
      <c r="E15" s="8" t="inlineStr">
        <is>
          <t>Büro Leitung</t>
        </is>
      </c>
      <c r="F15" s="10" t="n">
        <v>2</v>
      </c>
      <c r="G15" s="11" t="n">
        <v>1</v>
      </c>
      <c r="H15" s="10">
        <f>F15-IF(G15="",0,G15)</f>
        <v/>
      </c>
      <c r="I15" s="8" t="inlineStr">
        <is>
          <t>Stück</t>
        </is>
      </c>
      <c r="J15" s="8" t="inlineStr">
        <is>
          <t>gut</t>
        </is>
      </c>
      <c r="K15" s="8" t="inlineStr">
        <is>
          <t>2018</t>
        </is>
      </c>
      <c r="L15" s="8" t="inlineStr">
        <is>
          <t>AV-0344</t>
        </is>
      </c>
      <c r="M15" s="12" t="n">
        <v>450</v>
      </c>
      <c r="N15" s="13" t="n">
        <v>150</v>
      </c>
      <c r="O15" s="8" t="inlineStr">
        <is>
          <t>VHB</t>
        </is>
      </c>
      <c r="P15" s="8" t="inlineStr">
        <is>
          <t>nur Abholung</t>
        </is>
      </c>
      <c r="Q15" s="8" t="inlineStr">
        <is>
          <t>K-013.jpg</t>
        </is>
      </c>
      <c r="R15" s="14" t="inlineStr">
        <is>
          <t>verkauft</t>
        </is>
      </c>
      <c r="S15" s="14" t="inlineStr">
        <is>
          <t>Kleinanzeigen</t>
        </is>
      </c>
      <c r="T15" s="14" t="n"/>
      <c r="U15" s="13" t="n">
        <v>140</v>
      </c>
      <c r="V15" s="12">
        <f>IF(G15="","",G15*U15)</f>
        <v/>
      </c>
      <c r="W15" s="8" t="inlineStr">
        <is>
          <t>10.09.2026</t>
        </is>
      </c>
      <c r="X15" s="8" t="inlineStr">
        <is>
          <t>Herr Schmidt (privat)</t>
        </is>
      </c>
      <c r="Y15" s="14" t="inlineStr">
        <is>
          <t>RE-2026-0015</t>
        </is>
      </c>
      <c r="Z15" s="14" t="inlineStr">
        <is>
          <t>offen</t>
        </is>
      </c>
      <c r="AA15" s="8" t="inlineStr">
        <is>
          <t>bar</t>
        </is>
      </c>
      <c r="AB15" s="14" t="inlineStr">
        <is>
          <t>17.09.2026</t>
        </is>
      </c>
      <c r="AC15" s="9" t="inlineStr">
        <is>
          <t>Abholung vereinbart</t>
        </is>
      </c>
    </row>
    <row r="16" ht="30" customHeight="1">
      <c r="A16" s="8" t="inlineStr">
        <is>
          <t>K-014</t>
        </is>
      </c>
      <c r="B16" s="8" t="inlineStr">
        <is>
          <t>Sonnensegel Außenbereich</t>
        </is>
      </c>
      <c r="C16" s="9" t="inlineStr">
        <is>
          <t>5 x 5 m, mit 4 Bodenhülsen und Spannseilen</t>
        </is>
      </c>
      <c r="D16" s="8" t="inlineStr">
        <is>
          <t>Außenbereich</t>
        </is>
      </c>
      <c r="E16" s="8" t="inlineStr">
        <is>
          <t>Garten</t>
        </is>
      </c>
      <c r="F16" s="10" t="n">
        <v>1</v>
      </c>
      <c r="G16" s="11" t="n"/>
      <c r="H16" s="10">
        <f>F16-IF(G16="",0,G16)</f>
        <v/>
      </c>
      <c r="I16" s="8" t="inlineStr">
        <is>
          <t>Stück</t>
        </is>
      </c>
      <c r="J16" s="8" t="inlineStr">
        <is>
          <t>gebraucht</t>
        </is>
      </c>
      <c r="K16" s="8" t="inlineStr">
        <is>
          <t>2019</t>
        </is>
      </c>
      <c r="L16" s="8" t="inlineStr">
        <is>
          <t>GWG-0512</t>
        </is>
      </c>
      <c r="M16" s="12" t="n">
        <v>280</v>
      </c>
      <c r="N16" s="13" t="n">
        <v>90</v>
      </c>
      <c r="O16" s="8" t="inlineStr">
        <is>
          <t>VHB</t>
        </is>
      </c>
      <c r="P16" s="8" t="inlineStr">
        <is>
          <t>nur Abholung</t>
        </is>
      </c>
      <c r="Q16" s="8" t="inlineStr">
        <is>
          <t>K-014.jpg</t>
        </is>
      </c>
      <c r="R16" s="14" t="inlineStr">
        <is>
          <t>verfügbar</t>
        </is>
      </c>
      <c r="S16" s="14" t="inlineStr">
        <is>
          <t>Kleinanzeigen</t>
        </is>
      </c>
      <c r="T16" s="14" t="n"/>
      <c r="U16" s="13" t="n"/>
      <c r="V16" s="12">
        <f>IF(G16="","",G16*U16)</f>
        <v/>
      </c>
      <c r="W16" s="8" t="n"/>
      <c r="X16" s="8" t="n"/>
      <c r="Y16" s="14" t="n"/>
      <c r="Z16" s="14" t="n"/>
      <c r="AA16" s="8" t="n"/>
      <c r="AB16" s="14" t="n"/>
      <c r="AC16" s="9" t="inlineStr">
        <is>
          <t>Demontage durch Käufer</t>
        </is>
      </c>
    </row>
    <row r="17" ht="30" customHeight="1">
      <c r="A17" s="8" t="inlineStr">
        <is>
          <t>K-015</t>
        </is>
      </c>
      <c r="B17" s="8" t="inlineStr">
        <is>
          <t>Musikinstrumente-Set Orff</t>
        </is>
      </c>
      <c r="C17" s="9" t="inlineStr">
        <is>
          <t>Xylophone, Trommeln, Rasseln, Klangstäbe - im Holzwagen</t>
        </is>
      </c>
      <c r="D17" s="8" t="inlineStr">
        <is>
          <t>Musik</t>
        </is>
      </c>
      <c r="E17" s="8" t="inlineStr">
        <is>
          <t>Bewegungsraum</t>
        </is>
      </c>
      <c r="F17" s="10" t="n">
        <v>1</v>
      </c>
      <c r="G17" s="11" t="n">
        <v>1</v>
      </c>
      <c r="H17" s="10">
        <f>F17-IF(G17="",0,G17)</f>
        <v/>
      </c>
      <c r="I17" s="8" t="inlineStr">
        <is>
          <t>Set</t>
        </is>
      </c>
      <c r="J17" s="8" t="inlineStr">
        <is>
          <t>gut</t>
        </is>
      </c>
      <c r="K17" s="8" t="inlineStr">
        <is>
          <t>2013</t>
        </is>
      </c>
      <c r="L17" s="8" t="inlineStr">
        <is>
          <t>AV-0201</t>
        </is>
      </c>
      <c r="M17" s="12" t="n">
        <v>1100</v>
      </c>
      <c r="N17" s="13" t="n">
        <v>380</v>
      </c>
      <c r="O17" s="8" t="inlineStr">
        <is>
          <t>VHB</t>
        </is>
      </c>
      <c r="P17" s="8" t="inlineStr">
        <is>
          <t>nur Abholung</t>
        </is>
      </c>
      <c r="Q17" s="8" t="inlineStr">
        <is>
          <t>K-015.jpg</t>
        </is>
      </c>
      <c r="R17" s="14" t="inlineStr">
        <is>
          <t>verkauft</t>
        </is>
      </c>
      <c r="S17" s="14" t="inlineStr">
        <is>
          <t>Direkt</t>
        </is>
      </c>
      <c r="T17" s="14" t="n"/>
      <c r="U17" s="13" t="n">
        <v>380</v>
      </c>
      <c r="V17" s="12">
        <f>IF(G17="","",G17*U17)</f>
        <v/>
      </c>
      <c r="W17" s="8" t="inlineStr">
        <is>
          <t>05.09.2026</t>
        </is>
      </c>
      <c r="X17" s="8" t="inlineStr">
        <is>
          <t>Kita Sonnenschein e.V.</t>
        </is>
      </c>
      <c r="Y17" s="14" t="inlineStr">
        <is>
          <t>RE-2026-0012</t>
        </is>
      </c>
      <c r="Z17" s="14" t="inlineStr">
        <is>
          <t>bezahlt</t>
        </is>
      </c>
      <c r="AA17" s="8" t="inlineStr">
        <is>
          <t>Überweisung</t>
        </is>
      </c>
      <c r="AB17" s="14" t="inlineStr">
        <is>
          <t>05.09.2026</t>
        </is>
      </c>
      <c r="AC17" s="9" t="n"/>
    </row>
    <row r="18" ht="30" customHeight="1">
      <c r="A18" s="8" t="inlineStr">
        <is>
          <t>K-016</t>
        </is>
      </c>
      <c r="B18" s="8" t="inlineStr">
        <is>
          <t>Laptop Lenovo ThinkPad</t>
        </is>
      </c>
      <c r="C18" s="9" t="inlineStr">
        <is>
          <t>i5, 8 GB RAM, 256 GB SSD, Bj. 2020, ohne Betriebssystem, Datenträger gelöscht</t>
        </is>
      </c>
      <c r="D18" s="8" t="inlineStr">
        <is>
          <t>IT</t>
        </is>
      </c>
      <c r="E18" s="8" t="inlineStr">
        <is>
          <t>Büro Leitung</t>
        </is>
      </c>
      <c r="F18" s="10" t="n">
        <v>2</v>
      </c>
      <c r="G18" s="11" t="n"/>
      <c r="H18" s="10">
        <f>F18-IF(G18="",0,G18)</f>
        <v/>
      </c>
      <c r="I18" s="8" t="inlineStr">
        <is>
          <t>Stück</t>
        </is>
      </c>
      <c r="J18" s="8" t="inlineStr">
        <is>
          <t>gebraucht</t>
        </is>
      </c>
      <c r="K18" s="8" t="inlineStr">
        <is>
          <t>2020</t>
        </is>
      </c>
      <c r="L18" s="8" t="inlineStr">
        <is>
          <t>AV-0388</t>
        </is>
      </c>
      <c r="M18" s="12" t="n">
        <v>780</v>
      </c>
      <c r="N18" s="13" t="n">
        <v>210</v>
      </c>
      <c r="O18" s="8" t="inlineStr">
        <is>
          <t>Fix</t>
        </is>
      </c>
      <c r="P18" s="8" t="inlineStr">
        <is>
          <t>Versand möglich</t>
        </is>
      </c>
      <c r="Q18" s="8" t="inlineStr">
        <is>
          <t>K-016.jpg</t>
        </is>
      </c>
      <c r="R18" s="14" t="inlineStr">
        <is>
          <t>verfügbar</t>
        </is>
      </c>
      <c r="S18" s="14" t="inlineStr">
        <is>
          <t>eBay</t>
        </is>
      </c>
      <c r="T18" s="14" t="n"/>
      <c r="U18" s="13" t="n"/>
      <c r="V18" s="12">
        <f>IF(G18="","",G18*U18)</f>
        <v/>
      </c>
      <c r="W18" s="8" t="n"/>
      <c r="X18" s="8" t="n"/>
      <c r="Y18" s="14" t="n"/>
      <c r="Z18" s="14" t="n"/>
      <c r="AA18" s="8" t="n"/>
      <c r="AB18" s="14" t="n"/>
      <c r="AC18" s="9" t="inlineStr">
        <is>
          <t>Datenlöschung protokolliert</t>
        </is>
      </c>
    </row>
  </sheetData>
  <autoFilter ref="A2:AC18"/>
  <mergeCells count="6">
    <mergeCell ref="U1:X1"/>
    <mergeCell ref="A1:J1"/>
    <mergeCell ref="P1:T1"/>
    <mergeCell ref="Y1:AC1"/>
    <mergeCell ref="N1:O1"/>
    <mergeCell ref="K1:M1"/>
  </mergeCells>
  <conditionalFormatting sqref="R3:R18">
    <cfRule type="cellIs" priority="1" operator="equal" dxfId="0">
      <formula>"verfügbar"</formula>
    </cfRule>
    <cfRule type="cellIs" priority="2" operator="equal" dxfId="1">
      <formula>"reserviert"</formula>
    </cfRule>
    <cfRule type="cellIs" priority="3" operator="equal" dxfId="2">
      <formula>"verkauft"</formula>
    </cfRule>
  </conditionalFormatting>
  <dataValidations count="8">
    <dataValidation sqref="I3:I503" showDropDown="0" showInputMessage="0" showErrorMessage="0" allowBlank="1" type="list">
      <formula1>"Stück,Karton,Set,Palette,Konvolut,lfd. Meter"</formula1>
    </dataValidation>
    <dataValidation sqref="J3:J503" showDropDown="0" showInputMessage="0" showErrorMessage="0" allowBlank="1" type="list">
      <formula1>"neuwertig,gut,gebraucht,stark gebraucht,defekt"</formula1>
    </dataValidation>
    <dataValidation sqref="O3:O503" showDropDown="0" showInputMessage="0" showErrorMessage="0" allowBlank="1" type="list">
      <formula1>"Fix,VHB"</formula1>
    </dataValidation>
    <dataValidation sqref="P3:P503" showDropDown="0" showInputMessage="0" showErrorMessage="0" allowBlank="1" type="list">
      <formula1>"nur Abholung,Versand möglich,Spedition"</formula1>
    </dataValidation>
    <dataValidation sqref="R3:R503" showDropDown="0" showInputMessage="0" showErrorMessage="0" allowBlank="1" type="list">
      <formula1>"verfügbar,reserviert,verkauft,gespendet,entsorgt"</formula1>
    </dataValidation>
    <dataValidation sqref="S3:S503" showDropDown="0" showInputMessage="0" showErrorMessage="0" allowBlank="1" type="list">
      <formula1>"Klinik,Kleinanzeigen,eBay,Direkt,Händler,intern"</formula1>
    </dataValidation>
    <dataValidation sqref="Z3:Z503" showDropDown="0" showInputMessage="0" showErrorMessage="0" allowBlank="1" type="list">
      <formula1>"offen,bezahlt,teilbezahlt"</formula1>
    </dataValidation>
    <dataValidation sqref="AA3:AA503" showDropDown="0" showInputMessage="0" showErrorMessage="0" allowBlank="1" type="list">
      <formula1>"Überweisung,bar,PayPal"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5" t="inlineStr">
        <is>
          <t>Verkaufsübersicht – alle Werte rechnen automatisch aus dem Artikelstamm</t>
        </is>
      </c>
    </row>
    <row r="2">
      <c r="A2" s="16" t="inlineStr">
        <is>
          <t>Es muss nichts von Hand gepflegt werden. Wer im Artikelstamm einen Verkauf einträgt, sieht ihn sofort hier.</t>
        </is>
      </c>
    </row>
    <row r="4">
      <c r="A4" s="17" t="inlineStr">
        <is>
          <t>Bestand</t>
        </is>
      </c>
    </row>
    <row r="5">
      <c r="A5" s="18" t="inlineStr">
        <is>
          <t>Artikelpositionen gesamt</t>
        </is>
      </c>
      <c r="B5" s="19">
        <f>COUNTA(Artikelstamm!$A$3:$A$18)</f>
        <v/>
      </c>
    </row>
    <row r="6">
      <c r="A6" s="18" t="inlineStr">
        <is>
          <t>davon verfügbar</t>
        </is>
      </c>
      <c r="B6" s="19">
        <f>COUNTIF(Artikelstamm!$R$3:$R$18,"verfügbar")</f>
        <v/>
      </c>
    </row>
    <row r="7">
      <c r="A7" s="18" t="inlineStr">
        <is>
          <t>davon reserviert</t>
        </is>
      </c>
      <c r="B7" s="19">
        <f>COUNTIF(Artikelstamm!$R$3:$R$18,"reserviert")</f>
        <v/>
      </c>
    </row>
    <row r="8">
      <c r="A8" s="18" t="inlineStr">
        <is>
          <t>davon verkauft</t>
        </is>
      </c>
      <c r="B8" s="19">
        <f>COUNTIF(Artikelstamm!$R$3:$R$18,"verkauft")</f>
        <v/>
      </c>
    </row>
    <row r="9">
      <c r="A9" s="18" t="inlineStr">
        <is>
          <t>Einheiten noch im Bestand</t>
        </is>
      </c>
      <c r="B9" s="19">
        <f>SUM(Artikelstamm!$H$3:$H$18)</f>
        <v/>
      </c>
    </row>
    <row r="10">
      <c r="A10" s="20" t="inlineStr">
        <is>
          <t>Restbestand zu Wunschpreisen (netto)</t>
        </is>
      </c>
      <c r="B10" s="21">
        <f>SUMPRODUCT(Artikelstamm!$H$3:$H$18,Artikelstamm!$N$3:$N$18)</f>
        <v/>
      </c>
    </row>
    <row r="12">
      <c r="A12" s="17" t="inlineStr">
        <is>
          <t>Erlöse</t>
        </is>
      </c>
    </row>
    <row r="13">
      <c r="A13" s="18" t="inlineStr">
        <is>
          <t>Verkaufte Einheiten</t>
        </is>
      </c>
      <c r="B13" s="19">
        <f>SUM(Artikelstamm!$G$3:$G$18)</f>
        <v/>
      </c>
    </row>
    <row r="14">
      <c r="A14" s="18" t="inlineStr">
        <is>
          <t>Umsatz netto</t>
        </is>
      </c>
      <c r="B14" s="22">
        <f>SUMPRODUCT(Artikelstamm!$G$3:$G$18,Artikelstamm!$U$3:$U$18)</f>
        <v/>
      </c>
    </row>
    <row r="15">
      <c r="A15" s="18" t="inlineStr">
        <is>
          <t>zzgl. Umsatzsteuer 19 %</t>
        </is>
      </c>
      <c r="B15" s="22">
        <f>B14*0.19</f>
        <v/>
      </c>
    </row>
    <row r="16">
      <c r="A16" s="20" t="inlineStr">
        <is>
          <t>Umsatz brutto</t>
        </is>
      </c>
      <c r="B16" s="21">
        <f>B14+B15</f>
        <v/>
      </c>
    </row>
    <row r="17">
      <c r="A17" s="18" t="inlineStr">
        <is>
          <t>davon bereits bezahlt (netto)</t>
        </is>
      </c>
      <c r="B17" s="22">
        <f>SUMPRODUCT((Artikelstamm!$Z$3:$Z$18="bezahlt")*Artikelstamm!$G$3:$G$18*Artikelstamm!$U$3:$U$18)</f>
        <v/>
      </c>
    </row>
    <row r="18">
      <c r="A18" s="18" t="inlineStr">
        <is>
          <t>noch offen (netto)</t>
        </is>
      </c>
      <c r="B18" s="22">
        <f>B14-B17</f>
        <v/>
      </c>
    </row>
    <row r="20">
      <c r="A20" s="17" t="inlineStr">
        <is>
          <t>To-do</t>
        </is>
      </c>
    </row>
    <row r="21">
      <c r="A21" s="20" t="inlineStr">
        <is>
          <t>Rechnungen noch zu schreiben</t>
        </is>
      </c>
      <c r="B21" s="23">
        <f>COUNTIFS(Artikelstamm!$R$3:$R$18,"verkauft",Artikelstamm!$Y$3:$Y$18,"")</f>
        <v/>
      </c>
    </row>
    <row r="22">
      <c r="A22" s="20" t="inlineStr">
        <is>
          <t>Rechnungen offen (unbezahlt)</t>
        </is>
      </c>
      <c r="B22" s="23">
        <f>COUNTIFS(Artikelstamm!$R$3:$R$18,"verkauft",Artikelstamm!$Z$3:$Z$18,"offen")</f>
        <v/>
      </c>
    </row>
    <row r="23">
      <c r="A23" s="18" t="inlineStr">
        <is>
          <t>Reservierungen ohne Abholtermin</t>
        </is>
      </c>
      <c r="B23" s="19">
        <f>COUNTIFS(Artikelstamm!$R$3:$R$18,"reserviert",Artikelstamm!$AB$3:$AB$18,"")</f>
        <v/>
      </c>
    </row>
    <row r="24">
      <c r="A24" s="18" t="inlineStr">
        <is>
          <t>Artikel ohne Preis</t>
        </is>
      </c>
      <c r="B24" s="19">
        <f>COUNTIFS(Artikelstamm!$N$3:$N$18,"")</f>
        <v/>
      </c>
    </row>
    <row r="25">
      <c r="A25" s="18" t="inlineStr">
        <is>
          <t>Artikel ohne Foto</t>
        </is>
      </c>
      <c r="B25" s="19">
        <f>COUNTIFS(Artikelstamm!$Q$3:$Q$18,"")</f>
        <v/>
      </c>
    </row>
    <row r="27">
      <c r="A27" s="17" t="inlineStr">
        <is>
          <t>Nach Kategorie</t>
        </is>
      </c>
    </row>
    <row r="28">
      <c r="A28" s="24" t="inlineStr">
        <is>
          <t>Kategorie</t>
        </is>
      </c>
      <c r="B28" s="24" t="inlineStr">
        <is>
          <t>Positionen</t>
        </is>
      </c>
      <c r="C28" s="24" t="inlineStr">
        <is>
          <t>Umsatz netto</t>
        </is>
      </c>
      <c r="D28" s="24" t="inlineStr">
        <is>
          <t>Restwert netto</t>
        </is>
      </c>
    </row>
    <row r="29">
      <c r="A29" s="18" t="inlineStr">
        <is>
          <t>Außenbereich</t>
        </is>
      </c>
      <c r="B29" s="25">
        <f>COUNTIF(Artikelstamm!$D$3:$D$18,$A29)</f>
        <v/>
      </c>
      <c r="C29" s="26">
        <f>SUMPRODUCT((Artikelstamm!$D$3:$D$18=$A29)*Artikelstamm!$G$3:$G$18*Artikelstamm!$U$3:$U$18)</f>
        <v/>
      </c>
      <c r="D29" s="26">
        <f>SUMPRODUCT((Artikelstamm!$D$3:$D$18=$A29)*Artikelstamm!$H$3:$H$18*Artikelstamm!$N$3:$N$18)</f>
        <v/>
      </c>
    </row>
    <row r="30">
      <c r="A30" s="18" t="inlineStr">
        <is>
          <t>Büro</t>
        </is>
      </c>
      <c r="B30" s="25">
        <f>COUNTIF(Artikelstamm!$D$3:$D$18,$A30)</f>
        <v/>
      </c>
      <c r="C30" s="26">
        <f>SUMPRODUCT((Artikelstamm!$D$3:$D$18=$A30)*Artikelstamm!$G$3:$G$18*Artikelstamm!$U$3:$U$18)</f>
        <v/>
      </c>
      <c r="D30" s="26">
        <f>SUMPRODUCT((Artikelstamm!$D$3:$D$18=$A30)*Artikelstamm!$H$3:$H$18*Artikelstamm!$N$3:$N$18)</f>
        <v/>
      </c>
    </row>
    <row r="31">
      <c r="A31" s="18" t="inlineStr">
        <is>
          <t>IT</t>
        </is>
      </c>
      <c r="B31" s="25">
        <f>COUNTIF(Artikelstamm!$D$3:$D$18,$A31)</f>
        <v/>
      </c>
      <c r="C31" s="26">
        <f>SUMPRODUCT((Artikelstamm!$D$3:$D$18=$A31)*Artikelstamm!$G$3:$G$18*Artikelstamm!$U$3:$U$18)</f>
        <v/>
      </c>
      <c r="D31" s="26">
        <f>SUMPRODUCT((Artikelstamm!$D$3:$D$18=$A31)*Artikelstamm!$H$3:$H$18*Artikelstamm!$N$3:$N$18)</f>
        <v/>
      </c>
    </row>
    <row r="32">
      <c r="A32" s="18" t="inlineStr">
        <is>
          <t>Küchentechnik</t>
        </is>
      </c>
      <c r="B32" s="25">
        <f>COUNTIF(Artikelstamm!$D$3:$D$18,$A32)</f>
        <v/>
      </c>
      <c r="C32" s="26">
        <f>SUMPRODUCT((Artikelstamm!$D$3:$D$18=$A32)*Artikelstamm!$G$3:$G$18*Artikelstamm!$U$3:$U$18)</f>
        <v/>
      </c>
      <c r="D32" s="26">
        <f>SUMPRODUCT((Artikelstamm!$D$3:$D$18=$A32)*Artikelstamm!$H$3:$H$18*Artikelstamm!$N$3:$N$18)</f>
        <v/>
      </c>
    </row>
    <row r="33">
      <c r="A33" s="18" t="inlineStr">
        <is>
          <t>Musik</t>
        </is>
      </c>
      <c r="B33" s="25">
        <f>COUNTIF(Artikelstamm!$D$3:$D$18,$A33)</f>
        <v/>
      </c>
      <c r="C33" s="26">
        <f>SUMPRODUCT((Artikelstamm!$D$3:$D$18=$A33)*Artikelstamm!$G$3:$G$18*Artikelstamm!$U$3:$U$18)</f>
        <v/>
      </c>
      <c r="D33" s="26">
        <f>SUMPRODUCT((Artikelstamm!$D$3:$D$18=$A33)*Artikelstamm!$H$3:$H$18*Artikelstamm!$N$3:$N$18)</f>
        <v/>
      </c>
    </row>
    <row r="34">
      <c r="A34" s="18" t="inlineStr">
        <is>
          <t>Möbel</t>
        </is>
      </c>
      <c r="B34" s="25">
        <f>COUNTIF(Artikelstamm!$D$3:$D$18,$A34)</f>
        <v/>
      </c>
      <c r="C34" s="26">
        <f>SUMPRODUCT((Artikelstamm!$D$3:$D$18=$A34)*Artikelstamm!$G$3:$G$18*Artikelstamm!$U$3:$U$18)</f>
        <v/>
      </c>
      <c r="D34" s="26">
        <f>SUMPRODUCT((Artikelstamm!$D$3:$D$18=$A34)*Artikelstamm!$H$3:$H$18*Artikelstamm!$N$3:$N$18)</f>
        <v/>
      </c>
    </row>
    <row r="35">
      <c r="A35" s="18" t="inlineStr">
        <is>
          <t>Spielmaterial</t>
        </is>
      </c>
      <c r="B35" s="25">
        <f>COUNTIF(Artikelstamm!$D$3:$D$18,$A35)</f>
        <v/>
      </c>
      <c r="C35" s="26">
        <f>SUMPRODUCT((Artikelstamm!$D$3:$D$18=$A35)*Artikelstamm!$G$3:$G$18*Artikelstamm!$U$3:$U$18)</f>
        <v/>
      </c>
      <c r="D35" s="26">
        <f>SUMPRODUCT((Artikelstamm!$D$3:$D$18=$A35)*Artikelstamm!$H$3:$H$18*Artikelstamm!$N$3:$N$18)</f>
        <v/>
      </c>
    </row>
    <row r="36">
      <c r="A36" s="18" t="inlineStr">
        <is>
          <t>Verbrauchsmaterial</t>
        </is>
      </c>
      <c r="B36" s="25">
        <f>COUNTIF(Artikelstamm!$D$3:$D$18,$A36)</f>
        <v/>
      </c>
      <c r="C36" s="26">
        <f>SUMPRODUCT((Artikelstamm!$D$3:$D$18=$A36)*Artikelstamm!$G$3:$G$18*Artikelstamm!$U$3:$U$18)</f>
        <v/>
      </c>
      <c r="D36" s="26">
        <f>SUMPRODUCT((Artikelstamm!$D$3:$D$18=$A36)*Artikelstamm!$H$3:$H$18*Artikelstamm!$N$3:$N$18)</f>
        <v/>
      </c>
    </row>
    <row r="37">
      <c r="A37" s="20" t="inlineStr">
        <is>
          <t>Summe</t>
        </is>
      </c>
      <c r="B37" s="27">
        <f>SUM(B29:B36)</f>
        <v/>
      </c>
      <c r="C37" s="28">
        <f>SUM(C29:C36)</f>
        <v/>
      </c>
      <c r="D37" s="28">
        <f>SUM(D29:D36)</f>
        <v/>
      </c>
    </row>
    <row r="39">
      <c r="A39" s="17" t="inlineStr">
        <is>
          <t>Nach Verkaufskanal</t>
        </is>
      </c>
    </row>
    <row r="40">
      <c r="A40" s="24" t="inlineStr">
        <is>
          <t>Kanal</t>
        </is>
      </c>
      <c r="B40" s="24" t="inlineStr">
        <is>
          <t>Positionen</t>
        </is>
      </c>
      <c r="C40" s="24" t="inlineStr">
        <is>
          <t>Umsatz netto</t>
        </is>
      </c>
    </row>
    <row r="41">
      <c r="A41" s="18" t="inlineStr">
        <is>
          <t>Direkt</t>
        </is>
      </c>
      <c r="B41" s="25">
        <f>COUNTIF(Artikelstamm!$S$3:$S$18,$A41)</f>
        <v/>
      </c>
      <c r="C41" s="26">
        <f>SUMPRODUCT((Artikelstamm!$S$3:$S$18=$A41)*Artikelstamm!$G$3:$G$18*Artikelstamm!$U$3:$U$18)</f>
        <v/>
      </c>
    </row>
    <row r="42">
      <c r="A42" s="18" t="inlineStr">
        <is>
          <t>Kleinanzeigen</t>
        </is>
      </c>
      <c r="B42" s="25">
        <f>COUNTIF(Artikelstamm!$S$3:$S$18,$A42)</f>
        <v/>
      </c>
      <c r="C42" s="26">
        <f>SUMPRODUCT((Artikelstamm!$S$3:$S$18=$A42)*Artikelstamm!$G$3:$G$18*Artikelstamm!$U$3:$U$18)</f>
        <v/>
      </c>
    </row>
    <row r="43">
      <c r="A43" s="18" t="inlineStr">
        <is>
          <t>Klinik</t>
        </is>
      </c>
      <c r="B43" s="25">
        <f>COUNTIF(Artikelstamm!$S$3:$S$18,$A43)</f>
        <v/>
      </c>
      <c r="C43" s="26">
        <f>SUMPRODUCT((Artikelstamm!$S$3:$S$18=$A43)*Artikelstamm!$G$3:$G$18*Artikelstamm!$U$3:$U$18)</f>
        <v/>
      </c>
    </row>
    <row r="44">
      <c r="A44" s="18" t="inlineStr">
        <is>
          <t>eBay</t>
        </is>
      </c>
      <c r="B44" s="25">
        <f>COUNTIF(Artikelstamm!$S$3:$S$18,$A44)</f>
        <v/>
      </c>
      <c r="C44" s="26">
        <f>SUMPRODUCT((Artikelstamm!$S$3:$S$18=$A44)*Artikelstamm!$G$3:$G$18*Artikelstamm!$U$3:$U$18)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29" t="inlineStr">
        <is>
          <t>Legende / Ausfüllhilfe</t>
        </is>
      </c>
    </row>
    <row r="3" ht="28" customHeight="1">
      <c r="A3" s="30" t="inlineStr">
        <is>
          <t>Gelbe Felder</t>
        </is>
      </c>
      <c r="B3" s="31" t="inlineStr">
        <is>
          <t>Das sind die Felder, die im Tagesgeschäft gepflegt werden. Alles andere bleibt meist unverändert.</t>
        </is>
      </c>
    </row>
    <row r="4" ht="28" customHeight="1">
      <c r="A4" s="30" t="inlineStr">
        <is>
          <t>ArtNr</t>
        </is>
      </c>
      <c r="B4" s="31" t="inlineStr">
        <is>
          <t>Eindeutige Nummer. Kommt auch als Etikett an den Artikel im Haus – so passen Liste und Realität zusammen.</t>
        </is>
      </c>
    </row>
    <row r="5" ht="28" customHeight="1">
      <c r="A5" s="30" t="inlineStr">
        <is>
          <t>Menge</t>
        </is>
      </c>
      <c r="B5" s="31" t="inlineStr">
        <is>
          <t>Ursprünglich vorhandene Stückzahl. Bleibt stehen, auch wenn verkauft wird.</t>
        </is>
      </c>
    </row>
    <row r="6" ht="28" customHeight="1">
      <c r="A6" s="30" t="inlineStr">
        <is>
          <t>Verkauft_Menge / Restmenge</t>
        </is>
      </c>
      <c r="B6" s="31" t="inlineStr">
        <is>
          <t>Restmenge rechnet sich selbst aus (Menge minus verkaufte Menge). Nicht überschreiben.</t>
        </is>
      </c>
    </row>
    <row r="7" ht="28" customHeight="1">
      <c r="A7" s="30" t="inlineStr">
        <is>
          <t>Einheit</t>
        </is>
      </c>
      <c r="B7" s="31" t="inlineStr">
        <is>
          <t>Stück, Karton, Set, Palette, Konvolut. Für 'ein Karton Acrylfarben' also Einheit = Karton.</t>
        </is>
      </c>
    </row>
    <row r="8" ht="28" customHeight="1">
      <c r="A8" s="30" t="inlineStr">
        <is>
          <t>Anlagennr</t>
        </is>
      </c>
      <c r="B8" s="31" t="inlineStr">
        <is>
          <t>Verweis auf Anlagenverzeichnis bzw. GWG-Liste – damit der Steuerberater den Abgang zuordnen kann.</t>
        </is>
      </c>
    </row>
    <row r="9" ht="28" customHeight="1">
      <c r="A9" s="30" t="inlineStr">
        <is>
          <t>Preis_netto</t>
        </is>
      </c>
      <c r="B9" s="31" t="inlineStr">
        <is>
          <t>Verkaufspreis OHNE Umsatzsteuer, pro Einheit. Gegenüber Firmen wird netto angeboten, gegenüber Privatleuten brutto ausgewiesen.</t>
        </is>
      </c>
    </row>
    <row r="10" ht="28" customHeight="1">
      <c r="A10" s="30" t="inlineStr">
        <is>
          <t>Preisbasis</t>
        </is>
      </c>
      <c r="B10" s="31" t="inlineStr">
        <is>
          <t>Fix = Festpreis, VHB = Verhandlungsbasis.</t>
        </is>
      </c>
    </row>
    <row r="11" ht="28" customHeight="1">
      <c r="A11" s="30" t="inlineStr">
        <is>
          <t>Status</t>
        </is>
      </c>
      <c r="B11" s="31" t="inlineStr">
        <is>
          <t>verfügbar / reserviert / verkauft / gespendet / entsorgt. Steuert, was im Online-Katalog angezeigt wird.</t>
        </is>
      </c>
    </row>
    <row r="12" ht="28" customHeight="1">
      <c r="A12" s="30" t="inlineStr">
        <is>
          <t>Kanal</t>
        </is>
      </c>
      <c r="B12" s="31" t="inlineStr">
        <is>
          <t>Wo der Artikel angeboten wird: Klinik, Kleinanzeigen, eBay, Direkt, Händler.</t>
        </is>
      </c>
    </row>
    <row r="13" ht="28" customHeight="1">
      <c r="A13" s="30" t="inlineStr">
        <is>
          <t>Umsatz_netto</t>
        </is>
      </c>
      <c r="B13" s="31" t="inlineStr">
        <is>
          <t>Rechnet sich selbst aus (verkaufte Menge × Verkaufspreis). Nicht überschreiben.</t>
        </is>
      </c>
    </row>
    <row r="14" ht="28" customHeight="1">
      <c r="A14" s="30" t="inlineStr">
        <is>
          <t>Zahlung</t>
        </is>
      </c>
      <c r="B14" s="31" t="inlineStr">
        <is>
          <t>offen / bezahlt / teilbezahlt. Bar bezahlte Beträge zusätzlich ins Kassenbuch eintragen (GoBD).</t>
        </is>
      </c>
    </row>
    <row r="15" ht="28" customHeight="1">
      <c r="A15" s="30" t="inlineStr">
        <is>
          <t>Verkaufsübersicht</t>
        </is>
      </c>
      <c r="B15" s="31" t="inlineStr">
        <is>
          <t>Reines Auswertungsblatt. Rechnet automatisch, dort wird nichts eingetragen.</t>
        </is>
      </c>
    </row>
    <row r="16" ht="28" customHeight="1">
      <c r="A16" s="30" t="inlineStr">
        <is>
          <t>Wichtig</t>
        </is>
      </c>
      <c r="B16" s="31" t="inlineStr">
        <is>
          <t>Diese Datei ist die einzige Quelle der Wahrheit. Aus ihr entstehen Klinik-Angebot, Online-Katalog, eBay-/Kleinanzeigen-Inserate und die Zahlen für die Buchhaltung.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2026-09-15T07:45:47Z</dcterms:created>
  <dcterms:modified xsi:type="dcterms:W3CDTF">2026-09-15T07:45:47Z</dcterms:modified>
</cp:coreProperties>
</file>