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'Artikelstamm'!$A$2:$AM$235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inlineStr">
        <is>
          <t>Auf dem Erfassungsblatt NE01 durchgestrichen – entfaellt.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 Eine zweite, anders zusammengesetzte Wesco-Küche steht unter NU07-03.</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5 Regale insgesamt: 3 im Schlafraum 5, 1 im Treppenraum 1 (dort NU05-05) und 1 in der Garage (dort NU07-06).</t>
        </is>
      </c>
      <c r="AM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 vom Haus bestätigt.</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einschließlich Wandaufhängung. Werkzeug, Helm und Zubehör gehören nicht dazu.</t>
        </is>
      </c>
      <c r="AM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20" t="n"/>
      <c r="AE201" s="21">
        <f>IF(K201="","",K201*AD201)</f>
        <v/>
      </c>
      <c r="AF201" s="19" t="n"/>
      <c r="AG201" s="19" t="n"/>
      <c r="AH201" s="19" t="n"/>
      <c r="AI201" s="19" t="n"/>
      <c r="AJ201" s="19" t="n"/>
      <c r="AK201" s="19" t="n"/>
      <c r="AL201" s="16" t="inlineStr">
        <is>
          <t>6 Stühle – abgebildet ist einer davon.</t>
        </is>
      </c>
      <c r="AM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20" t="n"/>
      <c r="AE202" s="21">
        <f>IF(K202="","",K202*AD202)</f>
        <v/>
      </c>
      <c r="AF202" s="19" t="n"/>
      <c r="AG202" s="19" t="n"/>
      <c r="AH202" s="19" t="n"/>
      <c r="AI202" s="19" t="n"/>
      <c r="AJ202" s="19" t="n"/>
      <c r="AK202" s="19" t="n"/>
      <c r="AL202" s="16" t="inlineStr">
        <is>
          <t>3 Stühle – abgebildet ist einer davon.</t>
        </is>
      </c>
      <c r="AM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20" t="n"/>
      <c r="AE203" s="21">
        <f>IF(K203="","",K203*AD203)</f>
        <v/>
      </c>
      <c r="AF203" s="19" t="n"/>
      <c r="AG203" s="19" t="n"/>
      <c r="AH203" s="19" t="n"/>
      <c r="AI203" s="19" t="n"/>
      <c r="AJ203" s="19" t="n"/>
      <c r="AK203" s="19" t="n"/>
      <c r="AL203" s="16" t="inlineStr">
        <is>
          <t>2 Tische – abgebildet ist einer davon. Der Inhalt gehört nicht dazu.</t>
        </is>
      </c>
      <c r="AM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20" t="n"/>
      <c r="AE204" s="21">
        <f>IF(K204="","",K204*AD204)</f>
        <v/>
      </c>
      <c r="AF204" s="19" t="n"/>
      <c r="AG204" s="19" t="n"/>
      <c r="AH204" s="19" t="n"/>
      <c r="AI204" s="19" t="n"/>
      <c r="AJ204" s="19" t="n"/>
      <c r="AK204" s="19" t="n"/>
      <c r="AL204" s="16" t="inlineStr">
        <is>
          <t>1 Regal.</t>
        </is>
      </c>
      <c r="AM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20" t="n"/>
      <c r="AE205" s="21">
        <f>IF(K205="","",K205*AD205)</f>
        <v/>
      </c>
      <c r="AF205" s="19" t="n"/>
      <c r="AG205" s="19" t="n"/>
      <c r="AH205" s="19" t="n"/>
      <c r="AI205" s="19" t="n"/>
      <c r="AJ205" s="19" t="n"/>
      <c r="AK205" s="19" t="n"/>
      <c r="AL205" s="16" t="inlineStr">
        <is>
          <t>1 Regal. Der Inhalt gehört nicht dazu.</t>
        </is>
      </c>
      <c r="AM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20" t="n"/>
      <c r="AE206" s="21">
        <f>IF(K206="","",K206*AD206)</f>
        <v/>
      </c>
      <c r="AF206" s="19" t="n"/>
      <c r="AG206" s="19" t="n"/>
      <c r="AH206" s="19" t="n"/>
      <c r="AI206" s="19" t="n"/>
      <c r="AJ206" s="19" t="n"/>
      <c r="AK206" s="19" t="n"/>
      <c r="AL206" s="16" t="inlineStr">
        <is>
          <t>1 Gestell mit acht Einschüben.</t>
        </is>
      </c>
      <c r="AM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20" t="n"/>
      <c r="AE207" s="21">
        <f>IF(K207="","",K207*AD207)</f>
        <v/>
      </c>
      <c r="AF207" s="19" t="n"/>
      <c r="AG207" s="19" t="n"/>
      <c r="AH207" s="19" t="n"/>
      <c r="AI207" s="19" t="n"/>
      <c r="AJ207" s="19" t="n"/>
      <c r="AK207" s="19" t="n"/>
      <c r="AL207" s="16" t="inlineStr">
        <is>
          <t>1 Tafel. Schwamm und Becher gehören nicht dazu.</t>
        </is>
      </c>
      <c r="AM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20" t="n"/>
      <c r="AE208" s="21">
        <f>IF(K208="","",K208*AD208)</f>
        <v/>
      </c>
      <c r="AF208" s="19" t="n"/>
      <c r="AG208" s="19" t="n"/>
      <c r="AH208" s="19" t="n"/>
      <c r="AI208" s="19" t="n"/>
      <c r="AJ208" s="19" t="n"/>
      <c r="AK208" s="19" t="n"/>
      <c r="AL208" s="16" t="inlineStr">
        <is>
          <t>1 Garderobenwand mit 13 Plätzen. Die Stoffkörbe gehören nicht dazu.</t>
        </is>
      </c>
      <c r="AM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20" t="n"/>
      <c r="AE209" s="21">
        <f>IF(K209="","",K209*AD209)</f>
        <v/>
      </c>
      <c r="AF209" s="19" t="n"/>
      <c r="AG209" s="19" t="n"/>
      <c r="AH209" s="19" t="n"/>
      <c r="AI209" s="19" t="n"/>
      <c r="AJ209" s="19" t="n"/>
      <c r="AK209" s="19" t="n"/>
      <c r="AL209" s="16" t="inlineStr">
        <is>
          <t>6 Garderobenwände mit je 9 Plätzen – abgebildet ist eine davon. Die Stoffkörbe gehören nicht dazu.</t>
        </is>
      </c>
      <c r="AM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20" t="n"/>
      <c r="AE210" s="21">
        <f>IF(K210="","",K210*AD210)</f>
        <v/>
      </c>
      <c r="AF210" s="19" t="n"/>
      <c r="AG210" s="19" t="n"/>
      <c r="AH210" s="19" t="n"/>
      <c r="AI210" s="19" t="n"/>
      <c r="AJ210" s="19" t="n"/>
      <c r="AK210" s="19" t="n"/>
      <c r="AL210" s="16" t="inlineStr">
        <is>
          <t>3 Elemente einschließlich der Wannen – abgebildet ist eines davon.</t>
        </is>
      </c>
      <c r="AM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20" t="n"/>
      <c r="AE211" s="21">
        <f>IF(K211="","",K211*AD211)</f>
        <v/>
      </c>
      <c r="AF211" s="19" t="n"/>
      <c r="AG211" s="19" t="n"/>
      <c r="AH211" s="19" t="n"/>
      <c r="AI211" s="19" t="n"/>
      <c r="AJ211" s="19" t="n"/>
      <c r="AK211" s="19" t="n"/>
      <c r="AL211" s="16" t="inlineStr">
        <is>
          <t>2 Regale – abgebildet ist eines davon.</t>
        </is>
      </c>
      <c r="AM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20" t="n"/>
      <c r="AE212" s="21">
        <f>IF(K212="","",K212*AD212)</f>
        <v/>
      </c>
      <c r="AF212" s="19" t="n"/>
      <c r="AG212" s="19" t="n"/>
      <c r="AH212" s="19" t="n"/>
      <c r="AI212" s="19" t="n"/>
      <c r="AJ212" s="19" t="n"/>
      <c r="AK212" s="19" t="n"/>
      <c r="AL212" s="16" t="inlineStr">
        <is>
          <t>1 Gerät. Der Innenraum ist auf Foto F-228 zu sehen.</t>
        </is>
      </c>
      <c r="AM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20" t="n"/>
      <c r="AE213" s="21">
        <f>IF(K213="","",K213*AD213)</f>
        <v/>
      </c>
      <c r="AF213" s="19" t="n"/>
      <c r="AG213" s="19" t="n"/>
      <c r="AH213" s="19" t="n"/>
      <c r="AI213" s="19" t="n"/>
      <c r="AJ213" s="19" t="n"/>
      <c r="AK213" s="19" t="n"/>
      <c r="AL213" s="16" t="inlineStr">
        <is>
          <t>2 Regale – abgebildet ist eines davon. Der Inhalt gehört nicht dazu.</t>
        </is>
      </c>
      <c r="AM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20" t="n"/>
      <c r="AE214" s="21">
        <f>IF(K214="","",K214*AD214)</f>
        <v/>
      </c>
      <c r="AF214" s="19" t="n"/>
      <c r="AG214" s="19" t="n"/>
      <c r="AH214" s="19" t="n"/>
      <c r="AI214" s="19" t="n"/>
      <c r="AJ214" s="19" t="n"/>
      <c r="AK214" s="19" t="n"/>
      <c r="AL214" s="16" t="inlineStr">
        <is>
          <t>1 Bild.</t>
        </is>
      </c>
      <c r="AM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20" t="n"/>
      <c r="AE215" s="21">
        <f>IF(K215="","",K215*AD215)</f>
        <v/>
      </c>
      <c r="AF215" s="19" t="n"/>
      <c r="AG215" s="19" t="n"/>
      <c r="AH215" s="19" t="n"/>
      <c r="AI215" s="19" t="n"/>
      <c r="AJ215" s="19" t="n"/>
      <c r="AK215" s="19" t="n"/>
      <c r="AL215" s="16" t="inlineStr">
        <is>
          <t>1 Bett. Bettwäsche und Kissen gehören nicht dazu.</t>
        </is>
      </c>
      <c r="AM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20" t="n"/>
      <c r="AE216" s="21">
        <f>IF(K216="","",K216*AD216)</f>
        <v/>
      </c>
      <c r="AF216" s="19" t="n"/>
      <c r="AG216" s="19" t="n"/>
      <c r="AH216" s="19" t="n"/>
      <c r="AI216" s="19" t="n"/>
      <c r="AJ216" s="19" t="n"/>
      <c r="AK216" s="19" t="n"/>
      <c r="AL216" s="16" t="inlineStr">
        <is>
          <t>1 Kaufladen. Spiellebensmittel, Kasse und Telefon gehören nicht dazu.</t>
        </is>
      </c>
      <c r="AM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20" t="n"/>
      <c r="AE217" s="21">
        <f>IF(K217="","",K217*AD217)</f>
        <v/>
      </c>
      <c r="AF217" s="19" t="n"/>
      <c r="AG217" s="19" t="n"/>
      <c r="AH217" s="19" t="n"/>
      <c r="AI217" s="19" t="n"/>
      <c r="AJ217" s="19" t="n"/>
      <c r="AK217" s="19" t="n"/>
      <c r="AL217" s="16" t="inlineStr">
        <is>
          <t>1 Küche aus mehreren Modulen, mit Mikrowellenmodul und Hängeschrank. Eine zweite, anders zusammengesetzte Wesco-Küche steht unter NU03-03.</t>
        </is>
      </c>
      <c r="AM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20" t="n"/>
      <c r="AE218" s="21">
        <f>IF(K218="","",K218*AD218)</f>
        <v/>
      </c>
      <c r="AF218" s="19" t="n"/>
      <c r="AG218" s="19" t="n"/>
      <c r="AH218" s="19" t="n"/>
      <c r="AI218" s="19" t="n"/>
      <c r="AJ218" s="19" t="n"/>
      <c r="AK218" s="19" t="n"/>
      <c r="AL218" s="16" t="inlineStr">
        <is>
          <t>1 Grill.</t>
        </is>
      </c>
      <c r="AM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20" t="n"/>
      <c r="AE219" s="21">
        <f>IF(K219="","",K219*AD219)</f>
        <v/>
      </c>
      <c r="AF219" s="19" t="n"/>
      <c r="AG219" s="19" t="n"/>
      <c r="AH219" s="19" t="n"/>
      <c r="AI219" s="19" t="n"/>
      <c r="AJ219" s="19" t="n"/>
      <c r="AK219" s="19" t="n"/>
      <c r="AL219" s="16" t="inlineStr">
        <is>
          <t>1 Schrank. Der Innenraum ist auf Foto F-239 zu sehen.</t>
        </is>
      </c>
      <c r="AM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20" t="n"/>
      <c r="AE220" s="21">
        <f>IF(K220="","",K220*AD220)</f>
        <v/>
      </c>
      <c r="AF220" s="19" t="n"/>
      <c r="AG220" s="19" t="n"/>
      <c r="AH220" s="19" t="n"/>
      <c r="AI220" s="19" t="n"/>
      <c r="AJ220" s="19" t="n"/>
      <c r="AK220" s="19" t="n"/>
      <c r="AL220" s="16" t="inlineStr">
        <is>
          <t>1 Regal. Die Einschubkästen gehören nicht dazu.</t>
        </is>
      </c>
      <c r="AM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20" t="n"/>
      <c r="AE221" s="21">
        <f>IF(K221="","",K221*AD221)</f>
        <v/>
      </c>
      <c r="AF221" s="19" t="n"/>
      <c r="AG221" s="19" t="n"/>
      <c r="AH221" s="19" t="n"/>
      <c r="AI221" s="19" t="n"/>
      <c r="AJ221" s="19" t="n"/>
      <c r="AK221" s="19" t="n"/>
      <c r="AL221" s="16" t="inlineStr">
        <is>
          <t>1 Sitzgruppe aus drei Teilen: ein Tisch und zwei Truhenbänke. Der Stauraum unter der Sitzfläche ist auf Foto F-243 zu sehen.</t>
        </is>
      </c>
      <c r="AM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20" t="n"/>
      <c r="AE222" s="21">
        <f>IF(K222="","",K222*AD222)</f>
        <v/>
      </c>
      <c r="AF222" s="19" t="n"/>
      <c r="AG222" s="19" t="n"/>
      <c r="AH222" s="19" t="n"/>
      <c r="AI222" s="19" t="n"/>
      <c r="AJ222" s="19" t="n"/>
      <c r="AK222" s="19" t="n"/>
      <c r="AL222" s="16" t="inlineStr">
        <is>
          <t>2 Regale, beide abgebildet. Figuren und Abspielgerät gehören nicht dazu.</t>
        </is>
      </c>
      <c r="AM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20" t="n"/>
      <c r="AE223" s="21">
        <f>IF(K223="","",K223*AD223)</f>
        <v/>
      </c>
      <c r="AF223" s="19" t="n"/>
      <c r="AG223" s="19" t="n"/>
      <c r="AH223" s="19" t="n"/>
      <c r="AI223" s="19" t="n"/>
      <c r="AJ223" s="19" t="n"/>
      <c r="AK223" s="19" t="n"/>
      <c r="AL223" s="16" t="inlineStr">
        <is>
          <t>1 Highboard.</t>
        </is>
      </c>
      <c r="AM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20" t="n"/>
      <c r="AE224" s="21">
        <f>IF(K224="","",K224*AD224)</f>
        <v/>
      </c>
      <c r="AF224" s="19" t="n"/>
      <c r="AG224" s="19" t="n"/>
      <c r="AH224" s="19" t="n"/>
      <c r="AI224" s="19" t="n"/>
      <c r="AJ224" s="19" t="n"/>
      <c r="AK224" s="19" t="n"/>
      <c r="AL224" s="16" t="inlineStr">
        <is>
          <t>1 Stück.</t>
        </is>
      </c>
      <c r="AM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20" t="n"/>
      <c r="AE225" s="21">
        <f>IF(K225="","",K225*AD225)</f>
        <v/>
      </c>
      <c r="AF225" s="19" t="n"/>
      <c r="AG225" s="19" t="n"/>
      <c r="AH225" s="19" t="n"/>
      <c r="AI225" s="19" t="n"/>
      <c r="AJ225" s="19" t="n"/>
      <c r="AK225" s="19" t="n"/>
      <c r="AL225" s="16" t="inlineStr">
        <is>
          <t>2 Sessel – abgebildet ist einer davon.</t>
        </is>
      </c>
      <c r="AM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20" t="n"/>
      <c r="AE226" s="21">
        <f>IF(K226="","",K226*AD226)</f>
        <v/>
      </c>
      <c r="AF226" s="19" t="n"/>
      <c r="AG226" s="19" t="n"/>
      <c r="AH226" s="19" t="n"/>
      <c r="AI226" s="19" t="n"/>
      <c r="AJ226" s="19" t="n"/>
      <c r="AK226" s="19" t="n"/>
      <c r="AL226" s="16" t="inlineStr">
        <is>
          <t>12 Regale einschließlich der Wannen – abgebildet ist eines davon. Die Hundehaken darunter sind eigene Positionen (NE01-22 und NE01-23).</t>
        </is>
      </c>
      <c r="AM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20" t="n"/>
      <c r="AE227" s="21">
        <f>IF(K227="","",K227*AD227)</f>
        <v/>
      </c>
      <c r="AF227" s="19" t="n"/>
      <c r="AG227" s="19" t="n"/>
      <c r="AH227" s="19" t="n"/>
      <c r="AI227" s="19" t="n"/>
      <c r="AJ227" s="19" t="n"/>
      <c r="AK227" s="19" t="n"/>
      <c r="AL227" s="16" t="inlineStr">
        <is>
          <t>21 Haken – abgebildet ist einer davon.</t>
        </is>
      </c>
      <c r="AM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20" t="n"/>
      <c r="AE228" s="21">
        <f>IF(K228="","",K228*AD228)</f>
        <v/>
      </c>
      <c r="AF228" s="19" t="n"/>
      <c r="AG228" s="19" t="n"/>
      <c r="AH228" s="19" t="n"/>
      <c r="AI228" s="19" t="n"/>
      <c r="AJ228" s="19" t="n"/>
      <c r="AK228" s="19" t="n"/>
      <c r="AL228" s="16" t="inlineStr">
        <is>
          <t>11 Haken – abgebildet ist einer davon.</t>
        </is>
      </c>
      <c r="AM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20" t="n"/>
      <c r="AE229" s="21">
        <f>IF(K229="","",K229*AD229)</f>
        <v/>
      </c>
      <c r="AF229" s="19" t="n"/>
      <c r="AG229" s="19" t="n"/>
      <c r="AH229" s="19" t="n"/>
      <c r="AI229" s="19" t="n"/>
      <c r="AJ229" s="19" t="n"/>
      <c r="AK229" s="19" t="n"/>
      <c r="AL229" s="16" t="inlineStr">
        <is>
          <t>3 Bänke – abgebildet sind zwei davon.</t>
        </is>
      </c>
      <c r="AM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20" t="n"/>
      <c r="AE230" s="21">
        <f>IF(K230="","",K230*AD230)</f>
        <v/>
      </c>
      <c r="AF230" s="19" t="n"/>
      <c r="AG230" s="19" t="n"/>
      <c r="AH230" s="19" t="n"/>
      <c r="AI230" s="19" t="n"/>
      <c r="AJ230" s="19" t="n"/>
      <c r="AK230" s="19" t="n"/>
      <c r="AL230" s="16" t="inlineStr">
        <is>
          <t>3 Bänke – abgebildet ist eine davon.</t>
        </is>
      </c>
      <c r="AM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20" t="n"/>
      <c r="AE231" s="21">
        <f>IF(K231="","",K231*AD231)</f>
        <v/>
      </c>
      <c r="AF231" s="19" t="n"/>
      <c r="AG231" s="19" t="n"/>
      <c r="AH231" s="19" t="n"/>
      <c r="AI231" s="19" t="n"/>
      <c r="AJ231" s="19" t="n"/>
      <c r="AK231" s="19" t="n"/>
      <c r="AL231" s="16" t="inlineStr">
        <is>
          <t>7 Bänke – abgebildet ist eine davon.</t>
        </is>
      </c>
      <c r="AM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20" t="n"/>
      <c r="AE232" s="21">
        <f>IF(K232="","",K232*AD232)</f>
        <v/>
      </c>
      <c r="AF232" s="19" t="n"/>
      <c r="AG232" s="19" t="n"/>
      <c r="AH232" s="19" t="n"/>
      <c r="AI232" s="19" t="n"/>
      <c r="AJ232" s="19" t="n"/>
      <c r="AK232" s="19" t="n"/>
      <c r="AL232" s="16" t="inlineStr">
        <is>
          <t>1 Bild.</t>
        </is>
      </c>
      <c r="AM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20" t="n"/>
      <c r="AE233" s="21">
        <f>IF(K233="","",K233*AD233)</f>
        <v/>
      </c>
      <c r="AF233" s="19" t="n"/>
      <c r="AG233" s="19" t="n"/>
      <c r="AH233" s="19" t="n"/>
      <c r="AI233" s="19" t="n"/>
      <c r="AJ233" s="19" t="n"/>
      <c r="AK233" s="19" t="n"/>
      <c r="AL233" s="16" t="inlineStr">
        <is>
          <t>1 Bild.</t>
        </is>
      </c>
      <c r="AM233" s="22" t="n"/>
    </row>
    <row r="234" ht="30" customHeight="1">
      <c r="A234" s="15" t="inlineStr">
        <is>
          <t>BA01-03</t>
        </is>
      </c>
      <c r="B234" s="15" t="n"/>
      <c r="C234" s="15" t="n"/>
      <c r="D234" s="15" t="inlineStr">
        <is>
          <t>BA01</t>
        </is>
      </c>
      <c r="E234" s="15" t="inlineStr">
        <is>
          <t>Tannen-Dekoration</t>
        </is>
      </c>
      <c r="F234" s="16" t="inlineStr">
        <is>
          <t>Dekoration in Tannenform.</t>
        </is>
      </c>
      <c r="G234" s="15" t="inlineStr">
        <is>
          <t>Deko</t>
        </is>
      </c>
      <c r="H234" s="15" t="inlineStr">
        <is>
          <t>Flur 1</t>
        </is>
      </c>
      <c r="I234" s="15" t="inlineStr">
        <is>
          <t>C</t>
        </is>
      </c>
      <c r="J234" s="17" t="n">
        <v>1</v>
      </c>
      <c r="K234" s="17" t="n"/>
      <c r="L234" s="18">
        <f>J234-IF(K234="",0,K234)</f>
        <v/>
      </c>
      <c r="M234" s="15" t="inlineStr">
        <is>
          <t>Stück</t>
        </is>
      </c>
      <c r="N234" s="15" t="inlineStr">
        <is>
          <t>gebraucht</t>
        </is>
      </c>
      <c r="O234" s="19" t="n"/>
      <c r="P234" s="19" t="inlineStr">
        <is>
          <t>ja</t>
        </is>
      </c>
      <c r="Q234" s="19" t="n"/>
      <c r="R234" s="20" t="n"/>
      <c r="S234" s="20" t="n">
        <v>25</v>
      </c>
      <c r="T234" s="19" t="inlineStr">
        <is>
          <t>VHB</t>
        </is>
      </c>
      <c r="U234" s="21">
        <f>L234*S234</f>
        <v/>
      </c>
      <c r="V234" s="15" t="inlineStr">
        <is>
          <t>nur Abholung</t>
        </is>
      </c>
      <c r="W234" s="15" t="n"/>
      <c r="X234" s="19" t="inlineStr">
        <is>
          <t>nein</t>
        </is>
      </c>
      <c r="Y234" s="19" t="n"/>
      <c r="Z234" s="19" t="inlineStr">
        <is>
          <t>verfügbar</t>
        </is>
      </c>
      <c r="AA234" s="19" t="n"/>
      <c r="AB234" s="19" t="n"/>
      <c r="AC234" s="19" t="n"/>
      <c r="AD234" s="20" t="n"/>
      <c r="AE234" s="21">
        <f>IF(K234="","",K234*AD234)</f>
        <v/>
      </c>
      <c r="AF234" s="19" t="n"/>
      <c r="AG234" s="19" t="n"/>
      <c r="AH234" s="19" t="n"/>
      <c r="AI234" s="19" t="n"/>
      <c r="AJ234" s="19" t="n"/>
      <c r="AK234" s="19" t="n"/>
      <c r="AL234" s="16" t="inlineStr">
        <is>
          <t>1 Stück.</t>
        </is>
      </c>
      <c r="AM234" s="22" t="inlineStr">
        <is>
          <t>OFFEN: Foto fehlt - IMG_2291 ist nicht angekommen. Beschreibung und Preis sind daher vorlaeufig. Moeglicherweise dieselben Stuecke wie NE01-15 (Deko-Tannenbaum schwarz, 3 Stueck), die dort durchgestrichen wurden.</t>
        </is>
      </c>
    </row>
    <row r="235" ht="30" customHeight="1">
      <c r="A235" s="15" t="inlineStr">
        <is>
          <t>BA01-04</t>
        </is>
      </c>
      <c r="B235" s="15" t="n"/>
      <c r="C235" s="15" t="n"/>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1</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20" t="n"/>
      <c r="AE235" s="21">
        <f>IF(K235="","",K235*AD235)</f>
        <v/>
      </c>
      <c r="AF235" s="19" t="n"/>
      <c r="AG235" s="19" t="n"/>
      <c r="AH235" s="19" t="n"/>
      <c r="AI235" s="19" t="n"/>
      <c r="AJ235" s="19" t="n"/>
      <c r="AK235" s="19" t="n"/>
      <c r="AL235" s="16" t="inlineStr">
        <is>
          <t>1 Stück.</t>
        </is>
      </c>
      <c r="AM235" s="22" t="n"/>
    </row>
  </sheetData>
  <autoFilter ref="A2:AM235"/>
  <mergeCells count="7">
    <mergeCell ref="AH1:AK1"/>
    <mergeCell ref="S1:U1"/>
    <mergeCell ref="Q1:R1"/>
    <mergeCell ref="A1:P1"/>
    <mergeCell ref="V1:AC1"/>
    <mergeCell ref="AL1:AM1"/>
    <mergeCell ref="AD1:AG1"/>
  </mergeCells>
  <conditionalFormatting sqref="Z3:Z23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35">
    <cfRule type="cellIs" priority="4" operator="equal" dxfId="3">
      <formula>"A"</formula>
    </cfRule>
  </conditionalFormatting>
  <conditionalFormatting sqref="P3:P23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COUNTA(Artikelstamm!$A$3:$A$235)</f>
        <v/>
      </c>
    </row>
    <row r="6">
      <c r="A6" s="26" t="inlineStr">
        <is>
          <t>davon verfügbar</t>
        </is>
      </c>
      <c r="B6" s="27">
        <f>COUNTIF(Artikelstamm!$Z$3:$Z$235,"verfügbar")</f>
        <v/>
      </c>
    </row>
    <row r="7">
      <c r="A7" s="26" t="inlineStr">
        <is>
          <t>davon reserviert</t>
        </is>
      </c>
      <c r="B7" s="27">
        <f>COUNTIF(Artikelstamm!$Z$3:$Z$235,"reserviert")</f>
        <v/>
      </c>
    </row>
    <row r="8">
      <c r="A8" s="26" t="inlineStr">
        <is>
          <t>davon teilverkauft</t>
        </is>
      </c>
      <c r="B8" s="27">
        <f>COUNTIF(Artikelstamm!$Z$3:$Z$235,"teilverkauft")</f>
        <v/>
      </c>
    </row>
    <row r="9">
      <c r="A9" s="26" t="inlineStr">
        <is>
          <t>davon verkauft</t>
        </is>
      </c>
      <c r="B9" s="27">
        <f>COUNTIF(Artikelstamm!$Z$3:$Z$235,"verkauft")</f>
        <v/>
      </c>
    </row>
    <row r="10">
      <c r="A10" s="26" t="inlineStr">
        <is>
          <t>Einheiten noch im Bestand</t>
        </is>
      </c>
      <c r="B10" s="27">
        <f>SUM(Artikelstamm!$L$3:$L$235)</f>
        <v/>
      </c>
    </row>
    <row r="11">
      <c r="A11" s="28" t="inlineStr">
        <is>
          <t>Restbestand zu Wunschpreisen (netto)</t>
        </is>
      </c>
      <c r="B11" s="29">
        <f>SUM(Artikelstamm!$U$3:$U$235)</f>
        <v/>
      </c>
    </row>
    <row r="12">
      <c r="A12" s="25" t="inlineStr">
        <is>
          <t>Erlöse</t>
        </is>
      </c>
    </row>
    <row r="13">
      <c r="A13" s="26" t="inlineStr">
        <is>
          <t>Verkaufte Einheiten</t>
        </is>
      </c>
      <c r="B13" s="27">
        <f>SUM(Artikelstamm!$K$3:$K$235)</f>
        <v/>
      </c>
    </row>
    <row r="14">
      <c r="A14" s="26" t="inlineStr">
        <is>
          <t>Umsatz netto</t>
        </is>
      </c>
      <c r="B14" s="30">
        <f>SUMPRODUCT(Artikelstamm!$K$3:$K$235,Artikelstamm!$AD$3:$AD$235)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SUMPRODUCT((Artikelstamm!$AI$3:$AI$235="bezahlt")*Artikelstamm!$K$3:$K$235*Artikelstamm!$AD$3:$AD$235)</f>
        <v/>
      </c>
    </row>
    <row r="18">
      <c r="A18" s="26" t="inlineStr">
        <is>
          <t>noch offen (netto)</t>
        </is>
      </c>
      <c r="B18" s="30">
        <f>B14-B17</f>
        <v/>
      </c>
    </row>
    <row r="20">
      <c r="A20" s="25" t="inlineStr">
        <is>
          <t>To-do</t>
        </is>
      </c>
    </row>
    <row r="21">
      <c r="A21" s="28" t="inlineStr">
        <is>
          <t>Rechnungen noch zu schreiben</t>
        </is>
      </c>
      <c r="B21" s="31">
        <f>COUNTIFS(Artikelstamm!$Z$3:$Z$235,"*verkauft",Artikelstamm!$AH$3:$AH$235,"")</f>
        <v/>
      </c>
    </row>
    <row r="22">
      <c r="A22" s="28" t="inlineStr">
        <is>
          <t>Rechnungen offen (unbezahlt)</t>
        </is>
      </c>
      <c r="B22" s="31">
        <f>COUNTIFS(Artikelstamm!$Z$3:$Z$235,"*verkauft",Artikelstamm!$AI$3:$AI$235,"offen")</f>
        <v/>
      </c>
    </row>
    <row r="23">
      <c r="A23" s="26" t="inlineStr">
        <is>
          <t>Reservierungen ohne Abholtermin</t>
        </is>
      </c>
      <c r="B23" s="27">
        <f>COUNTIFS(Artikelstamm!$Z$3:$Z$235,"reserviert",Artikelstamm!$AK$3:$AK$235,"")</f>
        <v/>
      </c>
    </row>
    <row r="24">
      <c r="A24" s="26" t="inlineStr">
        <is>
          <t>Artikel ohne Preis</t>
        </is>
      </c>
      <c r="B24" s="27">
        <f>COUNTIFS(Artikelstamm!$S$3:$S$235,"")</f>
        <v/>
      </c>
    </row>
    <row r="25">
      <c r="A25" s="26" t="inlineStr">
        <is>
          <t>Artikel ohne Maßangabe</t>
        </is>
      </c>
      <c r="B25" s="27">
        <f>COUNTIFS(Artikelstamm!$O$3:$O$235,"")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COUNTIF(Artikelstamm!$I$3:$I$235,$A30)</f>
        <v/>
      </c>
      <c r="C30" s="34">
        <f>SUMPRODUCT((Artikelstamm!$I$3:$I$235=$A30)*Artikelstamm!$K$3:$K$235*Artikelstamm!$AD$3:$AD$235)</f>
        <v/>
      </c>
      <c r="D30" s="34">
        <f>SUMIF(Artikelstamm!$I$3:$I$235,$A30,Artikelstamm!$U$3:$U$235)</f>
        <v/>
      </c>
    </row>
    <row r="31">
      <c r="A31" s="26" t="inlineStr">
        <is>
          <t>B</t>
        </is>
      </c>
      <c r="B31" s="33">
        <f>COUNTIF(Artikelstamm!$I$3:$I$235,$A31)</f>
        <v/>
      </c>
      <c r="C31" s="34">
        <f>SUMPRODUCT((Artikelstamm!$I$3:$I$235=$A31)*Artikelstamm!$K$3:$K$235*Artikelstamm!$AD$3:$AD$235)</f>
        <v/>
      </c>
      <c r="D31" s="34">
        <f>SUMIF(Artikelstamm!$I$3:$I$235,$A31,Artikelstamm!$U$3:$U$235)</f>
        <v/>
      </c>
    </row>
    <row r="32">
      <c r="A32" s="26" t="inlineStr">
        <is>
          <t>C</t>
        </is>
      </c>
      <c r="B32" s="33">
        <f>COUNTIF(Artikelstamm!$I$3:$I$235,$A32)</f>
        <v/>
      </c>
      <c r="C32" s="34">
        <f>SUMPRODUCT((Artikelstamm!$I$3:$I$235=$A32)*Artikelstamm!$K$3:$K$235*Artikelstamm!$AD$3:$AD$235)</f>
        <v/>
      </c>
      <c r="D32" s="34">
        <f>SUMIF(Artikelstamm!$I$3:$I$235,$A32,Artikelstamm!$U$3:$U$235)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COUNTIF(Artikelstamm!$G$3:$G$235,$A37)</f>
        <v/>
      </c>
      <c r="C37" s="34">
        <f>SUMPRODUCT((Artikelstamm!$G$3:$G$235=$A37)*Artikelstamm!$K$3:$K$235*Artikelstamm!$AD$3:$AD$235)</f>
        <v/>
      </c>
      <c r="D37" s="34">
        <f>SUMIF(Artikelstamm!$G$3:$G$235,$A37,Artikelstamm!$U$3:$U$235)</f>
        <v/>
      </c>
    </row>
    <row r="38">
      <c r="A38" s="26" t="inlineStr">
        <is>
          <t>Deko</t>
        </is>
      </c>
      <c r="B38" s="33">
        <f>COUNTIF(Artikelstamm!$G$3:$G$235,$A38)</f>
        <v/>
      </c>
      <c r="C38" s="34">
        <f>SUMPRODUCT((Artikelstamm!$G$3:$G$235=$A38)*Artikelstamm!$K$3:$K$235*Artikelstamm!$AD$3:$AD$235)</f>
        <v/>
      </c>
      <c r="D38" s="34">
        <f>SUMIF(Artikelstamm!$G$3:$G$235,$A38,Artikelstamm!$U$3:$U$235)</f>
        <v/>
      </c>
    </row>
    <row r="39">
      <c r="A39" s="26" t="inlineStr">
        <is>
          <t>Designmöbel</t>
        </is>
      </c>
      <c r="B39" s="33">
        <f>COUNTIF(Artikelstamm!$G$3:$G$235,$A39)</f>
        <v/>
      </c>
      <c r="C39" s="34">
        <f>SUMPRODUCT((Artikelstamm!$G$3:$G$235=$A39)*Artikelstamm!$K$3:$K$235*Artikelstamm!$AD$3:$AD$235)</f>
        <v/>
      </c>
      <c r="D39" s="34">
        <f>SUMIF(Artikelstamm!$G$3:$G$235,$A39,Artikelstamm!$U$3:$U$235)</f>
        <v/>
      </c>
    </row>
    <row r="40">
      <c r="A40" s="26" t="inlineStr">
        <is>
          <t>Garten</t>
        </is>
      </c>
      <c r="B40" s="33">
        <f>COUNTIF(Artikelstamm!$G$3:$G$235,$A40)</f>
        <v/>
      </c>
      <c r="C40" s="34">
        <f>SUMPRODUCT((Artikelstamm!$G$3:$G$235=$A40)*Artikelstamm!$K$3:$K$235*Artikelstamm!$AD$3:$AD$235)</f>
        <v/>
      </c>
      <c r="D40" s="34">
        <f>SUMIF(Artikelstamm!$G$3:$G$235,$A40,Artikelstamm!$U$3:$U$235)</f>
        <v/>
      </c>
    </row>
    <row r="41">
      <c r="A41" s="26" t="inlineStr">
        <is>
          <t>Kita-Ausstattung</t>
        </is>
      </c>
      <c r="B41" s="33">
        <f>COUNTIF(Artikelstamm!$G$3:$G$235,$A41)</f>
        <v/>
      </c>
      <c r="C41" s="34">
        <f>SUMPRODUCT((Artikelstamm!$G$3:$G$235=$A41)*Artikelstamm!$K$3:$K$235*Artikelstamm!$AD$3:$AD$235)</f>
        <v/>
      </c>
      <c r="D41" s="34">
        <f>SUMIF(Artikelstamm!$G$3:$G$235,$A41,Artikelstamm!$U$3:$U$235)</f>
        <v/>
      </c>
    </row>
    <row r="42">
      <c r="A42" s="26" t="inlineStr">
        <is>
          <t>Kunst</t>
        </is>
      </c>
      <c r="B42" s="33">
        <f>COUNTIF(Artikelstamm!$G$3:$G$235,$A42)</f>
        <v/>
      </c>
      <c r="C42" s="34">
        <f>SUMPRODUCT((Artikelstamm!$G$3:$G$235=$A42)*Artikelstamm!$K$3:$K$235*Artikelstamm!$AD$3:$AD$235)</f>
        <v/>
      </c>
      <c r="D42" s="34">
        <f>SUMIF(Artikelstamm!$G$3:$G$235,$A42,Artikelstamm!$U$3:$U$235)</f>
        <v/>
      </c>
    </row>
    <row r="43">
      <c r="A43" s="26" t="inlineStr">
        <is>
          <t>Leuchten</t>
        </is>
      </c>
      <c r="B43" s="33">
        <f>COUNTIF(Artikelstamm!$G$3:$G$235,$A43)</f>
        <v/>
      </c>
      <c r="C43" s="34">
        <f>SUMPRODUCT((Artikelstamm!$G$3:$G$235=$A43)*Artikelstamm!$K$3:$K$235*Artikelstamm!$AD$3:$AD$235)</f>
        <v/>
      </c>
      <c r="D43" s="34">
        <f>SUMIF(Artikelstamm!$G$3:$G$235,$A43,Artikelstamm!$U$3:$U$235)</f>
        <v/>
      </c>
    </row>
    <row r="44">
      <c r="A44" s="26" t="inlineStr">
        <is>
          <t>Möbel</t>
        </is>
      </c>
      <c r="B44" s="33">
        <f>COUNTIF(Artikelstamm!$G$3:$G$235,$A44)</f>
        <v/>
      </c>
      <c r="C44" s="34">
        <f>SUMPRODUCT((Artikelstamm!$G$3:$G$235=$A44)*Artikelstamm!$K$3:$K$235*Artikelstamm!$AD$3:$AD$235)</f>
        <v/>
      </c>
      <c r="D44" s="34">
        <f>SUMIF(Artikelstamm!$G$3:$G$235,$A44,Artikelstamm!$U$3:$U$235)</f>
        <v/>
      </c>
    </row>
    <row r="45">
      <c r="A45" s="26" t="inlineStr">
        <is>
          <t>Pflanzen</t>
        </is>
      </c>
      <c r="B45" s="33">
        <f>COUNTIF(Artikelstamm!$G$3:$G$235,$A45)</f>
        <v/>
      </c>
      <c r="C45" s="34">
        <f>SUMPRODUCT((Artikelstamm!$G$3:$G$235=$A45)*Artikelstamm!$K$3:$K$235*Artikelstamm!$AD$3:$AD$235)</f>
        <v/>
      </c>
      <c r="D45" s="34">
        <f>SUMIF(Artikelstamm!$G$3:$G$235,$A45,Artikelstamm!$U$3:$U$235)</f>
        <v/>
      </c>
    </row>
    <row r="46">
      <c r="A46" s="26" t="inlineStr">
        <is>
          <t>Sonstiges</t>
        </is>
      </c>
      <c r="B46" s="33">
        <f>COUNTIF(Artikelstamm!$G$3:$G$235,$A46)</f>
        <v/>
      </c>
      <c r="C46" s="34">
        <f>SUMPRODUCT((Artikelstamm!$G$3:$G$235=$A46)*Artikelstamm!$K$3:$K$235*Artikelstamm!$AD$3:$AD$235)</f>
        <v/>
      </c>
      <c r="D46" s="34">
        <f>SUMIF(Artikelstamm!$G$3:$G$235,$A46,Artikelstamm!$U$3:$U$235)</f>
        <v/>
      </c>
    </row>
    <row r="47">
      <c r="A47" s="26" t="inlineStr">
        <is>
          <t>Technik</t>
        </is>
      </c>
      <c r="B47" s="33">
        <f>COUNTIF(Artikelstamm!$G$3:$G$235,$A47)</f>
        <v/>
      </c>
      <c r="C47" s="34">
        <f>SUMPRODUCT((Artikelstamm!$G$3:$G$235=$A47)*Artikelstamm!$K$3:$K$235*Artikelstamm!$AD$3:$AD$235)</f>
        <v/>
      </c>
      <c r="D47" s="34">
        <f>SUMIF(Artikelstamm!$G$3:$G$235,$A47,Artikelstamm!$U$3:$U$235)</f>
        <v/>
      </c>
    </row>
    <row r="48">
      <c r="A48" s="26" t="inlineStr">
        <is>
          <t>Textilien</t>
        </is>
      </c>
      <c r="B48" s="33">
        <f>COUNTIF(Artikelstamm!$G$3:$G$235,$A48)</f>
        <v/>
      </c>
      <c r="C48" s="34">
        <f>SUMPRODUCT((Artikelstamm!$G$3:$G$235=$A48)*Artikelstamm!$K$3:$K$235*Artikelstamm!$AD$3:$AD$235)</f>
        <v/>
      </c>
      <c r="D48" s="34">
        <f>SUMIF(Artikelstamm!$G$3:$G$235,$A48,Artikelstamm!$U$3:$U$235)</f>
        <v/>
      </c>
    </row>
    <row r="49">
      <c r="A49" s="26" t="inlineStr">
        <is>
          <t>Uhren</t>
        </is>
      </c>
      <c r="B49" s="33">
        <f>COUNTIF(Artikelstamm!$G$3:$G$235,$A49)</f>
        <v/>
      </c>
      <c r="C49" s="34">
        <f>SUMPRODUCT((Artikelstamm!$G$3:$G$235=$A49)*Artikelstamm!$K$3:$K$235*Artikelstamm!$AD$3:$AD$235)</f>
        <v/>
      </c>
      <c r="D49" s="34">
        <f>SUMIF(Artikelstamm!$G$3:$G$235,$A49,Artikelstamm!$U$3:$U$235)</f>
        <v/>
      </c>
    </row>
    <row r="50">
      <c r="A50" s="26" t="inlineStr">
        <is>
          <t>Verbrauchsmaterial</t>
        </is>
      </c>
      <c r="B50" s="33">
        <f>COUNTIF(Artikelstamm!$G$3:$G$235,$A50)</f>
        <v/>
      </c>
      <c r="C50" s="34">
        <f>SUMPRODUCT((Artikelstamm!$G$3:$G$235=$A50)*Artikelstamm!$K$3:$K$235*Artikelstamm!$AD$3:$AD$235)</f>
        <v/>
      </c>
      <c r="D50" s="34">
        <f>SUMIF(Artikelstamm!$G$3:$G$235,$A50,Artikelstamm!$U$3:$U$235)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COUNTIF(Artikelstamm!$H$3:$H$235,$A55)</f>
        <v/>
      </c>
      <c r="C55" s="34">
        <f>SUMPRODUCT((Artikelstamm!$H$3:$H$235=$A55)*Artikelstamm!$K$3:$K$235*Artikelstamm!$AD$3:$AD$235)</f>
        <v/>
      </c>
      <c r="D55" s="34">
        <f>SUMIF(Artikelstamm!$H$3:$H$235,$A55,Artikelstamm!$U$3:$U$235)</f>
        <v/>
      </c>
    </row>
    <row r="56">
      <c r="A56" s="26" t="inlineStr">
        <is>
          <t>Büro</t>
        </is>
      </c>
      <c r="B56" s="33">
        <f>COUNTIF(Artikelstamm!$H$3:$H$235,$A56)</f>
        <v/>
      </c>
      <c r="C56" s="34">
        <f>SUMPRODUCT((Artikelstamm!$H$3:$H$235=$A56)*Artikelstamm!$K$3:$K$235*Artikelstamm!$AD$3:$AD$235)</f>
        <v/>
      </c>
      <c r="D56" s="34">
        <f>SUMIF(Artikelstamm!$H$3:$H$235,$A56,Artikelstamm!$U$3:$U$235)</f>
        <v/>
      </c>
    </row>
    <row r="57">
      <c r="A57" s="26" t="inlineStr">
        <is>
          <t>Büro / Besprechung</t>
        </is>
      </c>
      <c r="B57" s="33">
        <f>COUNTIF(Artikelstamm!$H$3:$H$235,$A57)</f>
        <v/>
      </c>
      <c r="C57" s="34">
        <f>SUMPRODUCT((Artikelstamm!$H$3:$H$235=$A57)*Artikelstamm!$K$3:$K$235*Artikelstamm!$AD$3:$AD$235)</f>
        <v/>
      </c>
      <c r="D57" s="34">
        <f>SUMIF(Artikelstamm!$H$3:$H$235,$A57,Artikelstamm!$U$3:$U$235)</f>
        <v/>
      </c>
    </row>
    <row r="58">
      <c r="A58" s="26" t="inlineStr">
        <is>
          <t>Dachterrasse</t>
        </is>
      </c>
      <c r="B58" s="33">
        <f>COUNTIF(Artikelstamm!$H$3:$H$235,$A58)</f>
        <v/>
      </c>
      <c r="C58" s="34">
        <f>SUMPRODUCT((Artikelstamm!$H$3:$H$235=$A58)*Artikelstamm!$K$3:$K$235*Artikelstamm!$AD$3:$AD$235)</f>
        <v/>
      </c>
      <c r="D58" s="34">
        <f>SUMIF(Artikelstamm!$H$3:$H$235,$A58,Artikelstamm!$U$3:$U$235)</f>
        <v/>
      </c>
    </row>
    <row r="59">
      <c r="A59" s="26" t="inlineStr">
        <is>
          <t>Flur</t>
        </is>
      </c>
      <c r="B59" s="33">
        <f>COUNTIF(Artikelstamm!$H$3:$H$235,$A59)</f>
        <v/>
      </c>
      <c r="C59" s="34">
        <f>SUMPRODUCT((Artikelstamm!$H$3:$H$235=$A59)*Artikelstamm!$K$3:$K$235*Artikelstamm!$AD$3:$AD$235)</f>
        <v/>
      </c>
      <c r="D59" s="34">
        <f>SUMIF(Artikelstamm!$H$3:$H$235,$A59,Artikelstamm!$U$3:$U$235)</f>
        <v/>
      </c>
    </row>
    <row r="60">
      <c r="A60" s="26" t="inlineStr">
        <is>
          <t>Flur 1</t>
        </is>
      </c>
      <c r="B60" s="33">
        <f>COUNTIF(Artikelstamm!$H$3:$H$235,$A60)</f>
        <v/>
      </c>
      <c r="C60" s="34">
        <f>SUMPRODUCT((Artikelstamm!$H$3:$H$235=$A60)*Artikelstamm!$K$3:$K$235*Artikelstamm!$AD$3:$AD$235)</f>
        <v/>
      </c>
      <c r="D60" s="34">
        <f>SUMIF(Artikelstamm!$H$3:$H$235,$A60,Artikelstamm!$U$3:$U$235)</f>
        <v/>
      </c>
    </row>
    <row r="61">
      <c r="A61" s="26" t="inlineStr">
        <is>
          <t>Garage</t>
        </is>
      </c>
      <c r="B61" s="33">
        <f>COUNTIF(Artikelstamm!$H$3:$H$235,$A61)</f>
        <v/>
      </c>
      <c r="C61" s="34">
        <f>SUMPRODUCT((Artikelstamm!$H$3:$H$235=$A61)*Artikelstamm!$K$3:$K$235*Artikelstamm!$AD$3:$AD$235)</f>
        <v/>
      </c>
      <c r="D61" s="34">
        <f>SUMIF(Artikelstamm!$H$3:$H$235,$A61,Artikelstamm!$U$3:$U$235)</f>
        <v/>
      </c>
    </row>
    <row r="62">
      <c r="A62" s="26" t="inlineStr">
        <is>
          <t>Gartenanlage</t>
        </is>
      </c>
      <c r="B62" s="33">
        <f>COUNTIF(Artikelstamm!$H$3:$H$235,$A62)</f>
        <v/>
      </c>
      <c r="C62" s="34">
        <f>SUMPRODUCT((Artikelstamm!$H$3:$H$235=$A62)*Artikelstamm!$K$3:$K$235*Artikelstamm!$AD$3:$AD$235)</f>
        <v/>
      </c>
      <c r="D62" s="34">
        <f>SUMIF(Artikelstamm!$H$3:$H$235,$A62,Artikelstamm!$U$3:$U$235)</f>
        <v/>
      </c>
    </row>
    <row r="63">
      <c r="A63" s="26" t="inlineStr">
        <is>
          <t>Gruppenraum</t>
        </is>
      </c>
      <c r="B63" s="33">
        <f>COUNTIF(Artikelstamm!$H$3:$H$235,$A63)</f>
        <v/>
      </c>
      <c r="C63" s="34">
        <f>SUMPRODUCT((Artikelstamm!$H$3:$H$235=$A63)*Artikelstamm!$K$3:$K$235*Artikelstamm!$AD$3:$AD$235)</f>
        <v/>
      </c>
      <c r="D63" s="34">
        <f>SUMIF(Artikelstamm!$H$3:$H$235,$A63,Artikelstamm!$U$3:$U$235)</f>
        <v/>
      </c>
    </row>
    <row r="64">
      <c r="A64" s="26" t="inlineStr">
        <is>
          <t>Gruppenraum 2</t>
        </is>
      </c>
      <c r="B64" s="33">
        <f>COUNTIF(Artikelstamm!$H$3:$H$235,$A64)</f>
        <v/>
      </c>
      <c r="C64" s="34">
        <f>SUMPRODUCT((Artikelstamm!$H$3:$H$235=$A64)*Artikelstamm!$K$3:$K$235*Artikelstamm!$AD$3:$AD$235)</f>
        <v/>
      </c>
      <c r="D64" s="34">
        <f>SUMIF(Artikelstamm!$H$3:$H$235,$A64,Artikelstamm!$U$3:$U$235)</f>
        <v/>
      </c>
    </row>
    <row r="65">
      <c r="A65" s="26" t="inlineStr">
        <is>
          <t>Gruppenraum 4</t>
        </is>
      </c>
      <c r="B65" s="33">
        <f>COUNTIF(Artikelstamm!$H$3:$H$235,$A65)</f>
        <v/>
      </c>
      <c r="C65" s="34">
        <f>SUMPRODUCT((Artikelstamm!$H$3:$H$235=$A65)*Artikelstamm!$K$3:$K$235*Artikelstamm!$AD$3:$AD$235)</f>
        <v/>
      </c>
      <c r="D65" s="34">
        <f>SUMIF(Artikelstamm!$H$3:$H$235,$A65,Artikelstamm!$U$3:$U$235)</f>
        <v/>
      </c>
    </row>
    <row r="66">
      <c r="A66" s="26" t="inlineStr">
        <is>
          <t>Gruppenraum 5</t>
        </is>
      </c>
      <c r="B66" s="33">
        <f>COUNTIF(Artikelstamm!$H$3:$H$235,$A66)</f>
        <v/>
      </c>
      <c r="C66" s="34">
        <f>SUMPRODUCT((Artikelstamm!$H$3:$H$235=$A66)*Artikelstamm!$K$3:$K$235*Artikelstamm!$AD$3:$AD$235)</f>
        <v/>
      </c>
      <c r="D66" s="34">
        <f>SUMIF(Artikelstamm!$H$3:$H$235,$A66,Artikelstamm!$U$3:$U$235)</f>
        <v/>
      </c>
    </row>
    <row r="67">
      <c r="A67" s="26" t="inlineStr">
        <is>
          <t>Personal</t>
        </is>
      </c>
      <c r="B67" s="33">
        <f>COUNTIF(Artikelstamm!$H$3:$H$235,$A67)</f>
        <v/>
      </c>
      <c r="C67" s="34">
        <f>SUMPRODUCT((Artikelstamm!$H$3:$H$235=$A67)*Artikelstamm!$K$3:$K$235*Artikelstamm!$AD$3:$AD$235)</f>
        <v/>
      </c>
      <c r="D67" s="34">
        <f>SUMIF(Artikelstamm!$H$3:$H$235,$A67,Artikelstamm!$U$3:$U$235)</f>
        <v/>
      </c>
    </row>
    <row r="68">
      <c r="A68" s="26" t="inlineStr">
        <is>
          <t>Ruhe- / Schlafraum</t>
        </is>
      </c>
      <c r="B68" s="33">
        <f>COUNTIF(Artikelstamm!$H$3:$H$235,$A68)</f>
        <v/>
      </c>
      <c r="C68" s="34">
        <f>SUMPRODUCT((Artikelstamm!$H$3:$H$235=$A68)*Artikelstamm!$K$3:$K$235*Artikelstamm!$AD$3:$AD$235)</f>
        <v/>
      </c>
      <c r="D68" s="34">
        <f>SUMIF(Artikelstamm!$H$3:$H$235,$A68,Artikelstamm!$U$3:$U$235)</f>
        <v/>
      </c>
    </row>
    <row r="69">
      <c r="A69" s="26" t="inlineStr">
        <is>
          <t>Schlafraum 4</t>
        </is>
      </c>
      <c r="B69" s="33">
        <f>COUNTIF(Artikelstamm!$H$3:$H$235,$A69)</f>
        <v/>
      </c>
      <c r="C69" s="34">
        <f>SUMPRODUCT((Artikelstamm!$H$3:$H$235=$A69)*Artikelstamm!$K$3:$K$235*Artikelstamm!$AD$3:$AD$235)</f>
        <v/>
      </c>
      <c r="D69" s="34">
        <f>SUMIF(Artikelstamm!$H$3:$H$235,$A69,Artikelstamm!$U$3:$U$235)</f>
        <v/>
      </c>
    </row>
    <row r="70">
      <c r="A70" s="26" t="inlineStr">
        <is>
          <t>Schlafraum 5</t>
        </is>
      </c>
      <c r="B70" s="33">
        <f>COUNTIF(Artikelstamm!$H$3:$H$235,$A70)</f>
        <v/>
      </c>
      <c r="C70" s="34">
        <f>SUMPRODUCT((Artikelstamm!$H$3:$H$235=$A70)*Artikelstamm!$K$3:$K$235*Artikelstamm!$AD$3:$AD$235)</f>
        <v/>
      </c>
      <c r="D70" s="34">
        <f>SUMIF(Artikelstamm!$H$3:$H$235,$A70,Artikelstamm!$U$3:$U$235)</f>
        <v/>
      </c>
    </row>
    <row r="71">
      <c r="A71" s="26" t="inlineStr">
        <is>
          <t>Speisesaal</t>
        </is>
      </c>
      <c r="B71" s="33">
        <f>COUNTIF(Artikelstamm!$H$3:$H$235,$A71)</f>
        <v/>
      </c>
      <c r="C71" s="34">
        <f>SUMPRODUCT((Artikelstamm!$H$3:$H$235=$A71)*Artikelstamm!$K$3:$K$235*Artikelstamm!$AD$3:$AD$235)</f>
        <v/>
      </c>
      <c r="D71" s="34">
        <f>SUMIF(Artikelstamm!$H$3:$H$235,$A71,Artikelstamm!$U$3:$U$235)</f>
        <v/>
      </c>
    </row>
    <row r="72">
      <c r="A72" s="26" t="inlineStr">
        <is>
          <t>Terrasse</t>
        </is>
      </c>
      <c r="B72" s="33">
        <f>COUNTIF(Artikelstamm!$H$3:$H$235,$A72)</f>
        <v/>
      </c>
      <c r="C72" s="34">
        <f>SUMPRODUCT((Artikelstamm!$H$3:$H$235=$A72)*Artikelstamm!$K$3:$K$235*Artikelstamm!$AD$3:$AD$235)</f>
        <v/>
      </c>
      <c r="D72" s="34">
        <f>SUMIF(Artikelstamm!$H$3:$H$235,$A72,Artikelstamm!$U$3:$U$235)</f>
        <v/>
      </c>
    </row>
    <row r="73">
      <c r="A73" s="26" t="inlineStr">
        <is>
          <t>Treppenraum 1</t>
        </is>
      </c>
      <c r="B73" s="33">
        <f>COUNTIF(Artikelstamm!$H$3:$H$235,$A73)</f>
        <v/>
      </c>
      <c r="C73" s="34">
        <f>SUMPRODUCT((Artikelstamm!$H$3:$H$235=$A73)*Artikelstamm!$K$3:$K$235*Artikelstamm!$AD$3:$AD$235)</f>
        <v/>
      </c>
      <c r="D73" s="34">
        <f>SUMIF(Artikelstamm!$H$3:$H$235,$A73,Artikelstamm!$U$3:$U$235)</f>
        <v/>
      </c>
    </row>
    <row r="74">
      <c r="A74" s="26" t="inlineStr">
        <is>
          <t>WC</t>
        </is>
      </c>
      <c r="B74" s="33">
        <f>COUNTIF(Artikelstamm!$H$3:$H$235,$A74)</f>
        <v/>
      </c>
      <c r="C74" s="34">
        <f>SUMPRODUCT((Artikelstamm!$H$3:$H$235=$A74)*Artikelstamm!$K$3:$K$235*Artikelstamm!$AD$3:$AD$235)</f>
        <v/>
      </c>
      <c r="D74" s="34">
        <f>SUMIF(Artikelstamm!$H$3:$H$235,$A74,Artikelstamm!$U$3:$U$235)</f>
        <v/>
      </c>
    </row>
    <row r="75">
      <c r="A75" s="26" t="inlineStr">
        <is>
          <t>WC Personal</t>
        </is>
      </c>
      <c r="B75" s="33">
        <f>COUNTIF(Artikelstamm!$H$3:$H$235,$A75)</f>
        <v/>
      </c>
      <c r="C75" s="34">
        <f>SUMPRODUCT((Artikelstamm!$H$3:$H$235=$A75)*Artikelstamm!$K$3:$K$235*Artikelstamm!$AD$3:$AD$235)</f>
        <v/>
      </c>
      <c r="D75" s="34">
        <f>SUMIF(Artikelstamm!$H$3:$H$235,$A75,Artikelstamm!$U$3:$U$235)</f>
        <v/>
      </c>
    </row>
    <row r="76">
      <c r="A76" s="26" t="inlineStr">
        <is>
          <t>Werkraum</t>
        </is>
      </c>
      <c r="B76" s="33">
        <f>COUNTIF(Artikelstamm!$H$3:$H$235,$A76)</f>
        <v/>
      </c>
      <c r="C76" s="34">
        <f>SUMPRODUCT((Artikelstamm!$H$3:$H$235=$A76)*Artikelstamm!$K$3:$K$235*Artikelstamm!$AD$3:$AD$235)</f>
        <v/>
      </c>
      <c r="D76" s="34">
        <f>SUMIF(Artikelstamm!$H$3:$H$235,$A76,Artikelstamm!$U$3:$U$235)</f>
        <v/>
      </c>
    </row>
    <row r="77">
      <c r="A77" s="28" t="inlineStr">
        <is>
          <t>Summe</t>
        </is>
      </c>
      <c r="B77" s="35">
        <f>SUM(B55:B76)</f>
        <v/>
      </c>
      <c r="C77" s="36">
        <f>SUM(C55:C76)</f>
        <v/>
      </c>
      <c r="D77" s="36">
        <f>SUM(D55:D76)</f>
        <v/>
      </c>
    </row>
    <row r="79">
      <c r="A79" s="25" t="inlineStr">
        <is>
          <t>Nach Verkaufskanal</t>
        </is>
      </c>
    </row>
    <row r="80">
      <c r="A80" s="32" t="inlineStr">
        <is>
          <t>Verkaufskanal</t>
        </is>
      </c>
      <c r="B80" s="32" t="inlineStr">
        <is>
          <t>Positionen</t>
        </is>
      </c>
      <c r="C80" s="32" t="inlineStr">
        <is>
          <t>Umsatz netto</t>
        </is>
      </c>
    </row>
    <row r="81">
      <c r="A81" s="26" t="inlineStr">
        <is>
          <t>Klinik</t>
        </is>
      </c>
      <c r="B81" s="33">
        <f>COUNTIF(Artikelstamm!$AB$3:$AB$235,$A81)</f>
        <v/>
      </c>
      <c r="C81" s="34">
        <f>SUMPRODUCT((Artikelstamm!$AB$3:$AB$235=$A81)*Artikelstamm!$K$3:$K$235*Artikelstamm!$AD$3:$AD$235)</f>
        <v/>
      </c>
    </row>
    <row r="82">
      <c r="A82" s="26" t="inlineStr">
        <is>
          <t>Kleinanzeigen</t>
        </is>
      </c>
      <c r="B82" s="33">
        <f>COUNTIF(Artikelstamm!$AB$3:$AB$235,$A82)</f>
        <v/>
      </c>
      <c r="C82" s="34">
        <f>SUMPRODUCT((Artikelstamm!$AB$3:$AB$235=$A82)*Artikelstamm!$K$3:$K$235*Artikelstamm!$AD$3:$AD$235)</f>
        <v/>
      </c>
    </row>
    <row r="83">
      <c r="A83" s="26" t="inlineStr">
        <is>
          <t>eBay</t>
        </is>
      </c>
      <c r="B83" s="33">
        <f>COUNTIF(Artikelstamm!$AB$3:$AB$235,$A83)</f>
        <v/>
      </c>
      <c r="C83" s="34">
        <f>SUMPRODUCT((Artikelstamm!$AB$3:$AB$235=$A83)*Artikelstamm!$K$3:$K$235*Artikelstamm!$AD$3:$AD$235)</f>
        <v/>
      </c>
    </row>
    <row r="84">
      <c r="A84" s="26" t="inlineStr">
        <is>
          <t>Direkt</t>
        </is>
      </c>
      <c r="B84" s="33">
        <f>COUNTIF(Artikelstamm!$AB$3:$AB$235,$A84)</f>
        <v/>
      </c>
      <c r="C84" s="34">
        <f>SUMPRODUCT((Artikelstamm!$AB$3:$AB$235=$A84)*Artikelstamm!$K$3:$K$235*Artikelstamm!$AD$3:$AD$235)</f>
        <v/>
      </c>
    </row>
    <row r="85">
      <c r="A85" s="26" t="inlineStr">
        <is>
          <t>Händler</t>
        </is>
      </c>
      <c r="B85" s="33">
        <f>COUNTIF(Artikelstamm!$AB$3:$AB$235,$A85)</f>
        <v/>
      </c>
      <c r="C85" s="34">
        <f>SUMPRODUCT((Artikelstamm!$AB$3:$AB$235=$A85)*Artikelstamm!$K$3:$K$235*Artikelstamm!$AD$3:$AD$235)</f>
        <v/>
      </c>
    </row>
    <row r="86">
      <c r="A86" s="26" t="inlineStr">
        <is>
          <t>Verkaufstag</t>
        </is>
      </c>
      <c r="B86" s="33">
        <f>COUNTIF(Artikelstamm!$AB$3:$AB$235,$A86)</f>
        <v/>
      </c>
      <c r="C86" s="34">
        <f>SUMPRODUCT((Artikelstamm!$AB$3:$AB$235=$A86)*Artikelstamm!$K$3:$K$235*Artikelstamm!$AD$3:$AD$235)</f>
        <v/>
      </c>
    </row>
    <row r="87">
      <c r="A87" s="28" t="inlineStr">
        <is>
          <t>Summe</t>
        </is>
      </c>
      <c r="B87" s="35">
        <f>SUM(B81:B86)</f>
        <v/>
      </c>
      <c r="C87" s="36">
        <f>SUM(C81:C86)</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2026-09-22T13:14:54Z</dcterms:created>
  <dcterms:modified xmlns:dcterms="http://purl.org/dc/terms/" xmlns:xsi="http://www.w3.org/2001/XMLSchema-instance" xsi:type="dcterms:W3CDTF">2026-09-22T13:14:55Z</dcterms:modified>
</cp:coreProperties>
</file>