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Artikelstamm" sheetId="2" state="visible" r:id="rId2"/>
    <sheet name="Verkaufsübersicht" sheetId="3" state="visible" r:id="rId3"/>
    <sheet name="Rechnungen (DATEV)" sheetId="4" state="visible" r:id="rId4"/>
    <sheet name="Kasse" sheetId="5" state="visible" r:id="rId5"/>
  </sheets>
  <definedNames>
    <definedName name="_xlnm._FilterDatabase" localSheetId="1" hidden="1">'Artikelstamm'!$A$2:$AF$144</definedName>
  </definedNames>
  <calcPr calcId="124519" fullCalcOnLoad="1"/>
</workbook>
</file>

<file path=xl/styles.xml><?xml version="1.0" encoding="utf-8"?>
<styleSheet xmlns="http://schemas.openxmlformats.org/spreadsheetml/2006/main">
  <numFmts count="1">
    <numFmt numFmtId="164" formatCode="#,##0.00 &quot;€&quot;"/>
  </numFmts>
  <fonts count="17">
    <font>
      <name val="Calibri"/>
      <family val="2"/>
      <color theme="1"/>
      <sz val="11"/>
      <scheme val="minor"/>
    </font>
    <font>
      <name val="Arial"/>
      <b val="1"/>
      <color rgb="001F3864"/>
      <sz val="16"/>
    </font>
    <font>
      <name val="Arial"/>
      <i val="1"/>
      <color rgb="007F6000"/>
      <sz val="10"/>
    </font>
    <font>
      <name val="Arial"/>
      <b val="1"/>
      <color rgb="001F3864"/>
      <sz val="10"/>
    </font>
    <font>
      <name val="Arial"/>
      <sz val="10"/>
    </font>
    <font>
      <name val="Arial"/>
      <color rgb="00000000"/>
      <sz val="10"/>
    </font>
    <font>
      <name val="Arial"/>
      <color rgb="001F3864"/>
      <sz val="10"/>
    </font>
    <font>
      <name val="Arial"/>
      <b val="1"/>
      <color rgb="00FFFFFF"/>
      <sz val="9"/>
    </font>
    <font>
      <name val="Arial"/>
      <b val="1"/>
      <color rgb="00FFFFFF"/>
      <sz val="10"/>
    </font>
    <font>
      <name val="Arial"/>
      <b val="1"/>
      <color rgb="007F6000"/>
      <sz val="10"/>
    </font>
    <font>
      <name val="Arial"/>
      <b val="1"/>
      <color rgb="001F3864"/>
      <sz val="13"/>
    </font>
    <font>
      <name val="Arial"/>
      <i val="1"/>
      <color rgb="00808080"/>
      <sz val="9"/>
    </font>
    <font>
      <name val="Arial"/>
      <b val="1"/>
      <color rgb="001F3864"/>
      <sz val="12"/>
    </font>
    <font>
      <name val="Arial"/>
      <b val="1"/>
      <sz val="10"/>
    </font>
    <font>
      <name val="Arial"/>
      <b val="1"/>
      <color rgb="001F3864"/>
      <sz val="14"/>
    </font>
    <font>
      <name val="Arial"/>
      <i val="1"/>
      <color rgb="007F6000"/>
      <sz val="9"/>
    </font>
    <font>
      <name val="Arial"/>
      <b val="1"/>
      <sz val="11"/>
    </font>
  </fonts>
  <fills count="12">
    <fill>
      <patternFill/>
    </fill>
    <fill>
      <patternFill patternType="gray125"/>
    </fill>
    <fill>
      <patternFill patternType="solid">
        <fgColor rgb="001F3864"/>
      </patternFill>
    </fill>
    <fill>
      <patternFill patternType="solid">
        <fgColor rgb="007F6000"/>
      </patternFill>
    </fill>
    <fill>
      <patternFill patternType="solid">
        <fgColor rgb="00833C00"/>
      </patternFill>
    </fill>
    <fill>
      <patternFill patternType="solid">
        <fgColor rgb="00375623"/>
      </patternFill>
    </fill>
    <fill>
      <patternFill patternType="solid">
        <fgColor rgb="00633A82"/>
      </patternFill>
    </fill>
    <fill>
      <patternFill patternType="solid">
        <fgColor rgb="000E5A6B"/>
      </patternFill>
    </fill>
    <fill>
      <patternFill patternType="solid">
        <fgColor rgb="00595959"/>
      </patternFill>
    </fill>
    <fill>
      <patternFill patternType="solid">
        <fgColor rgb="002E5A9C"/>
      </patternFill>
    </fill>
    <fill>
      <patternFill patternType="solid">
        <fgColor rgb="00FFF2CC"/>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3"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7" fillId="8" borderId="0" applyAlignment="1" pivotButton="0" quotePrefix="0" xfId="0">
      <alignment horizontal="center" vertical="center"/>
    </xf>
    <xf numFmtId="0" fontId="8" fillId="9" borderId="1" applyAlignment="1" pivotButton="0" quotePrefix="0" xfId="0">
      <alignment horizontal="center" vertical="center" wrapText="1"/>
    </xf>
    <xf numFmtId="0" fontId="9" fillId="10"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10" borderId="1" applyAlignment="1" pivotButton="0" quotePrefix="0" xfId="0">
      <alignment vertical="top"/>
    </xf>
    <xf numFmtId="1" fontId="4" fillId="0" borderId="1" applyAlignment="1" pivotButton="0" quotePrefix="0" xfId="0">
      <alignment vertical="top"/>
    </xf>
    <xf numFmtId="0" fontId="4" fillId="10" borderId="1" applyAlignment="1" pivotButton="0" quotePrefix="0" xfId="0">
      <alignment vertical="top"/>
    </xf>
    <xf numFmtId="164" fontId="4" fillId="10" borderId="1" applyAlignment="1" pivotButton="0" quotePrefix="0" xfId="0">
      <alignment vertical="top"/>
    </xf>
    <xf numFmtId="164" fontId="4" fillId="0" borderId="1" applyAlignment="1" pivotButton="0" quotePrefix="0" xfId="0">
      <alignment vertical="top"/>
    </xf>
    <xf numFmtId="0" fontId="4" fillId="10" borderId="1"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13" fillId="0" borderId="0" pivotButton="0" quotePrefix="0" xfId="0"/>
    <xf numFmtId="164" fontId="13" fillId="11" borderId="0" applyAlignment="1" pivotButton="0" quotePrefix="0" xfId="0">
      <alignment horizontal="right"/>
    </xf>
    <xf numFmtId="164" fontId="4" fillId="0" borderId="0" applyAlignment="1" pivotButton="0" quotePrefix="0" xfId="0">
      <alignment horizontal="right"/>
    </xf>
    <xf numFmtId="1" fontId="13" fillId="11" borderId="0" applyAlignment="1" pivotButton="0" quotePrefix="0" xfId="0">
      <alignment horizontal="right"/>
    </xf>
    <xf numFmtId="0" fontId="8" fillId="9" borderId="0" pivotButton="0" quotePrefix="0" xfId="0"/>
    <xf numFmtId="1" fontId="4" fillId="0" borderId="0" pivotButton="0" quotePrefix="0" xfId="0"/>
    <xf numFmtId="164" fontId="4" fillId="0" borderId="0" pivotButton="0" quotePrefix="0" xfId="0"/>
    <xf numFmtId="1" fontId="13" fillId="11" borderId="0" pivotButton="0" quotePrefix="0" xfId="0"/>
    <xf numFmtId="164" fontId="13" fillId="11" borderId="0" pivotButton="0" quotePrefix="0" xfId="0"/>
    <xf numFmtId="0" fontId="14" fillId="0" borderId="0" pivotButton="0" quotePrefix="0" xfId="0"/>
    <xf numFmtId="0" fontId="15" fillId="10" borderId="0" applyAlignment="1" pivotButton="0" quotePrefix="0" xfId="0">
      <alignment vertical="center" wrapText="1"/>
    </xf>
    <xf numFmtId="0" fontId="4" fillId="0" borderId="1" pivotButton="0" quotePrefix="0" xfId="0"/>
    <xf numFmtId="0" fontId="4" fillId="10" borderId="1" pivotButton="0" quotePrefix="0" xfId="0"/>
    <xf numFmtId="164" fontId="4" fillId="10" borderId="1" pivotButton="0" quotePrefix="0" xfId="0"/>
    <xf numFmtId="164" fontId="4" fillId="0" borderId="1" pivotButton="0" quotePrefix="0" xfId="0"/>
    <xf numFmtId="0" fontId="16" fillId="0" borderId="0" pivotButton="0" quotePrefix="0" xfId="0"/>
    <xf numFmtId="164" fontId="16" fillId="11" borderId="1" pivotButton="0" quotePrefix="0" xfId="0"/>
    <xf numFmtId="164" fontId="0" fillId="0" borderId="0" pivotButton="0" quotePrefix="0" xfId="0"/>
  </cellXfs>
  <cellStyles count="1">
    <cellStyle name="Normal" xfId="0" builtinId="0" hidden="0"/>
  </cellStyles>
  <dxfs count="4">
    <dxf>
      <fill>
        <patternFill patternType="solid">
          <bgColor rgb="00E2EFDA"/>
        </patternFill>
      </fill>
    </dxf>
    <dxf>
      <fill>
        <patternFill patternType="solid">
          <bgColor rgb="00FFF2CC"/>
        </patternFill>
      </fill>
    </dxf>
    <dxf>
      <fill>
        <patternFill patternType="solid">
          <bgColor rgb="00D9D9D9"/>
        </patternFill>
      </fill>
    </dxf>
    <dxf>
      <font>
        <name val="Arial"/>
        <b val="1"/>
        <sz val="10"/>
      </font>
      <fill>
        <patternFill patternType="soli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c r="A1" s="1" t="inlineStr">
        <is>
          <t>Artikelverwaltung Auflösung kikripp – Kurzanleitung</t>
        </is>
      </c>
    </row>
    <row r="2" ht="28" customHeight="1">
      <c r="A2" s="2" t="inlineStr">
        <is>
          <t>Diese Datei liegt in OneDrive und ist die einzige Quelle der Wahrheit. Bitte immer direkt hier arbeiten – nicht herunterladen, bearbeiten und wieder hochladen.</t>
        </is>
      </c>
    </row>
    <row r="4" ht="12" customHeight="1">
      <c r="A4" s="3" t="inlineStr">
        <is>
          <t>Die vier Blätter</t>
        </is>
      </c>
      <c r="B4" s="4" t="inlineStr"/>
    </row>
    <row r="5" ht="30" customHeight="1">
      <c r="A5" s="5" t="inlineStr">
        <is>
          <t xml:space="preserve">  Artikelstamm</t>
        </is>
      </c>
      <c r="B5" s="4" t="inlineStr">
        <is>
          <t>Alle Artikel. Hier wird gepflegt. Gelb hinterlegte Spalten sind die Felder zum Ausfüllen, alles andere rechnet sich selbst oder bleibt stehen.</t>
        </is>
      </c>
    </row>
    <row r="6" ht="30" customHeight="1">
      <c r="A6" s="5" t="inlineStr">
        <is>
          <t xml:space="preserve">  Verkaufsübersicht</t>
        </is>
      </c>
      <c r="B6" s="4" t="inlineStr">
        <is>
          <t>Reines Auswertungsblatt. Umsatz, offene Rechnungen, Restbestand – rechnet automatisch. Hier nichts eintragen.</t>
        </is>
      </c>
    </row>
    <row r="7" ht="30" customHeight="1">
      <c r="A7" s="5" t="inlineStr">
        <is>
          <t xml:space="preserve">  Rechnungen (DATEV)</t>
        </is>
      </c>
      <c r="B7" s="4" t="inlineStr">
        <is>
          <t>Abtippliste: je Zeile eine Rechnung, in der Reihenfolge der DATEV-Erfassungsmaske. Ausdrucken und abarbeiten.</t>
        </is>
      </c>
    </row>
    <row r="8" ht="30" customHeight="1">
      <c r="A8" s="5" t="inlineStr">
        <is>
          <t xml:space="preserve">  Kasse</t>
        </is>
      </c>
      <c r="B8" s="4" t="inlineStr">
        <is>
          <t>Barverkäufe je Tag für das Kassenbuch. Pflicht bei einer GmbH (GoBD).</t>
        </is>
      </c>
    </row>
    <row r="9" ht="12" customHeight="1">
      <c r="A9" s="6" t="inlineStr"/>
      <c r="B9" s="4" t="inlineStr"/>
    </row>
    <row r="10" ht="12" customHeight="1">
      <c r="A10" s="3" t="inlineStr">
        <is>
          <t>Die wichtigsten Regeln</t>
        </is>
      </c>
      <c r="B10" s="4" t="inlineStr"/>
    </row>
    <row r="11" ht="30" customHeight="1">
      <c r="A11" s="5" t="inlineStr">
        <is>
          <t xml:space="preserve">  Ein Artikel verkauft</t>
        </is>
      </c>
      <c r="B11" s="4" t="inlineStr">
        <is>
          <t>Status auf „verkauft“, Verkaufspreis, Verkaufte Menge, Käufer und Datum eintragen. Der Rest rechnet sich.</t>
        </is>
      </c>
    </row>
    <row r="12" ht="30" customHeight="1">
      <c r="A12" s="5" t="inlineStr">
        <is>
          <t xml:space="preserve">  Reservierung</t>
        </is>
      </c>
      <c r="B12" s="4" t="inlineStr">
        <is>
          <t>Status auf „reserviert“, Name und Abholtermin eintragen. Ohne Abholtermin keine Reservierung – sonst blockiert die Ware.</t>
        </is>
      </c>
    </row>
    <row r="13" ht="30" customHeight="1">
      <c r="A13" s="5" t="inlineStr">
        <is>
          <t xml:space="preserve">  Restmenge</t>
        </is>
      </c>
      <c r="B13" s="4" t="inlineStr">
        <is>
          <t>Rechnet sich aus Menge minus verkaufter Menge. Nicht überschreiben.</t>
        </is>
      </c>
    </row>
    <row r="14" ht="30" customHeight="1">
      <c r="A14" s="5" t="inlineStr">
        <is>
          <t xml:space="preserve">  Preise</t>
        </is>
      </c>
      <c r="B14" s="4" t="inlineStr">
        <is>
          <t>Immer netto pro Einheit. Firmen bekommen Nettopreise, Privatpersonen müssen den Bruttopreis sehen (Preisangabenverordnung).</t>
        </is>
      </c>
    </row>
    <row r="15" ht="30" customHeight="1">
      <c r="A15" s="5" t="inlineStr">
        <is>
          <t xml:space="preserve">  Wertklasse</t>
        </is>
      </c>
      <c r="B15" s="4" t="inlineStr">
        <is>
          <t>A = Wertträger, einzeln vermarkten · B = Einzelposition im Katalog · C = Kleinteil, geht in den Verkaufstag.</t>
        </is>
      </c>
    </row>
    <row r="16" ht="30" customHeight="1">
      <c r="A16" s="5" t="inlineStr">
        <is>
          <t xml:space="preserve">  Barzahlung</t>
        </is>
      </c>
      <c r="B16" s="4" t="inlineStr">
        <is>
          <t>Immer zusätzlich im Blatt „Kasse“ erfassen. Die Rechnung mit dem Vermerk „bar erhalten“ allein genügt bei einer GmbH nicht.</t>
        </is>
      </c>
    </row>
    <row r="17" ht="30" customHeight="1">
      <c r="A17" s="5" t="inlineStr">
        <is>
          <t xml:space="preserve">  Anlagennummer</t>
        </is>
      </c>
      <c r="B17" s="4" t="inlineStr">
        <is>
          <t>Wenn bekannt eintragen – der Steuerberater braucht sie für den Anlagenabgang.</t>
        </is>
      </c>
    </row>
    <row r="18" ht="12" customHeight="1">
      <c r="A18" s="6" t="inlineStr"/>
      <c r="B18" s="4" t="inlineStr"/>
    </row>
    <row r="19" ht="30" customHeight="1">
      <c r="A19" s="3" t="inlineStr">
        <is>
          <t>Hinweise zu den Preisen</t>
        </is>
      </c>
      <c r="B19" s="4" t="inlineStr">
        <is>
          <t>Alle Preise in dieser Datei sind Schätzwerte auf Basis der Fotos. Maße, Marken und Stückzahlen fehlen teilweise – die gelb markierten Spalten „Maße“ und „Preis_netto“ sind zur Überarbeitung gedacht.</t>
        </is>
      </c>
    </row>
    <row r="20" ht="30" customHeight="1">
      <c r="A20" s="3" t="inlineStr">
        <is>
          <t>Designmöbel</t>
        </is>
      </c>
      <c r="B20" s="4" t="inlineStr">
        <is>
          <t>Vitra Alcove und USM Haller sind als solche vermerkt. Für beide gibt es einen eigenen Gebrauchtmarkt mit Fachhändlern – dort sind höhere Preise erzielbar als im Sammelangebot.</t>
        </is>
      </c>
    </row>
    <row r="21" ht="30" customHeight="1">
      <c r="A21" s="3" t="inlineStr">
        <is>
          <t>Kunst</t>
        </is>
      </c>
      <c r="B21" s="4" t="inlineStr">
        <is>
          <t>Die Acrylbilder sind Eigenarbeiten einer Privatperson, die Schwarzwald-Trachtenmotive sind Kaufware. Beides ist in der Beschreibung vermerkt.</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1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54" customWidth="1" min="3" max="3"/>
    <col width="18" customWidth="1" min="4" max="4"/>
    <col width="20" customWidth="1" min="5" max="5"/>
    <col width="10" customWidth="1" min="6" max="6"/>
    <col width="8" customWidth="1" min="7" max="7"/>
    <col width="13" customWidth="1" min="8" max="8"/>
    <col width="10" customWidth="1" min="9" max="9"/>
    <col width="10" customWidth="1" min="10" max="10"/>
    <col width="14" customWidth="1" min="11" max="11"/>
    <col width="22" customWidth="1" min="12" max="12"/>
    <col width="12" customWidth="1" min="13" max="13"/>
    <col width="17" customWidth="1" min="14" max="14"/>
    <col width="13" customWidth="1" min="15" max="15"/>
    <col width="11" customWidth="1" min="16" max="16"/>
    <col width="17" customWidth="1" min="17" max="17"/>
    <col width="16" customWidth="1" min="18" max="18"/>
    <col width="9" customWidth="1" min="19" max="19"/>
    <col width="12" customWidth="1" min="20" max="20"/>
    <col width="14" customWidth="1" min="21" max="21"/>
    <col width="22" customWidth="1" min="22" max="22"/>
    <col width="17" customWidth="1" min="23" max="23"/>
    <col width="14" customWidth="1" min="24" max="24"/>
    <col width="14" customWidth="1" min="25" max="25"/>
    <col width="24" customWidth="1" min="26" max="26"/>
    <col width="14" customWidth="1" min="27" max="27"/>
    <col width="11" customWidth="1" min="28" max="28"/>
    <col width="13" customWidth="1" min="29" max="29"/>
    <col width="13" customWidth="1" min="30" max="30"/>
    <col width="40" customWidth="1" min="31" max="31"/>
    <col width="32" customWidth="1" min="32" max="32"/>
  </cols>
  <sheetData>
    <row r="1" ht="16" customHeight="1">
      <c r="A1" s="7" t="inlineStr">
        <is>
          <t>STAMMDATEN</t>
        </is>
      </c>
      <c r="M1" s="8" t="inlineStr">
        <is>
          <t>BUCHHALTUNG</t>
        </is>
      </c>
      <c r="O1" s="9" t="inlineStr">
        <is>
          <t>PREIS</t>
        </is>
      </c>
      <c r="R1" s="10" t="inlineStr">
        <is>
          <t>VERMARKTUNG</t>
        </is>
      </c>
      <c r="W1" s="11" t="inlineStr">
        <is>
          <t>VERKAUF</t>
        </is>
      </c>
      <c r="AA1" s="12" t="inlineStr">
        <is>
          <t>KAUFMÄNNISCH</t>
        </is>
      </c>
      <c r="AE1" s="13" t="inlineStr">
        <is>
          <t>NOTIZEN</t>
        </is>
      </c>
    </row>
    <row r="2" ht="32" customHeight="1">
      <c r="A2" s="14" t="inlineStr">
        <is>
          <t>ArtNr</t>
        </is>
      </c>
      <c r="B2" s="14" t="inlineStr">
        <is>
          <t>Bezeichnung</t>
        </is>
      </c>
      <c r="C2" s="14" t="inlineStr">
        <is>
          <t>Beschreibung</t>
        </is>
      </c>
      <c r="D2" s="14" t="inlineStr">
        <is>
          <t>Kategorie</t>
        </is>
      </c>
      <c r="E2" s="14" t="inlineStr">
        <is>
          <t>Raum</t>
        </is>
      </c>
      <c r="F2" s="14" t="inlineStr">
        <is>
          <t>Wertklasse</t>
        </is>
      </c>
      <c r="G2" s="15" t="inlineStr">
        <is>
          <t>Menge</t>
        </is>
      </c>
      <c r="H2" s="15" t="inlineStr">
        <is>
          <t>Verkauft_Menge</t>
        </is>
      </c>
      <c r="I2" s="14" t="inlineStr">
        <is>
          <t>Restmenge</t>
        </is>
      </c>
      <c r="J2" s="14" t="inlineStr">
        <is>
          <t>Einheit</t>
        </is>
      </c>
      <c r="K2" s="14" t="inlineStr">
        <is>
          <t>Zustand</t>
        </is>
      </c>
      <c r="L2" s="15" t="inlineStr">
        <is>
          <t>Maße</t>
        </is>
      </c>
      <c r="M2" s="15" t="inlineStr">
        <is>
          <t>Anlagennr</t>
        </is>
      </c>
      <c r="N2" s="15" t="inlineStr">
        <is>
          <t>Anschaffungswert_netto</t>
        </is>
      </c>
      <c r="O2" s="15" t="inlineStr">
        <is>
          <t>Preis_netto</t>
        </is>
      </c>
      <c r="P2" s="15" t="inlineStr">
        <is>
          <t>Preisbasis</t>
        </is>
      </c>
      <c r="Q2" s="14" t="inlineStr">
        <is>
          <t>Positionswert_netto</t>
        </is>
      </c>
      <c r="R2" s="14" t="inlineStr">
        <is>
          <t>Versand</t>
        </is>
      </c>
      <c r="S2" s="14" t="inlineStr">
        <is>
          <t>Foto</t>
        </is>
      </c>
      <c r="T2" s="15" t="inlineStr">
        <is>
          <t>Status</t>
        </is>
      </c>
      <c r="U2" s="15" t="inlineStr">
        <is>
          <t>Kanal</t>
        </is>
      </c>
      <c r="V2" s="15" t="inlineStr">
        <is>
          <t>Reserviert_für</t>
        </is>
      </c>
      <c r="W2" s="15" t="inlineStr">
        <is>
          <t>Verkaufspreis_netto</t>
        </is>
      </c>
      <c r="X2" s="14" t="inlineStr">
        <is>
          <t>Umsatz_netto</t>
        </is>
      </c>
      <c r="Y2" s="15" t="inlineStr">
        <is>
          <t>Verkaufsdatum</t>
        </is>
      </c>
      <c r="Z2" s="15" t="inlineStr">
        <is>
          <t>Käufer</t>
        </is>
      </c>
      <c r="AA2" s="15" t="inlineStr">
        <is>
          <t>Rechnungsnr</t>
        </is>
      </c>
      <c r="AB2" s="15" t="inlineStr">
        <is>
          <t>Zahlung</t>
        </is>
      </c>
      <c r="AC2" s="15" t="inlineStr">
        <is>
          <t>Zahlart</t>
        </is>
      </c>
      <c r="AD2" s="15" t="inlineStr">
        <is>
          <t>Abholtermin</t>
        </is>
      </c>
      <c r="AE2" s="14" t="inlineStr">
        <is>
          <t>Mengenhinweis</t>
        </is>
      </c>
      <c r="AF2" s="15" t="inlineStr">
        <is>
          <t>Bemerkung</t>
        </is>
      </c>
    </row>
    <row r="3" ht="30" customHeight="1">
      <c r="A3" s="16" t="inlineStr">
        <is>
          <t>K-001</t>
        </is>
      </c>
      <c r="B3" s="16" t="inlineStr">
        <is>
          <t>Deko-Hirschkopf weiß</t>
        </is>
      </c>
      <c r="C3" s="17" t="inlineStr">
        <is>
          <t>Kunstharz, weiß, mit schwarzem Geweih, auf Holzschild, Wandmontage</t>
        </is>
      </c>
      <c r="D3" s="16" t="inlineStr">
        <is>
          <t>Deko</t>
        </is>
      </c>
      <c r="E3" s="16" t="inlineStr">
        <is>
          <t>Neubau Flur</t>
        </is>
      </c>
      <c r="F3" s="16" t="inlineStr">
        <is>
          <t>C</t>
        </is>
      </c>
      <c r="G3" s="18" t="n">
        <v>1</v>
      </c>
      <c r="H3" s="18" t="n"/>
      <c r="I3" s="19">
        <f>G3-IF(H3="",0,H3)</f>
        <v/>
      </c>
      <c r="J3" s="16" t="inlineStr">
        <is>
          <t>Stück</t>
        </is>
      </c>
      <c r="K3" s="16" t="inlineStr">
        <is>
          <t>gut</t>
        </is>
      </c>
      <c r="L3" s="20" t="n"/>
      <c r="M3" s="20" t="n"/>
      <c r="N3" s="21" t="n"/>
      <c r="O3" s="21" t="n">
        <v>45</v>
      </c>
      <c r="P3" s="20" t="inlineStr">
        <is>
          <t>VHB</t>
        </is>
      </c>
      <c r="Q3" s="22">
        <f>I3*O3</f>
        <v/>
      </c>
      <c r="R3" s="16" t="inlineStr">
        <is>
          <t>Versand möglich</t>
        </is>
      </c>
      <c r="S3" s="16" t="inlineStr">
        <is>
          <t>F-001</t>
        </is>
      </c>
      <c r="T3" s="20" t="inlineStr">
        <is>
          <t>verfügbar</t>
        </is>
      </c>
      <c r="U3" s="20" t="inlineStr">
        <is>
          <t>Klinik</t>
        </is>
      </c>
      <c r="V3" s="20" t="n"/>
      <c r="W3" s="21" t="n"/>
      <c r="X3" s="22">
        <f>IF(H3="","",H3*W3)</f>
        <v/>
      </c>
      <c r="Y3" s="20" t="n"/>
      <c r="Z3" s="20" t="n"/>
      <c r="AA3" s="20" t="n"/>
      <c r="AB3" s="20" t="n"/>
      <c r="AC3" s="20" t="n"/>
      <c r="AD3" s="20" t="n"/>
      <c r="AE3" s="17" t="inlineStr">
        <is>
          <t>1 Stück im Bild</t>
        </is>
      </c>
      <c r="AF3" s="23" t="n"/>
    </row>
    <row r="4" ht="30" customHeight="1">
      <c r="A4" s="16" t="inlineStr">
        <is>
          <t>K-002</t>
        </is>
      </c>
      <c r="B4" s="16" t="inlineStr">
        <is>
          <t>Kommode weiß, 9 Schubladen</t>
        </is>
      </c>
      <c r="C4" s="17" t="inlineStr">
        <is>
          <t>IKEA Nordli, weiß, drei Module nebeneinander, insgesamt 9 Schubladen</t>
        </is>
      </c>
      <c r="D4" s="16" t="inlineStr">
        <is>
          <t>Möbel</t>
        </is>
      </c>
      <c r="E4" s="16" t="inlineStr">
        <is>
          <t>Neubau Raum 1</t>
        </is>
      </c>
      <c r="F4" s="16" t="inlineStr">
        <is>
          <t>B</t>
        </is>
      </c>
      <c r="G4" s="18" t="n">
        <v>1</v>
      </c>
      <c r="H4" s="18" t="n"/>
      <c r="I4" s="19">
        <f>G4-IF(H4="",0,H4)</f>
        <v/>
      </c>
      <c r="J4" s="16" t="inlineStr">
        <is>
          <t>Stück</t>
        </is>
      </c>
      <c r="K4" s="16" t="inlineStr">
        <is>
          <t>gut</t>
        </is>
      </c>
      <c r="L4" s="20" t="n"/>
      <c r="M4" s="20" t="n"/>
      <c r="N4" s="21" t="n"/>
      <c r="O4" s="21" t="n">
        <v>120</v>
      </c>
      <c r="P4" s="20" t="inlineStr">
        <is>
          <t>VHB</t>
        </is>
      </c>
      <c r="Q4" s="22">
        <f>I4*O4</f>
        <v/>
      </c>
      <c r="R4" s="16" t="inlineStr">
        <is>
          <t>nur Abholung</t>
        </is>
      </c>
      <c r="S4" s="16" t="inlineStr">
        <is>
          <t>F-002</t>
        </is>
      </c>
      <c r="T4" s="20" t="inlineStr">
        <is>
          <t>verfügbar</t>
        </is>
      </c>
      <c r="U4" s="20" t="inlineStr">
        <is>
          <t>Klinik</t>
        </is>
      </c>
      <c r="V4" s="20" t="n"/>
      <c r="W4" s="21" t="n"/>
      <c r="X4" s="22">
        <f>IF(H4="","",H4*W4)</f>
        <v/>
      </c>
      <c r="Y4" s="20" t="n"/>
      <c r="Z4" s="20" t="n"/>
      <c r="AA4" s="20" t="n"/>
      <c r="AB4" s="20" t="n"/>
      <c r="AC4" s="20" t="n"/>
      <c r="AD4" s="20" t="n"/>
      <c r="AE4" s="17" t="inlineStr">
        <is>
          <t>1 Einheit aus 3 Modulen im Bild</t>
        </is>
      </c>
      <c r="AF4" s="23" t="n"/>
    </row>
    <row r="5" ht="30" customHeight="1">
      <c r="A5" s="16" t="inlineStr">
        <is>
          <t>K-003</t>
        </is>
      </c>
      <c r="B5" s="16" t="inlineStr">
        <is>
          <t>Deko-Set Globus, Letterboard, Rahmen</t>
        </is>
      </c>
      <c r="C5" s="17" t="inlineStr">
        <is>
          <t>Globus, Steckbuchstaben-Board, Bilderrahmen auf Staffelei</t>
        </is>
      </c>
      <c r="D5" s="16" t="inlineStr">
        <is>
          <t>Deko</t>
        </is>
      </c>
      <c r="E5" s="16" t="inlineStr">
        <is>
          <t>Neubau Raum 1</t>
        </is>
      </c>
      <c r="F5" s="16" t="inlineStr">
        <is>
          <t>C</t>
        </is>
      </c>
      <c r="G5" s="18" t="n">
        <v>1</v>
      </c>
      <c r="H5" s="18" t="n"/>
      <c r="I5" s="19">
        <f>G5-IF(H5="",0,H5)</f>
        <v/>
      </c>
      <c r="J5" s="16" t="inlineStr">
        <is>
          <t>Set</t>
        </is>
      </c>
      <c r="K5" s="16" t="inlineStr">
        <is>
          <t>gut</t>
        </is>
      </c>
      <c r="L5" s="20" t="n"/>
      <c r="M5" s="20" t="n"/>
      <c r="N5" s="21" t="n"/>
      <c r="O5" s="21" t="n">
        <v>35</v>
      </c>
      <c r="P5" s="20" t="inlineStr">
        <is>
          <t>VHB</t>
        </is>
      </c>
      <c r="Q5" s="22">
        <f>I5*O5</f>
        <v/>
      </c>
      <c r="R5" s="16" t="inlineStr">
        <is>
          <t>Versand möglich</t>
        </is>
      </c>
      <c r="S5" s="16" t="inlineStr">
        <is>
          <t>F-002</t>
        </is>
      </c>
      <c r="T5" s="20" t="inlineStr">
        <is>
          <t>verfügbar</t>
        </is>
      </c>
      <c r="U5" s="20" t="inlineStr">
        <is>
          <t>Klinik</t>
        </is>
      </c>
      <c r="V5" s="20" t="n"/>
      <c r="W5" s="21" t="n"/>
      <c r="X5" s="22">
        <f>IF(H5="","",H5*W5)</f>
        <v/>
      </c>
      <c r="Y5" s="20" t="n"/>
      <c r="Z5" s="20" t="n"/>
      <c r="AA5" s="20" t="n"/>
      <c r="AB5" s="20" t="n"/>
      <c r="AC5" s="20" t="n"/>
      <c r="AD5" s="20" t="n"/>
      <c r="AE5" s="17" t="inlineStr">
        <is>
          <t>3 Teile im Bild</t>
        </is>
      </c>
      <c r="AF5" s="23" t="n"/>
    </row>
    <row r="6" ht="30" customHeight="1">
      <c r="A6" s="16" t="inlineStr">
        <is>
          <t>K-004</t>
        </is>
      </c>
      <c r="B6" s="16" t="inlineStr">
        <is>
          <t>Kommode weiß, 6 Schubladen</t>
        </is>
      </c>
      <c r="C6" s="17" t="inlineStr">
        <is>
          <t>IKEA Nordli, weiß, hoch, 6 Schubladen</t>
        </is>
      </c>
      <c r="D6" s="16" t="inlineStr">
        <is>
          <t>Möbel</t>
        </is>
      </c>
      <c r="E6" s="16" t="inlineStr">
        <is>
          <t>Neubau Raum 1</t>
        </is>
      </c>
      <c r="F6" s="16" t="inlineStr">
        <is>
          <t>B</t>
        </is>
      </c>
      <c r="G6" s="18" t="n">
        <v>1</v>
      </c>
      <c r="H6" s="18" t="n"/>
      <c r="I6" s="19">
        <f>G6-IF(H6="",0,H6)</f>
        <v/>
      </c>
      <c r="J6" s="16" t="inlineStr">
        <is>
          <t>Stück</t>
        </is>
      </c>
      <c r="K6" s="16" t="inlineStr">
        <is>
          <t>gut</t>
        </is>
      </c>
      <c r="L6" s="20" t="n"/>
      <c r="M6" s="20" t="n"/>
      <c r="N6" s="21" t="n"/>
      <c r="O6" s="21" t="n">
        <v>90</v>
      </c>
      <c r="P6" s="20" t="inlineStr">
        <is>
          <t>VHB</t>
        </is>
      </c>
      <c r="Q6" s="22">
        <f>I6*O6</f>
        <v/>
      </c>
      <c r="R6" s="16" t="inlineStr">
        <is>
          <t>nur Abholung</t>
        </is>
      </c>
      <c r="S6" s="16" t="inlineStr">
        <is>
          <t>F-003</t>
        </is>
      </c>
      <c r="T6" s="20" t="inlineStr">
        <is>
          <t>verfügbar</t>
        </is>
      </c>
      <c r="U6" s="20" t="inlineStr">
        <is>
          <t>Klinik</t>
        </is>
      </c>
      <c r="V6" s="20" t="n"/>
      <c r="W6" s="21" t="n"/>
      <c r="X6" s="22">
        <f>IF(H6="","",H6*W6)</f>
        <v/>
      </c>
      <c r="Y6" s="20" t="n"/>
      <c r="Z6" s="20" t="n"/>
      <c r="AA6" s="20" t="n"/>
      <c r="AB6" s="20" t="n"/>
      <c r="AC6" s="20" t="n"/>
      <c r="AD6" s="20" t="n"/>
      <c r="AE6" s="17" t="inlineStr">
        <is>
          <t>1 Stück im Bild</t>
        </is>
      </c>
      <c r="AF6" s="23" t="n"/>
    </row>
    <row r="7" ht="30" customHeight="1">
      <c r="A7" s="16" t="inlineStr">
        <is>
          <t>K-005</t>
        </is>
      </c>
      <c r="B7" s="16" t="inlineStr">
        <is>
          <t>Mal- und Trockengestell fahrbar</t>
        </is>
      </c>
      <c r="C7" s="17" t="inlineStr">
        <is>
          <t>Drahtgittergestell auf Rollen, zum Trocknen und Präsentieren von Bildern</t>
        </is>
      </c>
      <c r="D7" s="16" t="inlineStr">
        <is>
          <t>Kita-Ausstattung</t>
        </is>
      </c>
      <c r="E7" s="16" t="inlineStr">
        <is>
          <t>Neubau Raum 1</t>
        </is>
      </c>
      <c r="F7" s="16" t="inlineStr">
        <is>
          <t>C</t>
        </is>
      </c>
      <c r="G7" s="18" t="n">
        <v>1</v>
      </c>
      <c r="H7" s="18" t="n"/>
      <c r="I7" s="19">
        <f>G7-IF(H7="",0,H7)</f>
        <v/>
      </c>
      <c r="J7" s="16" t="inlineStr">
        <is>
          <t>Stück</t>
        </is>
      </c>
      <c r="K7" s="16" t="inlineStr">
        <is>
          <t>gut</t>
        </is>
      </c>
      <c r="L7" s="20" t="n"/>
      <c r="M7" s="20" t="n"/>
      <c r="N7" s="21" t="n"/>
      <c r="O7" s="21" t="n">
        <v>60</v>
      </c>
      <c r="P7" s="20" t="inlineStr">
        <is>
          <t>VHB</t>
        </is>
      </c>
      <c r="Q7" s="22">
        <f>I7*O7</f>
        <v/>
      </c>
      <c r="R7" s="16" t="inlineStr">
        <is>
          <t>nur Abholung</t>
        </is>
      </c>
      <c r="S7" s="16" t="inlineStr">
        <is>
          <t>F-003</t>
        </is>
      </c>
      <c r="T7" s="20" t="inlineStr">
        <is>
          <t>verfügbar</t>
        </is>
      </c>
      <c r="U7" s="20" t="inlineStr">
        <is>
          <t>Klinik</t>
        </is>
      </c>
      <c r="V7" s="20" t="n"/>
      <c r="W7" s="21" t="n"/>
      <c r="X7" s="22">
        <f>IF(H7="","",H7*W7)</f>
        <v/>
      </c>
      <c r="Y7" s="20" t="n"/>
      <c r="Z7" s="20" t="n"/>
      <c r="AA7" s="20" t="n"/>
      <c r="AB7" s="20" t="n"/>
      <c r="AC7" s="20" t="n"/>
      <c r="AD7" s="20" t="n"/>
      <c r="AE7" s="17" t="inlineStr">
        <is>
          <t>1 Stück im Bild</t>
        </is>
      </c>
      <c r="AF7" s="23" t="n"/>
    </row>
    <row r="8" ht="30" customHeight="1">
      <c r="A8" s="16" t="inlineStr">
        <is>
          <t>K-006</t>
        </is>
      </c>
      <c r="B8" s="16" t="inlineStr">
        <is>
          <t>Kindertafel Holz</t>
        </is>
      </c>
      <c r="C8" s="17" t="inlineStr">
        <is>
          <t>Standtafel/Staffelei aus Holz mit Kreidetafel</t>
        </is>
      </c>
      <c r="D8" s="16" t="inlineStr">
        <is>
          <t>Kita-Ausstattung</t>
        </is>
      </c>
      <c r="E8" s="16" t="inlineStr">
        <is>
          <t>Neubau Raum 1</t>
        </is>
      </c>
      <c r="F8" s="16" t="inlineStr">
        <is>
          <t>C</t>
        </is>
      </c>
      <c r="G8" s="18" t="n">
        <v>1</v>
      </c>
      <c r="H8" s="18" t="n"/>
      <c r="I8" s="19">
        <f>G8-IF(H8="",0,H8)</f>
        <v/>
      </c>
      <c r="J8" s="16" t="inlineStr">
        <is>
          <t>Stück</t>
        </is>
      </c>
      <c r="K8" s="16" t="inlineStr">
        <is>
          <t>gebraucht</t>
        </is>
      </c>
      <c r="L8" s="20" t="n"/>
      <c r="M8" s="20" t="n"/>
      <c r="N8" s="21" t="n"/>
      <c r="O8" s="21" t="n">
        <v>35</v>
      </c>
      <c r="P8" s="20" t="inlineStr">
        <is>
          <t>VHB</t>
        </is>
      </c>
      <c r="Q8" s="22">
        <f>I8*O8</f>
        <v/>
      </c>
      <c r="R8" s="16" t="inlineStr">
        <is>
          <t>Versand möglich</t>
        </is>
      </c>
      <c r="S8" s="16" t="inlineStr">
        <is>
          <t>F-003</t>
        </is>
      </c>
      <c r="T8" s="20" t="inlineStr">
        <is>
          <t>verfügbar</t>
        </is>
      </c>
      <c r="U8" s="20" t="inlineStr">
        <is>
          <t>Klinik</t>
        </is>
      </c>
      <c r="V8" s="20" t="n"/>
      <c r="W8" s="21" t="n"/>
      <c r="X8" s="22">
        <f>IF(H8="","",H8*W8)</f>
        <v/>
      </c>
      <c r="Y8" s="20" t="n"/>
      <c r="Z8" s="20" t="n"/>
      <c r="AA8" s="20" t="n"/>
      <c r="AB8" s="20" t="n"/>
      <c r="AC8" s="20" t="n"/>
      <c r="AD8" s="20" t="n"/>
      <c r="AE8" s="17" t="inlineStr">
        <is>
          <t>1 Stück im Bild</t>
        </is>
      </c>
      <c r="AF8" s="23" t="n"/>
    </row>
    <row r="9" ht="30" customHeight="1">
      <c r="A9" s="16" t="inlineStr">
        <is>
          <t>K-007</t>
        </is>
      </c>
      <c r="B9" s="16" t="inlineStr">
        <is>
          <t>Kommode weiß, hoch, 7 Schubladen</t>
        </is>
      </c>
      <c r="C9" s="17" t="inlineStr">
        <is>
          <t>IKEA Nordli, weiß, hohe Ausführung</t>
        </is>
      </c>
      <c r="D9" s="16" t="inlineStr">
        <is>
          <t>Möbel</t>
        </is>
      </c>
      <c r="E9" s="16" t="inlineStr">
        <is>
          <t>Neubau Raum 2</t>
        </is>
      </c>
      <c r="F9" s="16" t="inlineStr">
        <is>
          <t>B</t>
        </is>
      </c>
      <c r="G9" s="18" t="n">
        <v>1</v>
      </c>
      <c r="H9" s="18" t="n"/>
      <c r="I9" s="19">
        <f>G9-IF(H9="",0,H9)</f>
        <v/>
      </c>
      <c r="J9" s="16" t="inlineStr">
        <is>
          <t>Stück</t>
        </is>
      </c>
      <c r="K9" s="16" t="inlineStr">
        <is>
          <t>gut</t>
        </is>
      </c>
      <c r="L9" s="20" t="n"/>
      <c r="M9" s="20" t="n"/>
      <c r="N9" s="21" t="n"/>
      <c r="O9" s="21" t="n">
        <v>110</v>
      </c>
      <c r="P9" s="20" t="inlineStr">
        <is>
          <t>VHB</t>
        </is>
      </c>
      <c r="Q9" s="22">
        <f>I9*O9</f>
        <v/>
      </c>
      <c r="R9" s="16" t="inlineStr">
        <is>
          <t>nur Abholung</t>
        </is>
      </c>
      <c r="S9" s="16" t="inlineStr">
        <is>
          <t>F-004</t>
        </is>
      </c>
      <c r="T9" s="20" t="inlineStr">
        <is>
          <t>verfügbar</t>
        </is>
      </c>
      <c r="U9" s="20" t="inlineStr">
        <is>
          <t>Klinik</t>
        </is>
      </c>
      <c r="V9" s="20" t="n"/>
      <c r="W9" s="21" t="n"/>
      <c r="X9" s="22">
        <f>IF(H9="","",H9*W9)</f>
        <v/>
      </c>
      <c r="Y9" s="20" t="n"/>
      <c r="Z9" s="20" t="n"/>
      <c r="AA9" s="20" t="n"/>
      <c r="AB9" s="20" t="n"/>
      <c r="AC9" s="20" t="n"/>
      <c r="AD9" s="20" t="n"/>
      <c r="AE9" s="17" t="inlineStr">
        <is>
          <t>1 Stück im Bild</t>
        </is>
      </c>
      <c r="AF9" s="23" t="n"/>
    </row>
    <row r="10" ht="30" customHeight="1">
      <c r="A10" s="16" t="inlineStr">
        <is>
          <t>K-008</t>
        </is>
      </c>
      <c r="B10" s="16" t="inlineStr">
        <is>
          <t>Wanddeko Hirschkopf Sperrholz</t>
        </is>
      </c>
      <c r="C10" s="17" t="inlineStr">
        <is>
          <t>3D-Stecksatz aus Sperrholz, schwarz lackiert, Wandmontage</t>
        </is>
      </c>
      <c r="D10" s="16" t="inlineStr">
        <is>
          <t>Deko</t>
        </is>
      </c>
      <c r="E10" s="16" t="inlineStr">
        <is>
          <t>Neubau Raum 3</t>
        </is>
      </c>
      <c r="F10" s="16" t="inlineStr">
        <is>
          <t>C</t>
        </is>
      </c>
      <c r="G10" s="18" t="n">
        <v>3</v>
      </c>
      <c r="H10" s="18" t="n"/>
      <c r="I10" s="19">
        <f>G10-IF(H10="",0,H10)</f>
        <v/>
      </c>
      <c r="J10" s="16" t="inlineStr">
        <is>
          <t>Stück</t>
        </is>
      </c>
      <c r="K10" s="16" t="inlineStr">
        <is>
          <t>gut</t>
        </is>
      </c>
      <c r="L10" s="20" t="n"/>
      <c r="M10" s="20" t="n"/>
      <c r="N10" s="21" t="n"/>
      <c r="O10" s="21" t="n">
        <v>20</v>
      </c>
      <c r="P10" s="20" t="inlineStr">
        <is>
          <t>VHB</t>
        </is>
      </c>
      <c r="Q10" s="22">
        <f>I10*O10</f>
        <v/>
      </c>
      <c r="R10" s="16" t="inlineStr">
        <is>
          <t>Versand möglich</t>
        </is>
      </c>
      <c r="S10" s="16" t="inlineStr">
        <is>
          <t>F-005</t>
        </is>
      </c>
      <c r="T10" s="20" t="inlineStr">
        <is>
          <t>verfügbar</t>
        </is>
      </c>
      <c r="U10" s="20" t="inlineStr">
        <is>
          <t>Klinik</t>
        </is>
      </c>
      <c r="V10" s="20" t="n"/>
      <c r="W10" s="21" t="n"/>
      <c r="X10" s="22">
        <f>IF(H10="","",H10*W10)</f>
        <v/>
      </c>
      <c r="Y10" s="20" t="n"/>
      <c r="Z10" s="20" t="n"/>
      <c r="AA10" s="20" t="n"/>
      <c r="AB10" s="20" t="n"/>
      <c r="AC10" s="20" t="n"/>
      <c r="AD10" s="20" t="n"/>
      <c r="AE10" s="17" t="inlineStr">
        <is>
          <t>3 Stück im Bild</t>
        </is>
      </c>
      <c r="AF10" s="23" t="n"/>
    </row>
    <row r="11" ht="30" customHeight="1">
      <c r="A11" s="16" t="inlineStr">
        <is>
          <t>K-009</t>
        </is>
      </c>
      <c r="B11" s="16" t="inlineStr">
        <is>
          <t>Kommode anthrazit, groß</t>
        </is>
      </c>
      <c r="C11" s="17" t="inlineStr">
        <is>
          <t>IKEA Nordli, anthrazit, große Kombination, ca. 12-14 Schubladen</t>
        </is>
      </c>
      <c r="D11" s="16" t="inlineStr">
        <is>
          <t>Möbel</t>
        </is>
      </c>
      <c r="E11" s="16" t="inlineStr">
        <is>
          <t>Neubau Raum 3</t>
        </is>
      </c>
      <c r="F11" s="16" t="inlineStr">
        <is>
          <t>B</t>
        </is>
      </c>
      <c r="G11" s="18" t="n">
        <v>1</v>
      </c>
      <c r="H11" s="18" t="n"/>
      <c r="I11" s="19">
        <f>G11-IF(H11="",0,H11)</f>
        <v/>
      </c>
      <c r="J11" s="16" t="inlineStr">
        <is>
          <t>Stück</t>
        </is>
      </c>
      <c r="K11" s="16" t="inlineStr">
        <is>
          <t>gut</t>
        </is>
      </c>
      <c r="L11" s="20" t="n"/>
      <c r="M11" s="20" t="n"/>
      <c r="N11" s="21" t="n"/>
      <c r="O11" s="21" t="n">
        <v>220</v>
      </c>
      <c r="P11" s="20" t="inlineStr">
        <is>
          <t>VHB</t>
        </is>
      </c>
      <c r="Q11" s="22">
        <f>I11*O11</f>
        <v/>
      </c>
      <c r="R11" s="16" t="inlineStr">
        <is>
          <t>nur Abholung</t>
        </is>
      </c>
      <c r="S11" s="16" t="inlineStr">
        <is>
          <t>F-006</t>
        </is>
      </c>
      <c r="T11" s="20" t="inlineStr">
        <is>
          <t>verfügbar</t>
        </is>
      </c>
      <c r="U11" s="20" t="inlineStr">
        <is>
          <t>Klinik</t>
        </is>
      </c>
      <c r="V11" s="20" t="n"/>
      <c r="W11" s="21" t="n"/>
      <c r="X11" s="22">
        <f>IF(H11="","",H11*W11)</f>
        <v/>
      </c>
      <c r="Y11" s="20" t="n"/>
      <c r="Z11" s="20" t="n"/>
      <c r="AA11" s="20" t="n"/>
      <c r="AB11" s="20" t="n"/>
      <c r="AC11" s="20" t="n"/>
      <c r="AD11" s="20" t="n"/>
      <c r="AE11" s="17" t="inlineStr">
        <is>
          <t>1 große Einheit im Bild</t>
        </is>
      </c>
      <c r="AF11" s="23" t="n"/>
    </row>
    <row r="12" ht="30" customHeight="1">
      <c r="A12" s="16" t="inlineStr">
        <is>
          <t>K-010</t>
        </is>
      </c>
      <c r="B12" s="16" t="inlineStr">
        <is>
          <t>Pinnwand gerahmt</t>
        </is>
      </c>
      <c r="C12" s="17" t="inlineStr">
        <is>
          <t>Pinnwand mit Holzrahmen</t>
        </is>
      </c>
      <c r="D12" s="16" t="inlineStr">
        <is>
          <t>Büro</t>
        </is>
      </c>
      <c r="E12" s="16" t="inlineStr">
        <is>
          <t>Neubau Raum 3</t>
        </is>
      </c>
      <c r="F12" s="16" t="inlineStr">
        <is>
          <t>C</t>
        </is>
      </c>
      <c r="G12" s="18" t="n">
        <v>1</v>
      </c>
      <c r="H12" s="18" t="n"/>
      <c r="I12" s="19">
        <f>G12-IF(H12="",0,H12)</f>
        <v/>
      </c>
      <c r="J12" s="16" t="inlineStr">
        <is>
          <t>Stück</t>
        </is>
      </c>
      <c r="K12" s="16" t="inlineStr">
        <is>
          <t>gut</t>
        </is>
      </c>
      <c r="L12" s="20" t="n"/>
      <c r="M12" s="20" t="n"/>
      <c r="N12" s="21" t="n"/>
      <c r="O12" s="21" t="n">
        <v>25</v>
      </c>
      <c r="P12" s="20" t="inlineStr">
        <is>
          <t>VHB</t>
        </is>
      </c>
      <c r="Q12" s="22">
        <f>I12*O12</f>
        <v/>
      </c>
      <c r="R12" s="16" t="inlineStr">
        <is>
          <t>Versand möglich</t>
        </is>
      </c>
      <c r="S12" s="16" t="inlineStr">
        <is>
          <t>F-006</t>
        </is>
      </c>
      <c r="T12" s="20" t="inlineStr">
        <is>
          <t>verfügbar</t>
        </is>
      </c>
      <c r="U12" s="20" t="inlineStr">
        <is>
          <t>Klinik</t>
        </is>
      </c>
      <c r="V12" s="20" t="n"/>
      <c r="W12" s="21" t="n"/>
      <c r="X12" s="22">
        <f>IF(H12="","",H12*W12)</f>
        <v/>
      </c>
      <c r="Y12" s="20" t="n"/>
      <c r="Z12" s="20" t="n"/>
      <c r="AA12" s="20" t="n"/>
      <c r="AB12" s="20" t="n"/>
      <c r="AC12" s="20" t="n"/>
      <c r="AD12" s="20" t="n"/>
      <c r="AE12" s="17" t="inlineStr">
        <is>
          <t>1 Stück im Bild</t>
        </is>
      </c>
      <c r="AF12" s="23" t="n"/>
    </row>
    <row r="13" ht="30" customHeight="1">
      <c r="A13" s="16" t="inlineStr">
        <is>
          <t>K-011</t>
        </is>
      </c>
      <c r="B13" s="16" t="inlineStr">
        <is>
          <t>Massivholztisch mit Baumkante</t>
        </is>
      </c>
      <c r="C13" s="17" t="inlineStr">
        <is>
          <t>Massivholzplatte mit natürlicher Baumkante, schwarzes Metallgestell, ca. 200 x 90 cm</t>
        </is>
      </c>
      <c r="D13" s="16" t="inlineStr">
        <is>
          <t>Möbel</t>
        </is>
      </c>
      <c r="E13" s="16" t="inlineStr">
        <is>
          <t>Neubau Raum 3</t>
        </is>
      </c>
      <c r="F13" s="16" t="inlineStr">
        <is>
          <t>A</t>
        </is>
      </c>
      <c r="G13" s="18" t="n">
        <v>1</v>
      </c>
      <c r="H13" s="18" t="n"/>
      <c r="I13" s="19">
        <f>G13-IF(H13="",0,H13)</f>
        <v/>
      </c>
      <c r="J13" s="16" t="inlineStr">
        <is>
          <t>Stück</t>
        </is>
      </c>
      <c r="K13" s="16" t="inlineStr">
        <is>
          <t>gut</t>
        </is>
      </c>
      <c r="L13" s="20" t="n"/>
      <c r="M13" s="20" t="n"/>
      <c r="N13" s="21" t="n"/>
      <c r="O13" s="21" t="n">
        <v>450</v>
      </c>
      <c r="P13" s="20" t="inlineStr">
        <is>
          <t>VHB</t>
        </is>
      </c>
      <c r="Q13" s="22">
        <f>I13*O13</f>
        <v/>
      </c>
      <c r="R13" s="16" t="inlineStr">
        <is>
          <t>nur Abholung</t>
        </is>
      </c>
      <c r="S13" s="16" t="inlineStr">
        <is>
          <t>F-007</t>
        </is>
      </c>
      <c r="T13" s="20" t="inlineStr">
        <is>
          <t>verfügbar</t>
        </is>
      </c>
      <c r="U13" s="20" t="inlineStr">
        <is>
          <t>Klinik</t>
        </is>
      </c>
      <c r="V13" s="20" t="n"/>
      <c r="W13" s="21" t="n"/>
      <c r="X13" s="22">
        <f>IF(H13="","",H13*W13)</f>
        <v/>
      </c>
      <c r="Y13" s="20" t="n"/>
      <c r="Z13" s="20" t="n"/>
      <c r="AA13" s="20" t="n"/>
      <c r="AB13" s="20" t="n"/>
      <c r="AC13" s="20" t="n"/>
      <c r="AD13" s="20" t="n"/>
      <c r="AE13" s="17" t="inlineStr">
        <is>
          <t>1 Tisch im Vordergrund, weitere im Hintergrund</t>
        </is>
      </c>
      <c r="AF13" s="23" t="n"/>
    </row>
    <row r="14" ht="30" customHeight="1">
      <c r="A14" s="16" t="inlineStr">
        <is>
          <t>K-012</t>
        </is>
      </c>
      <c r="B14" s="16" t="inlineStr">
        <is>
          <t>Magnettafel grau, groß</t>
        </is>
      </c>
      <c r="C14" s="17" t="inlineStr">
        <is>
          <t>Magnet-/Schreibtafel, grau, beschriftet, Wandmontage</t>
        </is>
      </c>
      <c r="D14" s="16" t="inlineStr">
        <is>
          <t>Büro</t>
        </is>
      </c>
      <c r="E14" s="16" t="inlineStr">
        <is>
          <t>Neubau Raum 3</t>
        </is>
      </c>
      <c r="F14" s="16" t="inlineStr">
        <is>
          <t>C</t>
        </is>
      </c>
      <c r="G14" s="18" t="n">
        <v>1</v>
      </c>
      <c r="H14" s="18" t="n"/>
      <c r="I14" s="19">
        <f>G14-IF(H14="",0,H14)</f>
        <v/>
      </c>
      <c r="J14" s="16" t="inlineStr">
        <is>
          <t>Stück</t>
        </is>
      </c>
      <c r="K14" s="16" t="inlineStr">
        <is>
          <t>gut</t>
        </is>
      </c>
      <c r="L14" s="20" t="n"/>
      <c r="M14" s="20" t="n"/>
      <c r="N14" s="21" t="n"/>
      <c r="O14" s="21" t="n">
        <v>45</v>
      </c>
      <c r="P14" s="20" t="inlineStr">
        <is>
          <t>VHB</t>
        </is>
      </c>
      <c r="Q14" s="22">
        <f>I14*O14</f>
        <v/>
      </c>
      <c r="R14" s="16" t="inlineStr">
        <is>
          <t>nur Abholung</t>
        </is>
      </c>
      <c r="S14" s="16" t="inlineStr">
        <is>
          <t>F-008</t>
        </is>
      </c>
      <c r="T14" s="20" t="inlineStr">
        <is>
          <t>verfügbar</t>
        </is>
      </c>
      <c r="U14" s="20" t="inlineStr">
        <is>
          <t>Klinik</t>
        </is>
      </c>
      <c r="V14" s="20" t="n"/>
      <c r="W14" s="21" t="n"/>
      <c r="X14" s="22">
        <f>IF(H14="","",H14*W14)</f>
        <v/>
      </c>
      <c r="Y14" s="20" t="n"/>
      <c r="Z14" s="20" t="n"/>
      <c r="AA14" s="20" t="n"/>
      <c r="AB14" s="20" t="n"/>
      <c r="AC14" s="20" t="n"/>
      <c r="AD14" s="20" t="n"/>
      <c r="AE14" s="17" t="inlineStr">
        <is>
          <t>1 Stück im Bild</t>
        </is>
      </c>
      <c r="AF14" s="23" t="n"/>
    </row>
    <row r="15" ht="30" customHeight="1">
      <c r="A15" s="16" t="inlineStr">
        <is>
          <t>K-013</t>
        </is>
      </c>
      <c r="B15" s="16" t="inlineStr">
        <is>
          <t>Kuckucksuhr klein</t>
        </is>
      </c>
      <c r="C15" s="17" t="inlineStr">
        <is>
          <t>Schwarzwälder Kuckucksuhr, kleine Ausführung, Holz</t>
        </is>
      </c>
      <c r="D15" s="16" t="inlineStr">
        <is>
          <t>Uhren</t>
        </is>
      </c>
      <c r="E15" s="16" t="inlineStr">
        <is>
          <t>Neubau Raum 3</t>
        </is>
      </c>
      <c r="F15" s="16" t="inlineStr">
        <is>
          <t>A</t>
        </is>
      </c>
      <c r="G15" s="18" t="n">
        <v>1</v>
      </c>
      <c r="H15" s="18" t="n"/>
      <c r="I15" s="19">
        <f>G15-IF(H15="",0,H15)</f>
        <v/>
      </c>
      <c r="J15" s="16" t="inlineStr">
        <is>
          <t>Stück</t>
        </is>
      </c>
      <c r="K15" s="16" t="inlineStr">
        <is>
          <t>gut</t>
        </is>
      </c>
      <c r="L15" s="20" t="n"/>
      <c r="M15" s="20" t="n"/>
      <c r="N15" s="21" t="n"/>
      <c r="O15" s="21" t="n">
        <v>90</v>
      </c>
      <c r="P15" s="20" t="inlineStr">
        <is>
          <t>VHB</t>
        </is>
      </c>
      <c r="Q15" s="22">
        <f>I15*O15</f>
        <v/>
      </c>
      <c r="R15" s="16" t="inlineStr">
        <is>
          <t>Versand möglich</t>
        </is>
      </c>
      <c r="S15" s="16" t="inlineStr">
        <is>
          <t>F-008</t>
        </is>
      </c>
      <c r="T15" s="20" t="inlineStr">
        <is>
          <t>verfügbar</t>
        </is>
      </c>
      <c r="U15" s="20" t="inlineStr">
        <is>
          <t>Klinik</t>
        </is>
      </c>
      <c r="V15" s="20" t="n"/>
      <c r="W15" s="21" t="n"/>
      <c r="X15" s="22">
        <f>IF(H15="","",H15*W15)</f>
        <v/>
      </c>
      <c r="Y15" s="20" t="n"/>
      <c r="Z15" s="20" t="n"/>
      <c r="AA15" s="20" t="n"/>
      <c r="AB15" s="20" t="n"/>
      <c r="AC15" s="20" t="n"/>
      <c r="AD15" s="20" t="n"/>
      <c r="AE15" s="17" t="inlineStr">
        <is>
          <t>1 Stück im Bild</t>
        </is>
      </c>
      <c r="AF15" s="23" t="n"/>
    </row>
    <row r="16" ht="30" customHeight="1">
      <c r="A16" s="16" t="inlineStr">
        <is>
          <t>K-014</t>
        </is>
      </c>
      <c r="B16" s="16" t="inlineStr">
        <is>
          <t>Hochflorteppich beige</t>
        </is>
      </c>
      <c r="C16" s="17" t="inlineStr">
        <is>
          <t>Shaggy/Hochflor, beige, ca. 200 x 300 cm, gereinigt</t>
        </is>
      </c>
      <c r="D16" s="16" t="inlineStr">
        <is>
          <t>Textilien</t>
        </is>
      </c>
      <c r="E16" s="16" t="inlineStr">
        <is>
          <t>Neubau Raum 3</t>
        </is>
      </c>
      <c r="F16" s="16" t="inlineStr">
        <is>
          <t>C</t>
        </is>
      </c>
      <c r="G16" s="18" t="n">
        <v>2</v>
      </c>
      <c r="H16" s="18" t="n"/>
      <c r="I16" s="19">
        <f>G16-IF(H16="",0,H16)</f>
        <v/>
      </c>
      <c r="J16" s="16" t="inlineStr">
        <is>
          <t>Stück</t>
        </is>
      </c>
      <c r="K16" s="16" t="inlineStr">
        <is>
          <t>gebraucht</t>
        </is>
      </c>
      <c r="L16" s="20" t="n"/>
      <c r="M16" s="20" t="n"/>
      <c r="N16" s="21" t="n"/>
      <c r="O16" s="21" t="n">
        <v>35</v>
      </c>
      <c r="P16" s="20" t="inlineStr">
        <is>
          <t>VHB</t>
        </is>
      </c>
      <c r="Q16" s="22">
        <f>I16*O16</f>
        <v/>
      </c>
      <c r="R16" s="16" t="inlineStr">
        <is>
          <t>Versand möglich</t>
        </is>
      </c>
      <c r="S16" s="16" t="inlineStr">
        <is>
          <t>F-009</t>
        </is>
      </c>
      <c r="T16" s="20" t="inlineStr">
        <is>
          <t>verfügbar</t>
        </is>
      </c>
      <c r="U16" s="20" t="inlineStr">
        <is>
          <t>Klinik</t>
        </is>
      </c>
      <c r="V16" s="20" t="n"/>
      <c r="W16" s="21" t="n"/>
      <c r="X16" s="22">
        <f>IF(H16="","",H16*W16)</f>
        <v/>
      </c>
      <c r="Y16" s="20" t="n"/>
      <c r="Z16" s="20" t="n"/>
      <c r="AA16" s="20" t="n"/>
      <c r="AB16" s="20" t="n"/>
      <c r="AC16" s="20" t="n"/>
      <c r="AD16" s="20" t="n"/>
      <c r="AE16" s="17" t="inlineStr">
        <is>
          <t>2 Stück (zwei Einzelfotos)</t>
        </is>
      </c>
      <c r="AF16" s="23" t="n"/>
    </row>
    <row r="17" ht="30" customHeight="1">
      <c r="A17" s="16" t="inlineStr">
        <is>
          <t>K-015</t>
        </is>
      </c>
      <c r="B17" s="16" t="inlineStr">
        <is>
          <t>Teppich schwarz-weiß Rautenmuster</t>
        </is>
      </c>
      <c r="C17" s="17" t="inlineStr">
        <is>
          <t>Flachgewebe, Rautenmuster schwarz/weiß, ca. 200 x 300 cm</t>
        </is>
      </c>
      <c r="D17" s="16" t="inlineStr">
        <is>
          <t>Textilien</t>
        </is>
      </c>
      <c r="E17" s="16" t="inlineStr">
        <is>
          <t>Neubau Raum 3</t>
        </is>
      </c>
      <c r="F17" s="16" t="inlineStr">
        <is>
          <t>C</t>
        </is>
      </c>
      <c r="G17" s="18" t="n">
        <v>2</v>
      </c>
      <c r="H17" s="18" t="n"/>
      <c r="I17" s="19">
        <f>G17-IF(H17="",0,H17)</f>
        <v/>
      </c>
      <c r="J17" s="16" t="inlineStr">
        <is>
          <t>Stück</t>
        </is>
      </c>
      <c r="K17" s="16" t="inlineStr">
        <is>
          <t>gebraucht</t>
        </is>
      </c>
      <c r="L17" s="20" t="n"/>
      <c r="M17" s="20" t="n"/>
      <c r="N17" s="21" t="n"/>
      <c r="O17" s="21" t="n">
        <v>30</v>
      </c>
      <c r="P17" s="20" t="inlineStr">
        <is>
          <t>VHB</t>
        </is>
      </c>
      <c r="Q17" s="22">
        <f>I17*O17</f>
        <v/>
      </c>
      <c r="R17" s="16" t="inlineStr">
        <is>
          <t>Versand möglich</t>
        </is>
      </c>
      <c r="S17" s="16" t="inlineStr">
        <is>
          <t>F-011</t>
        </is>
      </c>
      <c r="T17" s="20" t="inlineStr">
        <is>
          <t>verfügbar</t>
        </is>
      </c>
      <c r="U17" s="20" t="inlineStr">
        <is>
          <t>Klinik</t>
        </is>
      </c>
      <c r="V17" s="20" t="n"/>
      <c r="W17" s="21" t="n"/>
      <c r="X17" s="22">
        <f>IF(H17="","",H17*W17)</f>
        <v/>
      </c>
      <c r="Y17" s="20" t="n"/>
      <c r="Z17" s="20" t="n"/>
      <c r="AA17" s="20" t="n"/>
      <c r="AB17" s="20" t="n"/>
      <c r="AC17" s="20" t="n"/>
      <c r="AD17" s="20" t="n"/>
      <c r="AE17" s="17" t="inlineStr">
        <is>
          <t>2 Stück im Bild</t>
        </is>
      </c>
      <c r="AF17" s="23" t="n"/>
    </row>
    <row r="18" ht="30" customHeight="1">
      <c r="A18" s="16" t="inlineStr">
        <is>
          <t>K-016</t>
        </is>
      </c>
      <c r="B18" s="16" t="inlineStr">
        <is>
          <t>Regal mit Aufbewahrungsboxen</t>
        </is>
      </c>
      <c r="C18" s="17" t="inlineStr">
        <is>
          <t>IKEA Trofast, Holzrahmen mit Kunststoffboxen</t>
        </is>
      </c>
      <c r="D18" s="16" t="inlineStr">
        <is>
          <t>Kita-Ausstattung</t>
        </is>
      </c>
      <c r="E18" s="16" t="inlineStr">
        <is>
          <t>Neubau Raum 3</t>
        </is>
      </c>
      <c r="F18" s="16" t="inlineStr">
        <is>
          <t>C</t>
        </is>
      </c>
      <c r="G18" s="18" t="n">
        <v>3</v>
      </c>
      <c r="H18" s="18" t="n"/>
      <c r="I18" s="19">
        <f>G18-IF(H18="",0,H18)</f>
        <v/>
      </c>
      <c r="J18" s="16" t="inlineStr">
        <is>
          <t>Stück</t>
        </is>
      </c>
      <c r="K18" s="16" t="inlineStr">
        <is>
          <t>gebraucht</t>
        </is>
      </c>
      <c r="L18" s="20" t="n"/>
      <c r="M18" s="20" t="n"/>
      <c r="N18" s="21" t="n"/>
      <c r="O18" s="21" t="n">
        <v>35</v>
      </c>
      <c r="P18" s="20" t="inlineStr">
        <is>
          <t>VHB</t>
        </is>
      </c>
      <c r="Q18" s="22">
        <f>I18*O18</f>
        <v/>
      </c>
      <c r="R18" s="16" t="inlineStr">
        <is>
          <t>nur Abholung</t>
        </is>
      </c>
      <c r="S18" s="16" t="inlineStr">
        <is>
          <t>F-011</t>
        </is>
      </c>
      <c r="T18" s="20" t="inlineStr">
        <is>
          <t>verfügbar</t>
        </is>
      </c>
      <c r="U18" s="20" t="inlineStr">
        <is>
          <t>Klinik</t>
        </is>
      </c>
      <c r="V18" s="20" t="n"/>
      <c r="W18" s="21" t="n"/>
      <c r="X18" s="22">
        <f>IF(H18="","",H18*W18)</f>
        <v/>
      </c>
      <c r="Y18" s="20" t="n"/>
      <c r="Z18" s="20" t="n"/>
      <c r="AA18" s="20" t="n"/>
      <c r="AB18" s="20" t="n"/>
      <c r="AC18" s="20" t="n"/>
      <c r="AD18" s="20" t="n"/>
      <c r="AE18" s="17" t="inlineStr">
        <is>
          <t>3 Regale im Bild erkennbar</t>
        </is>
      </c>
      <c r="AF18" s="23" t="n"/>
    </row>
    <row r="19" ht="30" customHeight="1">
      <c r="A19" s="16" t="inlineStr">
        <is>
          <t>K-017</t>
        </is>
      </c>
      <c r="B19" s="16" t="inlineStr">
        <is>
          <t>Kinderwerkbank Holz</t>
        </is>
      </c>
      <c r="C19" s="17" t="inlineStr">
        <is>
          <t>Werkbank für Kinder mit Schraubstock und Zubehör</t>
        </is>
      </c>
      <c r="D19" s="16" t="inlineStr">
        <is>
          <t>Kita-Ausstattung</t>
        </is>
      </c>
      <c r="E19" s="16" t="inlineStr">
        <is>
          <t>Neubau Raum 3</t>
        </is>
      </c>
      <c r="F19" s="16" t="inlineStr">
        <is>
          <t>C</t>
        </is>
      </c>
      <c r="G19" s="18" t="n">
        <v>1</v>
      </c>
      <c r="H19" s="18" t="n"/>
      <c r="I19" s="19">
        <f>G19-IF(H19="",0,H19)</f>
        <v/>
      </c>
      <c r="J19" s="16" t="inlineStr">
        <is>
          <t>Stück</t>
        </is>
      </c>
      <c r="K19" s="16" t="inlineStr">
        <is>
          <t>gebraucht</t>
        </is>
      </c>
      <c r="L19" s="20" t="n"/>
      <c r="M19" s="20" t="n"/>
      <c r="N19" s="21" t="n"/>
      <c r="O19" s="21" t="n">
        <v>60</v>
      </c>
      <c r="P19" s="20" t="inlineStr">
        <is>
          <t>VHB</t>
        </is>
      </c>
      <c r="Q19" s="22">
        <f>I19*O19</f>
        <v/>
      </c>
      <c r="R19" s="16" t="inlineStr">
        <is>
          <t>nur Abholung</t>
        </is>
      </c>
      <c r="S19" s="16" t="inlineStr">
        <is>
          <t>F-011</t>
        </is>
      </c>
      <c r="T19" s="20" t="inlineStr">
        <is>
          <t>verfügbar</t>
        </is>
      </c>
      <c r="U19" s="20" t="inlineStr">
        <is>
          <t>Klinik</t>
        </is>
      </c>
      <c r="V19" s="20" t="n"/>
      <c r="W19" s="21" t="n"/>
      <c r="X19" s="22">
        <f>IF(H19="","",H19*W19)</f>
        <v/>
      </c>
      <c r="Y19" s="20" t="n"/>
      <c r="Z19" s="20" t="n"/>
      <c r="AA19" s="20" t="n"/>
      <c r="AB19" s="20" t="n"/>
      <c r="AC19" s="20" t="n"/>
      <c r="AD19" s="20" t="n"/>
      <c r="AE19" s="17" t="inlineStr">
        <is>
          <t>1 Stück im Bild</t>
        </is>
      </c>
      <c r="AF19" s="23" t="n"/>
    </row>
    <row r="20" ht="30" customHeight="1">
      <c r="A20" s="16" t="inlineStr">
        <is>
          <t>K-018</t>
        </is>
      </c>
      <c r="B20" s="16" t="inlineStr">
        <is>
          <t>Pompon-Kronleuchter rot</t>
        </is>
      </c>
      <c r="C20" s="17" t="inlineStr">
        <is>
          <t>Metallring-Konstruktion mit roten Wollbommeln, Sonderanfertigung, Deckenleuchte</t>
        </is>
      </c>
      <c r="D20" s="16" t="inlineStr">
        <is>
          <t>Leuchten</t>
        </is>
      </c>
      <c r="E20" s="16" t="inlineStr">
        <is>
          <t>Neubau Flur</t>
        </is>
      </c>
      <c r="F20" s="16" t="inlineStr">
        <is>
          <t>B</t>
        </is>
      </c>
      <c r="G20" s="18" t="n">
        <v>1</v>
      </c>
      <c r="H20" s="18" t="n"/>
      <c r="I20" s="19">
        <f>G20-IF(H20="",0,H20)</f>
        <v/>
      </c>
      <c r="J20" s="16" t="inlineStr">
        <is>
          <t>Stück</t>
        </is>
      </c>
      <c r="K20" s="16" t="inlineStr">
        <is>
          <t>gut</t>
        </is>
      </c>
      <c r="L20" s="20" t="n"/>
      <c r="M20" s="20" t="n"/>
      <c r="N20" s="21" t="n"/>
      <c r="O20" s="21" t="n">
        <v>150</v>
      </c>
      <c r="P20" s="20" t="inlineStr">
        <is>
          <t>VHB</t>
        </is>
      </c>
      <c r="Q20" s="22">
        <f>I20*O20</f>
        <v/>
      </c>
      <c r="R20" s="16" t="inlineStr">
        <is>
          <t>nur Abholung</t>
        </is>
      </c>
      <c r="S20" s="16" t="inlineStr">
        <is>
          <t>F-012</t>
        </is>
      </c>
      <c r="T20" s="20" t="inlineStr">
        <is>
          <t>verfügbar</t>
        </is>
      </c>
      <c r="U20" s="20" t="inlineStr">
        <is>
          <t>Klinik</t>
        </is>
      </c>
      <c r="V20" s="20" t="n"/>
      <c r="W20" s="21" t="n"/>
      <c r="X20" s="22">
        <f>IF(H20="","",H20*W20)</f>
        <v/>
      </c>
      <c r="Y20" s="20" t="n"/>
      <c r="Z20" s="20" t="n"/>
      <c r="AA20" s="20" t="n"/>
      <c r="AB20" s="20" t="n"/>
      <c r="AC20" s="20" t="n"/>
      <c r="AD20" s="20" t="n"/>
      <c r="AE20" s="17" t="inlineStr">
        <is>
          <t>1 Stück im Bild</t>
        </is>
      </c>
      <c r="AF20" s="23" t="n"/>
    </row>
    <row r="21" ht="30" customHeight="1">
      <c r="A21" s="16" t="inlineStr">
        <is>
          <t>K-019</t>
        </is>
      </c>
      <c r="B21" s="16" t="inlineStr">
        <is>
          <t>Wandbild Schwarzwald-Trachten, großformatig</t>
        </is>
      </c>
      <c r="C21" s="17" t="inlineStr">
        <is>
          <t>Fotodruck auf Leinwand/Alu-Dibond, Trachtenportrait, großformatig - Kaufware</t>
        </is>
      </c>
      <c r="D21" s="16" t="inlineStr">
        <is>
          <t>Kunst</t>
        </is>
      </c>
      <c r="E21" s="16" t="inlineStr">
        <is>
          <t>Neubau Flur</t>
        </is>
      </c>
      <c r="F21" s="16" t="inlineStr">
        <is>
          <t>B</t>
        </is>
      </c>
      <c r="G21" s="18" t="n">
        <v>2</v>
      </c>
      <c r="H21" s="18" t="n"/>
      <c r="I21" s="19">
        <f>G21-IF(H21="",0,H21)</f>
        <v/>
      </c>
      <c r="J21" s="16" t="inlineStr">
        <is>
          <t>Stück</t>
        </is>
      </c>
      <c r="K21" s="16" t="inlineStr">
        <is>
          <t>gut</t>
        </is>
      </c>
      <c r="L21" s="20" t="n"/>
      <c r="M21" s="20" t="n"/>
      <c r="N21" s="21" t="n"/>
      <c r="O21" s="21" t="n">
        <v>120</v>
      </c>
      <c r="P21" s="20" t="inlineStr">
        <is>
          <t>VHB</t>
        </is>
      </c>
      <c r="Q21" s="22">
        <f>I21*O21</f>
        <v/>
      </c>
      <c r="R21" s="16" t="inlineStr">
        <is>
          <t>nur Abholung</t>
        </is>
      </c>
      <c r="S21" s="16" t="inlineStr">
        <is>
          <t>F-013</t>
        </is>
      </c>
      <c r="T21" s="20" t="inlineStr">
        <is>
          <t>verfügbar</t>
        </is>
      </c>
      <c r="U21" s="20" t="inlineStr">
        <is>
          <t>Klinik</t>
        </is>
      </c>
      <c r="V21" s="20" t="n"/>
      <c r="W21" s="21" t="n"/>
      <c r="X21" s="22">
        <f>IF(H21="","",H21*W21)</f>
        <v/>
      </c>
      <c r="Y21" s="20" t="n"/>
      <c r="Z21" s="20" t="n"/>
      <c r="AA21" s="20" t="n"/>
      <c r="AB21" s="20" t="n"/>
      <c r="AC21" s="20" t="n"/>
      <c r="AD21" s="20" t="n"/>
      <c r="AE21" s="17" t="inlineStr">
        <is>
          <t>2 Bilder im Bild</t>
        </is>
      </c>
      <c r="AF21" s="23" t="n"/>
    </row>
    <row r="22" ht="30" customHeight="1">
      <c r="A22" s="16" t="inlineStr">
        <is>
          <t>K-020</t>
        </is>
      </c>
      <c r="B22" s="16" t="inlineStr">
        <is>
          <t>Trachtenfotografie gerahmt, schwarz</t>
        </is>
      </c>
      <c r="C22" s="17" t="inlineStr">
        <is>
          <t>Fotodruck im schwarzen Rahmen mit Passepartout, ca. 30 x 40 cm - Kaufware</t>
        </is>
      </c>
      <c r="D22" s="16" t="inlineStr">
        <is>
          <t>Kunst</t>
        </is>
      </c>
      <c r="E22" s="16" t="inlineStr">
        <is>
          <t>Neubau Flur</t>
        </is>
      </c>
      <c r="F22" s="16" t="inlineStr">
        <is>
          <t>B</t>
        </is>
      </c>
      <c r="G22" s="18" t="n">
        <v>5</v>
      </c>
      <c r="H22" s="18" t="n"/>
      <c r="I22" s="19">
        <f>G22-IF(H22="",0,H22)</f>
        <v/>
      </c>
      <c r="J22" s="16" t="inlineStr">
        <is>
          <t>Stück</t>
        </is>
      </c>
      <c r="K22" s="16" t="inlineStr">
        <is>
          <t>gut</t>
        </is>
      </c>
      <c r="L22" s="20" t="n"/>
      <c r="M22" s="20" t="n"/>
      <c r="N22" s="21" t="n"/>
      <c r="O22" s="21" t="n">
        <v>45</v>
      </c>
      <c r="P22" s="20" t="inlineStr">
        <is>
          <t>VHB</t>
        </is>
      </c>
      <c r="Q22" s="22">
        <f>I22*O22</f>
        <v/>
      </c>
      <c r="R22" s="16" t="inlineStr">
        <is>
          <t>Versand möglich</t>
        </is>
      </c>
      <c r="S22" s="16" t="inlineStr">
        <is>
          <t>F-014</t>
        </is>
      </c>
      <c r="T22" s="20" t="inlineStr">
        <is>
          <t>verfügbar</t>
        </is>
      </c>
      <c r="U22" s="20" t="inlineStr">
        <is>
          <t>Klinik</t>
        </is>
      </c>
      <c r="V22" s="20" t="n"/>
      <c r="W22" s="21" t="n"/>
      <c r="X22" s="22">
        <f>IF(H22="","",H22*W22)</f>
        <v/>
      </c>
      <c r="Y22" s="20" t="n"/>
      <c r="Z22" s="20" t="n"/>
      <c r="AA22" s="20" t="n"/>
      <c r="AB22" s="20" t="n"/>
      <c r="AC22" s="20" t="n"/>
      <c r="AD22" s="20" t="n"/>
      <c r="AE22" s="17" t="inlineStr">
        <is>
          <t>5 Rahmen im Bild</t>
        </is>
      </c>
      <c r="AF22" s="23" t="n"/>
    </row>
    <row r="23" ht="30" customHeight="1">
      <c r="A23" s="16" t="inlineStr">
        <is>
          <t>K-021</t>
        </is>
      </c>
      <c r="B23" s="16" t="inlineStr">
        <is>
          <t>Wanddeko Holzleiter und Treibholz</t>
        </is>
      </c>
      <c r="C23" s="17" t="inlineStr">
        <is>
          <t>Dekoleiter grau in Tannenform, dazu Treibholzelemente</t>
        </is>
      </c>
      <c r="D23" s="16" t="inlineStr">
        <is>
          <t>Deko</t>
        </is>
      </c>
      <c r="E23" s="16" t="inlineStr">
        <is>
          <t>Neubau Flur</t>
        </is>
      </c>
      <c r="F23" s="16" t="inlineStr">
        <is>
          <t>C</t>
        </is>
      </c>
      <c r="G23" s="18" t="n">
        <v>1</v>
      </c>
      <c r="H23" s="18" t="n"/>
      <c r="I23" s="19">
        <f>G23-IF(H23="",0,H23)</f>
        <v/>
      </c>
      <c r="J23" s="16" t="inlineStr">
        <is>
          <t>Set</t>
        </is>
      </c>
      <c r="K23" s="16" t="inlineStr">
        <is>
          <t>gut</t>
        </is>
      </c>
      <c r="L23" s="20" t="n"/>
      <c r="M23" s="20" t="n"/>
      <c r="N23" s="21" t="n"/>
      <c r="O23" s="21" t="n">
        <v>30</v>
      </c>
      <c r="P23" s="20" t="inlineStr">
        <is>
          <t>VHB</t>
        </is>
      </c>
      <c r="Q23" s="22">
        <f>I23*O23</f>
        <v/>
      </c>
      <c r="R23" s="16" t="inlineStr">
        <is>
          <t>nur Abholung</t>
        </is>
      </c>
      <c r="S23" s="16" t="inlineStr">
        <is>
          <t>F-015</t>
        </is>
      </c>
      <c r="T23" s="20" t="inlineStr">
        <is>
          <t>verfügbar</t>
        </is>
      </c>
      <c r="U23" s="20" t="inlineStr">
        <is>
          <t>Klinik</t>
        </is>
      </c>
      <c r="V23" s="20" t="n"/>
      <c r="W23" s="21" t="n"/>
      <c r="X23" s="22">
        <f>IF(H23="","",H23*W23)</f>
        <v/>
      </c>
      <c r="Y23" s="20" t="n"/>
      <c r="Z23" s="20" t="n"/>
      <c r="AA23" s="20" t="n"/>
      <c r="AB23" s="20" t="n"/>
      <c r="AC23" s="20" t="n"/>
      <c r="AD23" s="20" t="n"/>
      <c r="AE23" s="17" t="inlineStr">
        <is>
          <t>1 Set im Bild</t>
        </is>
      </c>
      <c r="AF23" s="23" t="n"/>
    </row>
    <row r="24" ht="30" customHeight="1">
      <c r="A24" s="16" t="inlineStr">
        <is>
          <t>K-022</t>
        </is>
      </c>
      <c r="B24" s="16" t="inlineStr">
        <is>
          <t>Zamioculcas groß im Übertopf</t>
        </is>
      </c>
      <c r="C24" s="17" t="inlineStr">
        <is>
          <t>Glücksfeder, große Pflanze, schwarzer Übertopf</t>
        </is>
      </c>
      <c r="D24" s="16" t="inlineStr">
        <is>
          <t>Pflanzen</t>
        </is>
      </c>
      <c r="E24" s="16" t="inlineStr">
        <is>
          <t>Neubau Flur</t>
        </is>
      </c>
      <c r="F24" s="16" t="inlineStr">
        <is>
          <t>C</t>
        </is>
      </c>
      <c r="G24" s="18" t="n">
        <v>1</v>
      </c>
      <c r="H24" s="18" t="n"/>
      <c r="I24" s="19">
        <f>G24-IF(H24="",0,H24)</f>
        <v/>
      </c>
      <c r="J24" s="16" t="inlineStr">
        <is>
          <t>Stück</t>
        </is>
      </c>
      <c r="K24" s="16" t="inlineStr">
        <is>
          <t>gut</t>
        </is>
      </c>
      <c r="L24" s="20" t="n"/>
      <c r="M24" s="20" t="n"/>
      <c r="N24" s="21" t="n"/>
      <c r="O24" s="21" t="n">
        <v>70</v>
      </c>
      <c r="P24" s="20" t="inlineStr">
        <is>
          <t>VHB</t>
        </is>
      </c>
      <c r="Q24" s="22">
        <f>I24*O24</f>
        <v/>
      </c>
      <c r="R24" s="16" t="inlineStr">
        <is>
          <t>nur Abholung</t>
        </is>
      </c>
      <c r="S24" s="16" t="inlineStr">
        <is>
          <t>F-015</t>
        </is>
      </c>
      <c r="T24" s="20" t="inlineStr">
        <is>
          <t>verfügbar</t>
        </is>
      </c>
      <c r="U24" s="20" t="inlineStr">
        <is>
          <t>Klinik</t>
        </is>
      </c>
      <c r="V24" s="20" t="n"/>
      <c r="W24" s="21" t="n"/>
      <c r="X24" s="22">
        <f>IF(H24="","",H24*W24)</f>
        <v/>
      </c>
      <c r="Y24" s="20" t="n"/>
      <c r="Z24" s="20" t="n"/>
      <c r="AA24" s="20" t="n"/>
      <c r="AB24" s="20" t="n"/>
      <c r="AC24" s="20" t="n"/>
      <c r="AD24" s="20" t="n"/>
      <c r="AE24" s="17" t="inlineStr">
        <is>
          <t>1 Pflanze im Bild</t>
        </is>
      </c>
      <c r="AF24" s="23" t="n"/>
    </row>
    <row r="25" ht="30" customHeight="1">
      <c r="A25" s="16" t="inlineStr">
        <is>
          <t>K-023</t>
        </is>
      </c>
      <c r="B25" s="16" t="inlineStr">
        <is>
          <t>Massivholztisch mit Baumkante, Essbereich</t>
        </is>
      </c>
      <c r="C25" s="17" t="inlineStr">
        <is>
          <t>Massivholzplatte mit Baumkante, schwarzes Metallgestell mit Messingfüßen</t>
        </is>
      </c>
      <c r="D25" s="16" t="inlineStr">
        <is>
          <t>Möbel</t>
        </is>
      </c>
      <c r="E25" s="16" t="inlineStr">
        <is>
          <t>Neubau Küche</t>
        </is>
      </c>
      <c r="F25" s="16" t="inlineStr">
        <is>
          <t>A</t>
        </is>
      </c>
      <c r="G25" s="18" t="n">
        <v>4</v>
      </c>
      <c r="H25" s="18" t="n"/>
      <c r="I25" s="19">
        <f>G25-IF(H25="",0,H25)</f>
        <v/>
      </c>
      <c r="J25" s="16" t="inlineStr">
        <is>
          <t>Stück</t>
        </is>
      </c>
      <c r="K25" s="16" t="inlineStr">
        <is>
          <t>gut</t>
        </is>
      </c>
      <c r="L25" s="20" t="n"/>
      <c r="M25" s="20" t="n"/>
      <c r="N25" s="21" t="n"/>
      <c r="O25" s="21" t="n">
        <v>450</v>
      </c>
      <c r="P25" s="20" t="inlineStr">
        <is>
          <t>VHB</t>
        </is>
      </c>
      <c r="Q25" s="22">
        <f>I25*O25</f>
        <v/>
      </c>
      <c r="R25" s="16" t="inlineStr">
        <is>
          <t>nur Abholung</t>
        </is>
      </c>
      <c r="S25" s="16" t="inlineStr">
        <is>
          <t>F-016</t>
        </is>
      </c>
      <c r="T25" s="20" t="inlineStr">
        <is>
          <t>verfügbar</t>
        </is>
      </c>
      <c r="U25" s="20" t="inlineStr">
        <is>
          <t>Klinik</t>
        </is>
      </c>
      <c r="V25" s="20" t="n"/>
      <c r="W25" s="21" t="n"/>
      <c r="X25" s="22">
        <f>IF(H25="","",H25*W25)</f>
        <v/>
      </c>
      <c r="Y25" s="20" t="n"/>
      <c r="Z25" s="20" t="n"/>
      <c r="AA25" s="20" t="n"/>
      <c r="AB25" s="20" t="n"/>
      <c r="AC25" s="20" t="n"/>
      <c r="AD25" s="20" t="n"/>
      <c r="AE25" s="17" t="inlineStr">
        <is>
          <t>mindestens 4 Tische im Bild - bitte nachzählen</t>
        </is>
      </c>
      <c r="AF25" s="23" t="n"/>
    </row>
    <row r="26" ht="30" customHeight="1">
      <c r="A26" s="16" t="inlineStr">
        <is>
          <t>K-024</t>
        </is>
      </c>
      <c r="B26" s="16" t="inlineStr">
        <is>
          <t>Sitzbank Massivholz</t>
        </is>
      </c>
      <c r="C26" s="17" t="inlineStr">
        <is>
          <t>Passend zu den Baumkantentischen, Massivholz mit Metallgestell</t>
        </is>
      </c>
      <c r="D26" s="16" t="inlineStr">
        <is>
          <t>Möbel</t>
        </is>
      </c>
      <c r="E26" s="16" t="inlineStr">
        <is>
          <t>Neubau Küche</t>
        </is>
      </c>
      <c r="F26" s="16" t="inlineStr">
        <is>
          <t>B</t>
        </is>
      </c>
      <c r="G26" s="18" t="n">
        <v>2</v>
      </c>
      <c r="H26" s="18" t="n"/>
      <c r="I26" s="19">
        <f>G26-IF(H26="",0,H26)</f>
        <v/>
      </c>
      <c r="J26" s="16" t="inlineStr">
        <is>
          <t>Stück</t>
        </is>
      </c>
      <c r="K26" s="16" t="inlineStr">
        <is>
          <t>gut</t>
        </is>
      </c>
      <c r="L26" s="20" t="n"/>
      <c r="M26" s="20" t="n"/>
      <c r="N26" s="21" t="n"/>
      <c r="O26" s="21" t="n">
        <v>250</v>
      </c>
      <c r="P26" s="20" t="inlineStr">
        <is>
          <t>VHB</t>
        </is>
      </c>
      <c r="Q26" s="22">
        <f>I26*O26</f>
        <v/>
      </c>
      <c r="R26" s="16" t="inlineStr">
        <is>
          <t>nur Abholung</t>
        </is>
      </c>
      <c r="S26" s="16" t="inlineStr">
        <is>
          <t>F-016</t>
        </is>
      </c>
      <c r="T26" s="20" t="inlineStr">
        <is>
          <t>verfügbar</t>
        </is>
      </c>
      <c r="U26" s="20" t="inlineStr">
        <is>
          <t>Klinik</t>
        </is>
      </c>
      <c r="V26" s="20" t="n"/>
      <c r="W26" s="21" t="n"/>
      <c r="X26" s="22">
        <f>IF(H26="","",H26*W26)</f>
        <v/>
      </c>
      <c r="Y26" s="20" t="n"/>
      <c r="Z26" s="20" t="n"/>
      <c r="AA26" s="20" t="n"/>
      <c r="AB26" s="20" t="n"/>
      <c r="AC26" s="20" t="n"/>
      <c r="AD26" s="20" t="n"/>
      <c r="AE26" s="17" t="inlineStr">
        <is>
          <t>2 Bänke im Bild erkennbar</t>
        </is>
      </c>
      <c r="AF26" s="23" t="n"/>
    </row>
    <row r="27" ht="30" customHeight="1">
      <c r="A27" s="16" t="inlineStr">
        <is>
          <t>K-025</t>
        </is>
      </c>
      <c r="B27" s="16" t="inlineStr">
        <is>
          <t>Stapelstuhl rot</t>
        </is>
      </c>
      <c r="C27" s="17" t="inlineStr">
        <is>
          <t>Kunststoff-Stapelstuhl, rot, Erwachsenengröße</t>
        </is>
      </c>
      <c r="D27" s="16" t="inlineStr">
        <is>
          <t>Möbel</t>
        </is>
      </c>
      <c r="E27" s="16" t="inlineStr">
        <is>
          <t>Neubau Küche</t>
        </is>
      </c>
      <c r="F27" s="16" t="inlineStr">
        <is>
          <t>C</t>
        </is>
      </c>
      <c r="G27" s="18" t="n">
        <v>6</v>
      </c>
      <c r="H27" s="18" t="n"/>
      <c r="I27" s="19">
        <f>G27-IF(H27="",0,H27)</f>
        <v/>
      </c>
      <c r="J27" s="16" t="inlineStr">
        <is>
          <t>Stück</t>
        </is>
      </c>
      <c r="K27" s="16" t="inlineStr">
        <is>
          <t>gebraucht</t>
        </is>
      </c>
      <c r="L27" s="20" t="n"/>
      <c r="M27" s="20" t="n"/>
      <c r="N27" s="21" t="n"/>
      <c r="O27" s="21" t="n">
        <v>15</v>
      </c>
      <c r="P27" s="20" t="inlineStr">
        <is>
          <t>VHB</t>
        </is>
      </c>
      <c r="Q27" s="22">
        <f>I27*O27</f>
        <v/>
      </c>
      <c r="R27" s="16" t="inlineStr">
        <is>
          <t>Versand möglich</t>
        </is>
      </c>
      <c r="S27" s="16" t="inlineStr">
        <is>
          <t>F-016</t>
        </is>
      </c>
      <c r="T27" s="20" t="inlineStr">
        <is>
          <t>verfügbar</t>
        </is>
      </c>
      <c r="U27" s="20" t="inlineStr">
        <is>
          <t>Klinik</t>
        </is>
      </c>
      <c r="V27" s="20" t="n"/>
      <c r="W27" s="21" t="n"/>
      <c r="X27" s="22">
        <f>IF(H27="","",H27*W27)</f>
        <v/>
      </c>
      <c r="Y27" s="20" t="n"/>
      <c r="Z27" s="20" t="n"/>
      <c r="AA27" s="20" t="n"/>
      <c r="AB27" s="20" t="n"/>
      <c r="AC27" s="20" t="n"/>
      <c r="AD27" s="20" t="n"/>
      <c r="AE27" s="17" t="inlineStr">
        <is>
          <t>ca. 6 Stück im Bild - bitte nachzählen</t>
        </is>
      </c>
      <c r="AF27" s="23" t="n"/>
    </row>
    <row r="28" ht="30" customHeight="1">
      <c r="A28" s="16" t="inlineStr">
        <is>
          <t>K-026</t>
        </is>
      </c>
      <c r="B28" s="16" t="inlineStr">
        <is>
          <t>Kinderstuhl weiß</t>
        </is>
      </c>
      <c r="C28" s="17" t="inlineStr">
        <is>
          <t>Kunststoff, weiß, Kindergröße, stapelbar</t>
        </is>
      </c>
      <c r="D28" s="16" t="inlineStr">
        <is>
          <t>Kita-Ausstattung</t>
        </is>
      </c>
      <c r="E28" s="16" t="inlineStr">
        <is>
          <t>Neubau Küche</t>
        </is>
      </c>
      <c r="F28" s="16" t="inlineStr">
        <is>
          <t>C</t>
        </is>
      </c>
      <c r="G28" s="18" t="n">
        <v>8</v>
      </c>
      <c r="H28" s="18" t="n"/>
      <c r="I28" s="19">
        <f>G28-IF(H28="",0,H28)</f>
        <v/>
      </c>
      <c r="J28" s="16" t="inlineStr">
        <is>
          <t>Stück</t>
        </is>
      </c>
      <c r="K28" s="16" t="inlineStr">
        <is>
          <t>gebraucht</t>
        </is>
      </c>
      <c r="L28" s="20" t="n"/>
      <c r="M28" s="20" t="n"/>
      <c r="N28" s="21" t="n"/>
      <c r="O28" s="21" t="n">
        <v>12</v>
      </c>
      <c r="P28" s="20" t="inlineStr">
        <is>
          <t>VHB</t>
        </is>
      </c>
      <c r="Q28" s="22">
        <f>I28*O28</f>
        <v/>
      </c>
      <c r="R28" s="16" t="inlineStr">
        <is>
          <t>Versand möglich</t>
        </is>
      </c>
      <c r="S28" s="16" t="inlineStr">
        <is>
          <t>F-016</t>
        </is>
      </c>
      <c r="T28" s="20" t="inlineStr">
        <is>
          <t>verfügbar</t>
        </is>
      </c>
      <c r="U28" s="20" t="inlineStr">
        <is>
          <t>Klinik</t>
        </is>
      </c>
      <c r="V28" s="20" t="n"/>
      <c r="W28" s="21" t="n"/>
      <c r="X28" s="22">
        <f>IF(H28="","",H28*W28)</f>
        <v/>
      </c>
      <c r="Y28" s="20" t="n"/>
      <c r="Z28" s="20" t="n"/>
      <c r="AA28" s="20" t="n"/>
      <c r="AB28" s="20" t="n"/>
      <c r="AC28" s="20" t="n"/>
      <c r="AD28" s="20" t="n"/>
      <c r="AE28" s="17" t="inlineStr">
        <is>
          <t>ca. 8 Stück im Bild - bitte nachzählen</t>
        </is>
      </c>
      <c r="AF28" s="23" t="n"/>
    </row>
    <row r="29" ht="30" customHeight="1">
      <c r="A29" s="16" t="inlineStr">
        <is>
          <t>K-027</t>
        </is>
      </c>
      <c r="B29" s="16" t="inlineStr">
        <is>
          <t>Kinder-Hochstuhl</t>
        </is>
      </c>
      <c r="C29" s="17" t="inlineStr">
        <is>
          <t>Klappbarer Hochstuhl, Holz/weiß</t>
        </is>
      </c>
      <c r="D29" s="16" t="inlineStr">
        <is>
          <t>Kita-Ausstattung</t>
        </is>
      </c>
      <c r="E29" s="16" t="inlineStr">
        <is>
          <t>Neubau Küche</t>
        </is>
      </c>
      <c r="F29" s="16" t="inlineStr">
        <is>
          <t>C</t>
        </is>
      </c>
      <c r="G29" s="18" t="n">
        <v>1</v>
      </c>
      <c r="H29" s="18" t="n"/>
      <c r="I29" s="19">
        <f>G29-IF(H29="",0,H29)</f>
        <v/>
      </c>
      <c r="J29" s="16" t="inlineStr">
        <is>
          <t>Stück</t>
        </is>
      </c>
      <c r="K29" s="16" t="inlineStr">
        <is>
          <t>gebraucht</t>
        </is>
      </c>
      <c r="L29" s="20" t="n"/>
      <c r="M29" s="20" t="n"/>
      <c r="N29" s="21" t="n"/>
      <c r="O29" s="21" t="n">
        <v>40</v>
      </c>
      <c r="P29" s="20" t="inlineStr">
        <is>
          <t>VHB</t>
        </is>
      </c>
      <c r="Q29" s="22">
        <f>I29*O29</f>
        <v/>
      </c>
      <c r="R29" s="16" t="inlineStr">
        <is>
          <t>Versand möglich</t>
        </is>
      </c>
      <c r="S29" s="16" t="inlineStr">
        <is>
          <t>F-016</t>
        </is>
      </c>
      <c r="T29" s="20" t="inlineStr">
        <is>
          <t>verfügbar</t>
        </is>
      </c>
      <c r="U29" s="20" t="inlineStr">
        <is>
          <t>Klinik</t>
        </is>
      </c>
      <c r="V29" s="20" t="n"/>
      <c r="W29" s="21" t="n"/>
      <c r="X29" s="22">
        <f>IF(H29="","",H29*W29)</f>
        <v/>
      </c>
      <c r="Y29" s="20" t="n"/>
      <c r="Z29" s="20" t="n"/>
      <c r="AA29" s="20" t="n"/>
      <c r="AB29" s="20" t="n"/>
      <c r="AC29" s="20" t="n"/>
      <c r="AD29" s="20" t="n"/>
      <c r="AE29" s="17" t="inlineStr">
        <is>
          <t>1 Stück im Bild</t>
        </is>
      </c>
      <c r="AF29" s="23" t="n"/>
    </row>
    <row r="30" ht="30" customHeight="1">
      <c r="A30" s="16" t="inlineStr">
        <is>
          <t>K-028</t>
        </is>
      </c>
      <c r="B30" s="16" t="inlineStr">
        <is>
          <t>Kuckucksuhr groß, geschnitzt</t>
        </is>
      </c>
      <c r="C30" s="17" t="inlineStr">
        <is>
          <t>Schwarzwälder Kuckucksuhr, aufwendig geschnitzt mit Hirschkopf, Eulen und Jagdhorn</t>
        </is>
      </c>
      <c r="D30" s="16" t="inlineStr">
        <is>
          <t>Uhren</t>
        </is>
      </c>
      <c r="E30" s="16" t="inlineStr">
        <is>
          <t>Neubau Küche</t>
        </is>
      </c>
      <c r="F30" s="16" t="inlineStr">
        <is>
          <t>A</t>
        </is>
      </c>
      <c r="G30" s="18" t="n">
        <v>1</v>
      </c>
      <c r="H30" s="18" t="n"/>
      <c r="I30" s="19">
        <f>G30-IF(H30="",0,H30)</f>
        <v/>
      </c>
      <c r="J30" s="16" t="inlineStr">
        <is>
          <t>Stück</t>
        </is>
      </c>
      <c r="K30" s="16" t="inlineStr">
        <is>
          <t>gut</t>
        </is>
      </c>
      <c r="L30" s="20" t="n"/>
      <c r="M30" s="20" t="n"/>
      <c r="N30" s="21" t="n"/>
      <c r="O30" s="21" t="n">
        <v>550</v>
      </c>
      <c r="P30" s="20" t="inlineStr">
        <is>
          <t>VHB</t>
        </is>
      </c>
      <c r="Q30" s="22">
        <f>I30*O30</f>
        <v/>
      </c>
      <c r="R30" s="16" t="inlineStr">
        <is>
          <t>nur Abholung</t>
        </is>
      </c>
      <c r="S30" s="16" t="inlineStr">
        <is>
          <t>F-017</t>
        </is>
      </c>
      <c r="T30" s="20" t="inlineStr">
        <is>
          <t>verfügbar</t>
        </is>
      </c>
      <c r="U30" s="20" t="inlineStr">
        <is>
          <t>Klinik</t>
        </is>
      </c>
      <c r="V30" s="20" t="n"/>
      <c r="W30" s="21" t="n"/>
      <c r="X30" s="22">
        <f>IF(H30="","",H30*W30)</f>
        <v/>
      </c>
      <c r="Y30" s="20" t="n"/>
      <c r="Z30" s="20" t="n"/>
      <c r="AA30" s="20" t="n"/>
      <c r="AB30" s="20" t="n"/>
      <c r="AC30" s="20" t="n"/>
      <c r="AD30" s="20" t="n"/>
      <c r="AE30" s="17" t="inlineStr">
        <is>
          <t>1 Stück im Bild</t>
        </is>
      </c>
      <c r="AF30" s="23" t="n"/>
    </row>
    <row r="31" ht="30" customHeight="1">
      <c r="A31" s="16" t="inlineStr">
        <is>
          <t>K-029</t>
        </is>
      </c>
      <c r="B31" s="16" t="inlineStr">
        <is>
          <t>Whiteboard Sprechblasenform</t>
        </is>
      </c>
      <c r="C31" s="17" t="inlineStr">
        <is>
          <t>Magnetisches Whiteboard in Sprechblasenform</t>
        </is>
      </c>
      <c r="D31" s="16" t="inlineStr">
        <is>
          <t>Büro</t>
        </is>
      </c>
      <c r="E31" s="16" t="inlineStr">
        <is>
          <t>Neubau Küche</t>
        </is>
      </c>
      <c r="F31" s="16" t="inlineStr">
        <is>
          <t>C</t>
        </is>
      </c>
      <c r="G31" s="18" t="n">
        <v>1</v>
      </c>
      <c r="H31" s="18" t="n"/>
      <c r="I31" s="19">
        <f>G31-IF(H31="",0,H31)</f>
        <v/>
      </c>
      <c r="J31" s="16" t="inlineStr">
        <is>
          <t>Stück</t>
        </is>
      </c>
      <c r="K31" s="16" t="inlineStr">
        <is>
          <t>gut</t>
        </is>
      </c>
      <c r="L31" s="20" t="n"/>
      <c r="M31" s="20" t="n"/>
      <c r="N31" s="21" t="n"/>
      <c r="O31" s="21" t="n">
        <v>35</v>
      </c>
      <c r="P31" s="20" t="inlineStr">
        <is>
          <t>VHB</t>
        </is>
      </c>
      <c r="Q31" s="22">
        <f>I31*O31</f>
        <v/>
      </c>
      <c r="R31" s="16" t="inlineStr">
        <is>
          <t>Versand möglich</t>
        </is>
      </c>
      <c r="S31" s="16" t="inlineStr">
        <is>
          <t>F-017</t>
        </is>
      </c>
      <c r="T31" s="20" t="inlineStr">
        <is>
          <t>verfügbar</t>
        </is>
      </c>
      <c r="U31" s="20" t="inlineStr">
        <is>
          <t>Klinik</t>
        </is>
      </c>
      <c r="V31" s="20" t="n"/>
      <c r="W31" s="21" t="n"/>
      <c r="X31" s="22">
        <f>IF(H31="","",H31*W31)</f>
        <v/>
      </c>
      <c r="Y31" s="20" t="n"/>
      <c r="Z31" s="20" t="n"/>
      <c r="AA31" s="20" t="n"/>
      <c r="AB31" s="20" t="n"/>
      <c r="AC31" s="20" t="n"/>
      <c r="AD31" s="20" t="n"/>
      <c r="AE31" s="17" t="inlineStr">
        <is>
          <t>1 Stück im Bild</t>
        </is>
      </c>
      <c r="AF31" s="23" t="n"/>
    </row>
    <row r="32" ht="30" customHeight="1">
      <c r="A32" s="16" t="inlineStr">
        <is>
          <t>K-030</t>
        </is>
      </c>
      <c r="B32" s="16" t="inlineStr">
        <is>
          <t>Bücherschrank weiß, Landhausstil</t>
        </is>
      </c>
      <c r="C32" s="17" t="inlineStr">
        <is>
          <t>Weiß, Sprossen-Glastüren, mehrere Fachböden</t>
        </is>
      </c>
      <c r="D32" s="16" t="inlineStr">
        <is>
          <t>Möbel</t>
        </is>
      </c>
      <c r="E32" s="16" t="inlineStr">
        <is>
          <t>Neubau Elternlounge</t>
        </is>
      </c>
      <c r="F32" s="16" t="inlineStr">
        <is>
          <t>B</t>
        </is>
      </c>
      <c r="G32" s="18" t="n">
        <v>1</v>
      </c>
      <c r="H32" s="18" t="n"/>
      <c r="I32" s="19">
        <f>G32-IF(H32="",0,H32)</f>
        <v/>
      </c>
      <c r="J32" s="16" t="inlineStr">
        <is>
          <t>Stück</t>
        </is>
      </c>
      <c r="K32" s="16" t="inlineStr">
        <is>
          <t>gut</t>
        </is>
      </c>
      <c r="L32" s="20" t="n"/>
      <c r="M32" s="20" t="n"/>
      <c r="N32" s="21" t="n"/>
      <c r="O32" s="21" t="n">
        <v>180</v>
      </c>
      <c r="P32" s="20" t="inlineStr">
        <is>
          <t>VHB</t>
        </is>
      </c>
      <c r="Q32" s="22">
        <f>I32*O32</f>
        <v/>
      </c>
      <c r="R32" s="16" t="inlineStr">
        <is>
          <t>nur Abholung</t>
        </is>
      </c>
      <c r="S32" s="16" t="inlineStr">
        <is>
          <t>F-018</t>
        </is>
      </c>
      <c r="T32" s="20" t="inlineStr">
        <is>
          <t>verfügbar</t>
        </is>
      </c>
      <c r="U32" s="20" t="inlineStr">
        <is>
          <t>Klinik</t>
        </is>
      </c>
      <c r="V32" s="20" t="n"/>
      <c r="W32" s="21" t="n"/>
      <c r="X32" s="22">
        <f>IF(H32="","",H32*W32)</f>
        <v/>
      </c>
      <c r="Y32" s="20" t="n"/>
      <c r="Z32" s="20" t="n"/>
      <c r="AA32" s="20" t="n"/>
      <c r="AB32" s="20" t="n"/>
      <c r="AC32" s="20" t="n"/>
      <c r="AD32" s="20" t="n"/>
      <c r="AE32" s="17" t="inlineStr">
        <is>
          <t>1 Schrank im Bild (Bücher nicht enthalten)</t>
        </is>
      </c>
      <c r="AF32" s="23" t="n"/>
    </row>
    <row r="33" ht="30" customHeight="1">
      <c r="A33" s="16" t="inlineStr">
        <is>
          <t>K-031</t>
        </is>
      </c>
      <c r="B33" s="16" t="inlineStr">
        <is>
          <t>Vitra Alcove Sofa, rot</t>
        </is>
      </c>
      <c r="C33" s="17" t="inlineStr">
        <is>
          <t>Vitra Alcove, Design Ronan &amp; Erwan Bouroullec, rot, hohe Rückenwände, Chrombeine</t>
        </is>
      </c>
      <c r="D33" s="16" t="inlineStr">
        <is>
          <t>Designmöbel</t>
        </is>
      </c>
      <c r="E33" s="16" t="inlineStr">
        <is>
          <t>Neubau Elternlounge</t>
        </is>
      </c>
      <c r="F33" s="16" t="inlineStr">
        <is>
          <t>A</t>
        </is>
      </c>
      <c r="G33" s="18" t="n">
        <v>2</v>
      </c>
      <c r="H33" s="18" t="n"/>
      <c r="I33" s="19">
        <f>G33-IF(H33="",0,H33)</f>
        <v/>
      </c>
      <c r="J33" s="16" t="inlineStr">
        <is>
          <t>Stück</t>
        </is>
      </c>
      <c r="K33" s="16" t="inlineStr">
        <is>
          <t>gut</t>
        </is>
      </c>
      <c r="L33" s="20" t="n"/>
      <c r="M33" s="20" t="n"/>
      <c r="N33" s="21" t="n"/>
      <c r="O33" s="21" t="n">
        <v>1200</v>
      </c>
      <c r="P33" s="20" t="inlineStr">
        <is>
          <t>VHB</t>
        </is>
      </c>
      <c r="Q33" s="22">
        <f>I33*O33</f>
        <v/>
      </c>
      <c r="R33" s="16" t="inlineStr">
        <is>
          <t>nur Abholung</t>
        </is>
      </c>
      <c r="S33" s="16" t="inlineStr">
        <is>
          <t>F-019</t>
        </is>
      </c>
      <c r="T33" s="20" t="inlineStr">
        <is>
          <t>verfügbar</t>
        </is>
      </c>
      <c r="U33" s="20" t="inlineStr">
        <is>
          <t>Klinik</t>
        </is>
      </c>
      <c r="V33" s="20" t="n"/>
      <c r="W33" s="21" t="n"/>
      <c r="X33" s="22">
        <f>IF(H33="","",H33*W33)</f>
        <v/>
      </c>
      <c r="Y33" s="20" t="n"/>
      <c r="Z33" s="20" t="n"/>
      <c r="AA33" s="20" t="n"/>
      <c r="AB33" s="20" t="n"/>
      <c r="AC33" s="20" t="n"/>
      <c r="AD33" s="20" t="n"/>
      <c r="AE33" s="17" t="inlineStr">
        <is>
          <t>2 Elemente im Bild - bitte prüfen ob 3</t>
        </is>
      </c>
      <c r="AF33" s="23" t="n"/>
    </row>
    <row r="34" ht="30" customHeight="1">
      <c r="A34" s="16" t="inlineStr">
        <is>
          <t>K-032</t>
        </is>
      </c>
      <c r="B34" s="16" t="inlineStr">
        <is>
          <t>Hocker rot</t>
        </is>
      </c>
      <c r="C34" s="17" t="inlineStr">
        <is>
          <t>Passend zur Sitzgruppe, rot bezogen</t>
        </is>
      </c>
      <c r="D34" s="16" t="inlineStr">
        <is>
          <t>Möbel</t>
        </is>
      </c>
      <c r="E34" s="16" t="inlineStr">
        <is>
          <t>Neubau Elternlounge</t>
        </is>
      </c>
      <c r="F34" s="16" t="inlineStr">
        <is>
          <t>B</t>
        </is>
      </c>
      <c r="G34" s="18" t="n">
        <v>2</v>
      </c>
      <c r="H34" s="18" t="n"/>
      <c r="I34" s="19">
        <f>G34-IF(H34="",0,H34)</f>
        <v/>
      </c>
      <c r="J34" s="16" t="inlineStr">
        <is>
          <t>Stück</t>
        </is>
      </c>
      <c r="K34" s="16" t="inlineStr">
        <is>
          <t>gut</t>
        </is>
      </c>
      <c r="L34" s="20" t="n"/>
      <c r="M34" s="20" t="n"/>
      <c r="N34" s="21" t="n"/>
      <c r="O34" s="21" t="n">
        <v>90</v>
      </c>
      <c r="P34" s="20" t="inlineStr">
        <is>
          <t>VHB</t>
        </is>
      </c>
      <c r="Q34" s="22">
        <f>I34*O34</f>
        <v/>
      </c>
      <c r="R34" s="16" t="inlineStr">
        <is>
          <t>Versand möglich</t>
        </is>
      </c>
      <c r="S34" s="16" t="inlineStr">
        <is>
          <t>F-019</t>
        </is>
      </c>
      <c r="T34" s="20" t="inlineStr">
        <is>
          <t>verfügbar</t>
        </is>
      </c>
      <c r="U34" s="20" t="inlineStr">
        <is>
          <t>Klinik</t>
        </is>
      </c>
      <c r="V34" s="20" t="n"/>
      <c r="W34" s="21" t="n"/>
      <c r="X34" s="22">
        <f>IF(H34="","",H34*W34)</f>
        <v/>
      </c>
      <c r="Y34" s="20" t="n"/>
      <c r="Z34" s="20" t="n"/>
      <c r="AA34" s="20" t="n"/>
      <c r="AB34" s="20" t="n"/>
      <c r="AC34" s="20" t="n"/>
      <c r="AD34" s="20" t="n"/>
      <c r="AE34" s="17" t="inlineStr">
        <is>
          <t>2 Stück im Bild</t>
        </is>
      </c>
      <c r="AF34" s="23" t="n"/>
    </row>
    <row r="35" ht="30" customHeight="1">
      <c r="A35" s="16" t="inlineStr">
        <is>
          <t>K-033</t>
        </is>
      </c>
      <c r="B35" s="16" t="inlineStr">
        <is>
          <t>USM Haller Regal weiß</t>
        </is>
      </c>
      <c r="C35" s="17" t="inlineStr">
        <is>
          <t>USM Haller, weiß, 3 Ebenen, offen, verchromtes Rohrgestell mit Kugelverbindern</t>
        </is>
      </c>
      <c r="D35" s="16" t="inlineStr">
        <is>
          <t>Designmöbel</t>
        </is>
      </c>
      <c r="E35" s="16" t="inlineStr">
        <is>
          <t>Neubau Elternlounge</t>
        </is>
      </c>
      <c r="F35" s="16" t="inlineStr">
        <is>
          <t>A</t>
        </is>
      </c>
      <c r="G35" s="18" t="n">
        <v>2</v>
      </c>
      <c r="H35" s="18" t="n"/>
      <c r="I35" s="19">
        <f>G35-IF(H35="",0,H35)</f>
        <v/>
      </c>
      <c r="J35" s="16" t="inlineStr">
        <is>
          <t>Stück</t>
        </is>
      </c>
      <c r="K35" s="16" t="inlineStr">
        <is>
          <t>gut</t>
        </is>
      </c>
      <c r="L35" s="20" t="n"/>
      <c r="M35" s="20" t="n"/>
      <c r="N35" s="21" t="n"/>
      <c r="O35" s="21" t="n">
        <v>850</v>
      </c>
      <c r="P35" s="20" t="inlineStr">
        <is>
          <t>VHB</t>
        </is>
      </c>
      <c r="Q35" s="22">
        <f>I35*O35</f>
        <v/>
      </c>
      <c r="R35" s="16" t="inlineStr">
        <is>
          <t>nur Abholung</t>
        </is>
      </c>
      <c r="S35" s="16" t="inlineStr">
        <is>
          <t>F-020</t>
        </is>
      </c>
      <c r="T35" s="20" t="inlineStr">
        <is>
          <t>verfügbar</t>
        </is>
      </c>
      <c r="U35" s="20" t="inlineStr">
        <is>
          <t>Klinik</t>
        </is>
      </c>
      <c r="V35" s="20" t="n"/>
      <c r="W35" s="21" t="n"/>
      <c r="X35" s="22">
        <f>IF(H35="","",H35*W35)</f>
        <v/>
      </c>
      <c r="Y35" s="20" t="n"/>
      <c r="Z35" s="20" t="n"/>
      <c r="AA35" s="20" t="n"/>
      <c r="AB35" s="20" t="n"/>
      <c r="AC35" s="20" t="n"/>
      <c r="AD35" s="20" t="n"/>
      <c r="AE35" s="17" t="inlineStr">
        <is>
          <t>2 Regale im Bild</t>
        </is>
      </c>
      <c r="AF35" s="23" t="n"/>
    </row>
    <row r="36" ht="30" customHeight="1">
      <c r="A36" s="16" t="inlineStr">
        <is>
          <t>K-034</t>
        </is>
      </c>
      <c r="B36" s="16" t="inlineStr">
        <is>
          <t>Kuckucksuhr, Wandgruppe</t>
        </is>
      </c>
      <c r="C36" s="17" t="inlineStr">
        <is>
          <t>Schwarzwälder Kuckucksuhren verschiedener Größe und Ausführung</t>
        </is>
      </c>
      <c r="D36" s="16" t="inlineStr">
        <is>
          <t>Uhren</t>
        </is>
      </c>
      <c r="E36" s="16" t="inlineStr">
        <is>
          <t>Neubau Eingang</t>
        </is>
      </c>
      <c r="F36" s="16" t="inlineStr">
        <is>
          <t>A</t>
        </is>
      </c>
      <c r="G36" s="18" t="n">
        <v>5</v>
      </c>
      <c r="H36" s="18" t="n"/>
      <c r="I36" s="19">
        <f>G36-IF(H36="",0,H36)</f>
        <v/>
      </c>
      <c r="J36" s="16" t="inlineStr">
        <is>
          <t>Stück</t>
        </is>
      </c>
      <c r="K36" s="16" t="inlineStr">
        <is>
          <t>gut</t>
        </is>
      </c>
      <c r="L36" s="20" t="n"/>
      <c r="M36" s="20" t="n"/>
      <c r="N36" s="21" t="n"/>
      <c r="O36" s="21" t="n">
        <v>150</v>
      </c>
      <c r="P36" s="20" t="inlineStr">
        <is>
          <t>VHB</t>
        </is>
      </c>
      <c r="Q36" s="22">
        <f>I36*O36</f>
        <v/>
      </c>
      <c r="R36" s="16" t="inlineStr">
        <is>
          <t>Versand möglich</t>
        </is>
      </c>
      <c r="S36" s="16" t="inlineStr">
        <is>
          <t>F-110</t>
        </is>
      </c>
      <c r="T36" s="20" t="inlineStr">
        <is>
          <t>verfügbar</t>
        </is>
      </c>
      <c r="U36" s="20" t="inlineStr">
        <is>
          <t>Klinik</t>
        </is>
      </c>
      <c r="V36" s="20" t="n"/>
      <c r="W36" s="21" t="n"/>
      <c r="X36" s="22">
        <f>IF(H36="","",H36*W36)</f>
        <v/>
      </c>
      <c r="Y36" s="20" t="n"/>
      <c r="Z36" s="20" t="n"/>
      <c r="AA36" s="20" t="n"/>
      <c r="AB36" s="20" t="n"/>
      <c r="AC36" s="20" t="n"/>
      <c r="AD36" s="20" t="n"/>
      <c r="AE36" s="17" t="inlineStr">
        <is>
          <t>5 Uhren im Bild - bitte nachzählen</t>
        </is>
      </c>
      <c r="AF36" s="23" t="n"/>
    </row>
    <row r="37" ht="30" customHeight="1">
      <c r="A37" s="16" t="inlineStr">
        <is>
          <t>K-035</t>
        </is>
      </c>
      <c r="B37" s="16" t="inlineStr">
        <is>
          <t>Vitrine antik, Nussbaum</t>
        </is>
      </c>
      <c r="C37" s="17" t="inlineStr">
        <is>
          <t>Antike Vitrine, Nussbaum/Wurzelholz, geschwungene Front, Glastüren</t>
        </is>
      </c>
      <c r="D37" s="16" t="inlineStr">
        <is>
          <t>Möbel</t>
        </is>
      </c>
      <c r="E37" s="16" t="inlineStr">
        <is>
          <t>Neubau Eingang</t>
        </is>
      </c>
      <c r="F37" s="16" t="inlineStr">
        <is>
          <t>B</t>
        </is>
      </c>
      <c r="G37" s="18" t="n">
        <v>1</v>
      </c>
      <c r="H37" s="18" t="n"/>
      <c r="I37" s="19">
        <f>G37-IF(H37="",0,H37)</f>
        <v/>
      </c>
      <c r="J37" s="16" t="inlineStr">
        <is>
          <t>Stück</t>
        </is>
      </c>
      <c r="K37" s="16" t="inlineStr">
        <is>
          <t>gut</t>
        </is>
      </c>
      <c r="L37" s="20" t="n"/>
      <c r="M37" s="20" t="n"/>
      <c r="N37" s="21" t="n"/>
      <c r="O37" s="21" t="n">
        <v>280</v>
      </c>
      <c r="P37" s="20" t="inlineStr">
        <is>
          <t>VHB</t>
        </is>
      </c>
      <c r="Q37" s="22">
        <f>I37*O37</f>
        <v/>
      </c>
      <c r="R37" s="16" t="inlineStr">
        <is>
          <t>nur Abholung</t>
        </is>
      </c>
      <c r="S37" s="16" t="inlineStr">
        <is>
          <t>F-111</t>
        </is>
      </c>
      <c r="T37" s="20" t="inlineStr">
        <is>
          <t>verfügbar</t>
        </is>
      </c>
      <c r="U37" s="20" t="inlineStr">
        <is>
          <t>Klinik</t>
        </is>
      </c>
      <c r="V37" s="20" t="n"/>
      <c r="W37" s="21" t="n"/>
      <c r="X37" s="22">
        <f>IF(H37="","",H37*W37)</f>
        <v/>
      </c>
      <c r="Y37" s="20" t="n"/>
      <c r="Z37" s="20" t="n"/>
      <c r="AA37" s="20" t="n"/>
      <c r="AB37" s="20" t="n"/>
      <c r="AC37" s="20" t="n"/>
      <c r="AD37" s="20" t="n"/>
      <c r="AE37" s="17" t="inlineStr">
        <is>
          <t>1 Stück im Bild (Inhalt nicht enthalten)</t>
        </is>
      </c>
      <c r="AF37" s="23" t="n"/>
    </row>
    <row r="38" ht="30" customHeight="1">
      <c r="A38" s="16" t="inlineStr">
        <is>
          <t>K-036</t>
        </is>
      </c>
      <c r="B38" s="16" t="inlineStr">
        <is>
          <t>LED-Ring-Pendelleuchte</t>
        </is>
      </c>
      <c r="C38" s="17" t="inlineStr">
        <is>
          <t>Große Pendelleuchte aus mehreren LED-Ringen</t>
        </is>
      </c>
      <c r="D38" s="16" t="inlineStr">
        <is>
          <t>Leuchten</t>
        </is>
      </c>
      <c r="E38" s="16" t="inlineStr">
        <is>
          <t>Besprechung</t>
        </is>
      </c>
      <c r="F38" s="16" t="inlineStr">
        <is>
          <t>A</t>
        </is>
      </c>
      <c r="G38" s="18" t="n">
        <v>1</v>
      </c>
      <c r="H38" s="18" t="n"/>
      <c r="I38" s="19">
        <f>G38-IF(H38="",0,H38)</f>
        <v/>
      </c>
      <c r="J38" s="16" t="inlineStr">
        <is>
          <t>Stück</t>
        </is>
      </c>
      <c r="K38" s="16" t="inlineStr">
        <is>
          <t>gut</t>
        </is>
      </c>
      <c r="L38" s="20" t="n"/>
      <c r="M38" s="20" t="n"/>
      <c r="N38" s="21" t="n"/>
      <c r="O38" s="21" t="n">
        <v>450</v>
      </c>
      <c r="P38" s="20" t="inlineStr">
        <is>
          <t>VHB</t>
        </is>
      </c>
      <c r="Q38" s="22">
        <f>I38*O38</f>
        <v/>
      </c>
      <c r="R38" s="16" t="inlineStr">
        <is>
          <t>nur Abholung</t>
        </is>
      </c>
      <c r="S38" s="16" t="inlineStr">
        <is>
          <t>F-021</t>
        </is>
      </c>
      <c r="T38" s="20" t="inlineStr">
        <is>
          <t>verfügbar</t>
        </is>
      </c>
      <c r="U38" s="20" t="inlineStr">
        <is>
          <t>Klinik</t>
        </is>
      </c>
      <c r="V38" s="20" t="n"/>
      <c r="W38" s="21" t="n"/>
      <c r="X38" s="22">
        <f>IF(H38="","",H38*W38)</f>
        <v/>
      </c>
      <c r="Y38" s="20" t="n"/>
      <c r="Z38" s="20" t="n"/>
      <c r="AA38" s="20" t="n"/>
      <c r="AB38" s="20" t="n"/>
      <c r="AC38" s="20" t="n"/>
      <c r="AD38" s="20" t="n"/>
      <c r="AE38" s="17" t="inlineStr">
        <is>
          <t>1 Leuchte im Bild</t>
        </is>
      </c>
      <c r="AF38" s="23" t="n"/>
    </row>
    <row r="39" ht="30" customHeight="1">
      <c r="A39" s="16" t="inlineStr">
        <is>
          <t>K-037</t>
        </is>
      </c>
      <c r="B39" s="16" t="inlineStr">
        <is>
          <t>Ringlicht LED auf Stativ</t>
        </is>
      </c>
      <c r="C39" s="17" t="inlineStr">
        <is>
          <t>Fotolicht, Ringleuchte mit Stativ</t>
        </is>
      </c>
      <c r="D39" s="16" t="inlineStr">
        <is>
          <t>Technik</t>
        </is>
      </c>
      <c r="E39" s="16" t="inlineStr">
        <is>
          <t>Büro</t>
        </is>
      </c>
      <c r="F39" s="16" t="inlineStr">
        <is>
          <t>C</t>
        </is>
      </c>
      <c r="G39" s="18" t="n">
        <v>1</v>
      </c>
      <c r="H39" s="18" t="n"/>
      <c r="I39" s="19">
        <f>G39-IF(H39="",0,H39)</f>
        <v/>
      </c>
      <c r="J39" s="16" t="inlineStr">
        <is>
          <t>Stück</t>
        </is>
      </c>
      <c r="K39" s="16" t="inlineStr">
        <is>
          <t>gut</t>
        </is>
      </c>
      <c r="L39" s="20" t="n"/>
      <c r="M39" s="20" t="n"/>
      <c r="N39" s="21" t="n"/>
      <c r="O39" s="21" t="n">
        <v>35</v>
      </c>
      <c r="P39" s="20" t="inlineStr">
        <is>
          <t>VHB</t>
        </is>
      </c>
      <c r="Q39" s="22">
        <f>I39*O39</f>
        <v/>
      </c>
      <c r="R39" s="16" t="inlineStr">
        <is>
          <t>Versand möglich</t>
        </is>
      </c>
      <c r="S39" s="16" t="inlineStr">
        <is>
          <t>F-023</t>
        </is>
      </c>
      <c r="T39" s="20" t="inlineStr">
        <is>
          <t>verfügbar</t>
        </is>
      </c>
      <c r="U39" s="20" t="inlineStr">
        <is>
          <t>Klinik</t>
        </is>
      </c>
      <c r="V39" s="20" t="n"/>
      <c r="W39" s="21" t="n"/>
      <c r="X39" s="22">
        <f>IF(H39="","",H39*W39)</f>
        <v/>
      </c>
      <c r="Y39" s="20" t="n"/>
      <c r="Z39" s="20" t="n"/>
      <c r="AA39" s="20" t="n"/>
      <c r="AB39" s="20" t="n"/>
      <c r="AC39" s="20" t="n"/>
      <c r="AD39" s="20" t="n"/>
      <c r="AE39" s="17" t="inlineStr">
        <is>
          <t>1 Stück im Bild</t>
        </is>
      </c>
      <c r="AF39" s="23" t="n"/>
    </row>
    <row r="40" ht="30" customHeight="1">
      <c r="A40" s="16" t="inlineStr">
        <is>
          <t>K-038</t>
        </is>
      </c>
      <c r="B40" s="16" t="inlineStr">
        <is>
          <t>Konsolentisch schwarz mit Glasplatte</t>
        </is>
      </c>
      <c r="C40" s="17" t="inlineStr">
        <is>
          <t>Metallrahmen schwarz, Glasablagen</t>
        </is>
      </c>
      <c r="D40" s="16" t="inlineStr">
        <is>
          <t>Möbel</t>
        </is>
      </c>
      <c r="E40" s="16" t="inlineStr">
        <is>
          <t>Besprechung</t>
        </is>
      </c>
      <c r="F40" s="16" t="inlineStr">
        <is>
          <t>C</t>
        </is>
      </c>
      <c r="G40" s="18" t="n">
        <v>1</v>
      </c>
      <c r="H40" s="18" t="n"/>
      <c r="I40" s="19">
        <f>G40-IF(H40="",0,H40)</f>
        <v/>
      </c>
      <c r="J40" s="16" t="inlineStr">
        <is>
          <t>Stück</t>
        </is>
      </c>
      <c r="K40" s="16" t="inlineStr">
        <is>
          <t>gut</t>
        </is>
      </c>
      <c r="L40" s="20" t="n"/>
      <c r="M40" s="20" t="n"/>
      <c r="N40" s="21" t="n"/>
      <c r="O40" s="21" t="n">
        <v>60</v>
      </c>
      <c r="P40" s="20" t="inlineStr">
        <is>
          <t>VHB</t>
        </is>
      </c>
      <c r="Q40" s="22">
        <f>I40*O40</f>
        <v/>
      </c>
      <c r="R40" s="16" t="inlineStr">
        <is>
          <t>nur Abholung</t>
        </is>
      </c>
      <c r="S40" s="16" t="inlineStr">
        <is>
          <t>F-024</t>
        </is>
      </c>
      <c r="T40" s="20" t="inlineStr">
        <is>
          <t>verfügbar</t>
        </is>
      </c>
      <c r="U40" s="20" t="inlineStr">
        <is>
          <t>Klinik</t>
        </is>
      </c>
      <c r="V40" s="20" t="n"/>
      <c r="W40" s="21" t="n"/>
      <c r="X40" s="22">
        <f>IF(H40="","",H40*W40)</f>
        <v/>
      </c>
      <c r="Y40" s="20" t="n"/>
      <c r="Z40" s="20" t="n"/>
      <c r="AA40" s="20" t="n"/>
      <c r="AB40" s="20" t="n"/>
      <c r="AC40" s="20" t="n"/>
      <c r="AD40" s="20" t="n"/>
      <c r="AE40" s="17" t="inlineStr">
        <is>
          <t>1 Stück im Bild</t>
        </is>
      </c>
      <c r="AF40" s="23" t="n"/>
    </row>
    <row r="41" ht="30" customHeight="1">
      <c r="A41" s="16" t="inlineStr">
        <is>
          <t>K-039</t>
        </is>
      </c>
      <c r="B41" s="16" t="inlineStr">
        <is>
          <t>Kinderfahrzeug Kuh</t>
        </is>
      </c>
      <c r="C41" s="17" t="inlineStr">
        <is>
          <t>Wheely-Bug-Typ, Rutschfahrzeug für Kinder, Plüsch mit Rollen</t>
        </is>
      </c>
      <c r="D41" s="16" t="inlineStr">
        <is>
          <t>Kita-Ausstattung</t>
        </is>
      </c>
      <c r="E41" s="16" t="inlineStr">
        <is>
          <t>Besprechung</t>
        </is>
      </c>
      <c r="F41" s="16" t="inlineStr">
        <is>
          <t>C</t>
        </is>
      </c>
      <c r="G41" s="18" t="n">
        <v>1</v>
      </c>
      <c r="H41" s="18" t="n"/>
      <c r="I41" s="19">
        <f>G41-IF(H41="",0,H41)</f>
        <v/>
      </c>
      <c r="J41" s="16" t="inlineStr">
        <is>
          <t>Stück</t>
        </is>
      </c>
      <c r="K41" s="16" t="inlineStr">
        <is>
          <t>gebraucht</t>
        </is>
      </c>
      <c r="L41" s="20" t="n"/>
      <c r="M41" s="20" t="n"/>
      <c r="N41" s="21" t="n"/>
      <c r="O41" s="21" t="n">
        <v>35</v>
      </c>
      <c r="P41" s="20" t="inlineStr">
        <is>
          <t>VHB</t>
        </is>
      </c>
      <c r="Q41" s="22">
        <f>I41*O41</f>
        <v/>
      </c>
      <c r="R41" s="16" t="inlineStr">
        <is>
          <t>Versand möglich</t>
        </is>
      </c>
      <c r="S41" s="16" t="inlineStr">
        <is>
          <t>F-024</t>
        </is>
      </c>
      <c r="T41" s="20" t="inlineStr">
        <is>
          <t>verfügbar</t>
        </is>
      </c>
      <c r="U41" s="20" t="inlineStr">
        <is>
          <t>Klinik</t>
        </is>
      </c>
      <c r="V41" s="20" t="n"/>
      <c r="W41" s="21" t="n"/>
      <c r="X41" s="22">
        <f>IF(H41="","",H41*W41)</f>
        <v/>
      </c>
      <c r="Y41" s="20" t="n"/>
      <c r="Z41" s="20" t="n"/>
      <c r="AA41" s="20" t="n"/>
      <c r="AB41" s="20" t="n"/>
      <c r="AC41" s="20" t="n"/>
      <c r="AD41" s="20" t="n"/>
      <c r="AE41" s="17" t="inlineStr">
        <is>
          <t>1 Stück im Bild</t>
        </is>
      </c>
      <c r="AF41" s="23" t="n"/>
    </row>
    <row r="42" ht="30" customHeight="1">
      <c r="A42" s="16" t="inlineStr">
        <is>
          <t>K-040</t>
        </is>
      </c>
      <c r="B42" s="16" t="inlineStr">
        <is>
          <t>Pachira groß im Übertopf</t>
        </is>
      </c>
      <c r="C42" s="17" t="inlineStr">
        <is>
          <t>Glückskastanie, große Pflanze, weißer Übertopf</t>
        </is>
      </c>
      <c r="D42" s="16" t="inlineStr">
        <is>
          <t>Pflanzen</t>
        </is>
      </c>
      <c r="E42" s="16" t="inlineStr">
        <is>
          <t>Besprechung</t>
        </is>
      </c>
      <c r="F42" s="16" t="inlineStr">
        <is>
          <t>C</t>
        </is>
      </c>
      <c r="G42" s="18" t="n">
        <v>1</v>
      </c>
      <c r="H42" s="18" t="n"/>
      <c r="I42" s="19">
        <f>G42-IF(H42="",0,H42)</f>
        <v/>
      </c>
      <c r="J42" s="16" t="inlineStr">
        <is>
          <t>Stück</t>
        </is>
      </c>
      <c r="K42" s="16" t="inlineStr">
        <is>
          <t>gut</t>
        </is>
      </c>
      <c r="L42" s="20" t="n"/>
      <c r="M42" s="20" t="n"/>
      <c r="N42" s="21" t="n"/>
      <c r="O42" s="21" t="n">
        <v>80</v>
      </c>
      <c r="P42" s="20" t="inlineStr">
        <is>
          <t>VHB</t>
        </is>
      </c>
      <c r="Q42" s="22">
        <f>I42*O42</f>
        <v/>
      </c>
      <c r="R42" s="16" t="inlineStr">
        <is>
          <t>nur Abholung</t>
        </is>
      </c>
      <c r="S42" s="16" t="inlineStr">
        <is>
          <t>F-025</t>
        </is>
      </c>
      <c r="T42" s="20" t="inlineStr">
        <is>
          <t>verfügbar</t>
        </is>
      </c>
      <c r="U42" s="20" t="inlineStr">
        <is>
          <t>Klinik</t>
        </is>
      </c>
      <c r="V42" s="20" t="n"/>
      <c r="W42" s="21" t="n"/>
      <c r="X42" s="22">
        <f>IF(H42="","",H42*W42)</f>
        <v/>
      </c>
      <c r="Y42" s="20" t="n"/>
      <c r="Z42" s="20" t="n"/>
      <c r="AA42" s="20" t="n"/>
      <c r="AB42" s="20" t="n"/>
      <c r="AC42" s="20" t="n"/>
      <c r="AD42" s="20" t="n"/>
      <c r="AE42" s="17" t="inlineStr">
        <is>
          <t>1 Pflanze im Bild</t>
        </is>
      </c>
      <c r="AF42" s="23" t="n"/>
    </row>
    <row r="43" ht="30" customHeight="1">
      <c r="A43" s="16" t="inlineStr">
        <is>
          <t>K-041</t>
        </is>
      </c>
      <c r="B43" s="16" t="inlineStr">
        <is>
          <t>Kommode Holz, antik</t>
        </is>
      </c>
      <c r="C43" s="17" t="inlineStr">
        <is>
          <t>Alte Holzkommode/Sekretär, dunkel</t>
        </is>
      </c>
      <c r="D43" s="16" t="inlineStr">
        <is>
          <t>Möbel</t>
        </is>
      </c>
      <c r="E43" s="16" t="inlineStr">
        <is>
          <t>Besprechung</t>
        </is>
      </c>
      <c r="F43" s="16" t="inlineStr">
        <is>
          <t>B</t>
        </is>
      </c>
      <c r="G43" s="18" t="n">
        <v>1</v>
      </c>
      <c r="H43" s="18" t="n"/>
      <c r="I43" s="19">
        <f>G43-IF(H43="",0,H43)</f>
        <v/>
      </c>
      <c r="J43" s="16" t="inlineStr">
        <is>
          <t>Stück</t>
        </is>
      </c>
      <c r="K43" s="16" t="inlineStr">
        <is>
          <t>gebraucht</t>
        </is>
      </c>
      <c r="L43" s="20" t="n"/>
      <c r="M43" s="20" t="n"/>
      <c r="N43" s="21" t="n"/>
      <c r="O43" s="21" t="n">
        <v>120</v>
      </c>
      <c r="P43" s="20" t="inlineStr">
        <is>
          <t>VHB</t>
        </is>
      </c>
      <c r="Q43" s="22">
        <f>I43*O43</f>
        <v/>
      </c>
      <c r="R43" s="16" t="inlineStr">
        <is>
          <t>nur Abholung</t>
        </is>
      </c>
      <c r="S43" s="16" t="inlineStr">
        <is>
          <t>F-025</t>
        </is>
      </c>
      <c r="T43" s="20" t="inlineStr">
        <is>
          <t>verfügbar</t>
        </is>
      </c>
      <c r="U43" s="20" t="inlineStr">
        <is>
          <t>Klinik</t>
        </is>
      </c>
      <c r="V43" s="20" t="n"/>
      <c r="W43" s="21" t="n"/>
      <c r="X43" s="22">
        <f>IF(H43="","",H43*W43)</f>
        <v/>
      </c>
      <c r="Y43" s="20" t="n"/>
      <c r="Z43" s="20" t="n"/>
      <c r="AA43" s="20" t="n"/>
      <c r="AB43" s="20" t="n"/>
      <c r="AC43" s="20" t="n"/>
      <c r="AD43" s="20" t="n"/>
      <c r="AE43" s="17" t="inlineStr">
        <is>
          <t>1 Stück im Bild</t>
        </is>
      </c>
      <c r="AF43" s="23" t="n"/>
    </row>
    <row r="44" ht="30" customHeight="1">
      <c r="A44" s="16" t="inlineStr">
        <is>
          <t>K-042</t>
        </is>
      </c>
      <c r="B44" s="16" t="inlineStr">
        <is>
          <t>Moderationswand fahrbar</t>
        </is>
      </c>
      <c r="C44" s="17" t="inlineStr">
        <is>
          <t>Pinnwand/Stellwand grau, auf Rollen, beidseitig</t>
        </is>
      </c>
      <c r="D44" s="16" t="inlineStr">
        <is>
          <t>Büro</t>
        </is>
      </c>
      <c r="E44" s="16" t="inlineStr">
        <is>
          <t>Besprechung</t>
        </is>
      </c>
      <c r="F44" s="16" t="inlineStr">
        <is>
          <t>B</t>
        </is>
      </c>
      <c r="G44" s="18" t="n">
        <v>1</v>
      </c>
      <c r="H44" s="18" t="n"/>
      <c r="I44" s="19">
        <f>G44-IF(H44="",0,H44)</f>
        <v/>
      </c>
      <c r="J44" s="16" t="inlineStr">
        <is>
          <t>Stück</t>
        </is>
      </c>
      <c r="K44" s="16" t="inlineStr">
        <is>
          <t>gut</t>
        </is>
      </c>
      <c r="L44" s="20" t="n"/>
      <c r="M44" s="20" t="n"/>
      <c r="N44" s="21" t="n"/>
      <c r="O44" s="21" t="n">
        <v>110</v>
      </c>
      <c r="P44" s="20" t="inlineStr">
        <is>
          <t>VHB</t>
        </is>
      </c>
      <c r="Q44" s="22">
        <f>I44*O44</f>
        <v/>
      </c>
      <c r="R44" s="16" t="inlineStr">
        <is>
          <t>nur Abholung</t>
        </is>
      </c>
      <c r="S44" s="16" t="inlineStr">
        <is>
          <t>F-026</t>
        </is>
      </c>
      <c r="T44" s="20" t="inlineStr">
        <is>
          <t>verfügbar</t>
        </is>
      </c>
      <c r="U44" s="20" t="inlineStr">
        <is>
          <t>Klinik</t>
        </is>
      </c>
      <c r="V44" s="20" t="n"/>
      <c r="W44" s="21" t="n"/>
      <c r="X44" s="22">
        <f>IF(H44="","",H44*W44)</f>
        <v/>
      </c>
      <c r="Y44" s="20" t="n"/>
      <c r="Z44" s="20" t="n"/>
      <c r="AA44" s="20" t="n"/>
      <c r="AB44" s="20" t="n"/>
      <c r="AC44" s="20" t="n"/>
      <c r="AD44" s="20" t="n"/>
      <c r="AE44" s="17" t="inlineStr">
        <is>
          <t>1 Stück im Bild</t>
        </is>
      </c>
      <c r="AF44" s="23" t="n"/>
    </row>
    <row r="45" ht="30" customHeight="1">
      <c r="A45" s="16" t="inlineStr">
        <is>
          <t>K-043</t>
        </is>
      </c>
      <c r="B45" s="16" t="inlineStr">
        <is>
          <t>Besprechungstisch weiß, groß</t>
        </is>
      </c>
      <c r="C45" s="17" t="inlineStr">
        <is>
          <t>Konferenztisch, weiße Platte, für ca. 8-10 Personen</t>
        </is>
      </c>
      <c r="D45" s="16" t="inlineStr">
        <is>
          <t>Büro</t>
        </is>
      </c>
      <c r="E45" s="16" t="inlineStr">
        <is>
          <t>Besprechung</t>
        </is>
      </c>
      <c r="F45" s="16" t="inlineStr">
        <is>
          <t>B</t>
        </is>
      </c>
      <c r="G45" s="18" t="n">
        <v>1</v>
      </c>
      <c r="H45" s="18" t="n"/>
      <c r="I45" s="19">
        <f>G45-IF(H45="",0,H45)</f>
        <v/>
      </c>
      <c r="J45" s="16" t="inlineStr">
        <is>
          <t>Stück</t>
        </is>
      </c>
      <c r="K45" s="16" t="inlineStr">
        <is>
          <t>gut</t>
        </is>
      </c>
      <c r="L45" s="20" t="n"/>
      <c r="M45" s="20" t="n"/>
      <c r="N45" s="21" t="n"/>
      <c r="O45" s="21" t="n">
        <v>280</v>
      </c>
      <c r="P45" s="20" t="inlineStr">
        <is>
          <t>VHB</t>
        </is>
      </c>
      <c r="Q45" s="22">
        <f>I45*O45</f>
        <v/>
      </c>
      <c r="R45" s="16" t="inlineStr">
        <is>
          <t>nur Abholung</t>
        </is>
      </c>
      <c r="S45" s="16" t="inlineStr">
        <is>
          <t>F-027</t>
        </is>
      </c>
      <c r="T45" s="20" t="inlineStr">
        <is>
          <t>verfügbar</t>
        </is>
      </c>
      <c r="U45" s="20" t="inlineStr">
        <is>
          <t>Klinik</t>
        </is>
      </c>
      <c r="V45" s="20" t="n"/>
      <c r="W45" s="21" t="n"/>
      <c r="X45" s="22">
        <f>IF(H45="","",H45*W45)</f>
        <v/>
      </c>
      <c r="Y45" s="20" t="n"/>
      <c r="Z45" s="20" t="n"/>
      <c r="AA45" s="20" t="n"/>
      <c r="AB45" s="20" t="n"/>
      <c r="AC45" s="20" t="n"/>
      <c r="AD45" s="20" t="n"/>
      <c r="AE45" s="17" t="inlineStr">
        <is>
          <t>1 Tisch im Bild</t>
        </is>
      </c>
      <c r="AF45" s="23" t="n"/>
    </row>
    <row r="46" ht="30" customHeight="1">
      <c r="A46" s="16" t="inlineStr">
        <is>
          <t>K-044</t>
        </is>
      </c>
      <c r="B46" s="16" t="inlineStr">
        <is>
          <t>Schalenstuhl weiß mit Holzbeinen</t>
        </is>
      </c>
      <c r="C46" s="17" t="inlineStr">
        <is>
          <t>Kunststoff-Sitzschale weiß, Holzbeine mit Drahtstrebe</t>
        </is>
      </c>
      <c r="D46" s="16" t="inlineStr">
        <is>
          <t>Möbel</t>
        </is>
      </c>
      <c r="E46" s="16" t="inlineStr">
        <is>
          <t>Besprechung</t>
        </is>
      </c>
      <c r="F46" s="16" t="inlineStr">
        <is>
          <t>B</t>
        </is>
      </c>
      <c r="G46" s="18" t="n">
        <v>8</v>
      </c>
      <c r="H46" s="18" t="n"/>
      <c r="I46" s="19">
        <f>G46-IF(H46="",0,H46)</f>
        <v/>
      </c>
      <c r="J46" s="16" t="inlineStr">
        <is>
          <t>Stück</t>
        </is>
      </c>
      <c r="K46" s="16" t="inlineStr">
        <is>
          <t>gut</t>
        </is>
      </c>
      <c r="L46" s="20" t="n"/>
      <c r="M46" s="20" t="n"/>
      <c r="N46" s="21" t="n"/>
      <c r="O46" s="21" t="n">
        <v>30</v>
      </c>
      <c r="P46" s="20" t="inlineStr">
        <is>
          <t>VHB</t>
        </is>
      </c>
      <c r="Q46" s="22">
        <f>I46*O46</f>
        <v/>
      </c>
      <c r="R46" s="16" t="inlineStr">
        <is>
          <t>Versand möglich</t>
        </is>
      </c>
      <c r="S46" s="16" t="inlineStr">
        <is>
          <t>F-027</t>
        </is>
      </c>
      <c r="T46" s="20" t="inlineStr">
        <is>
          <t>verfügbar</t>
        </is>
      </c>
      <c r="U46" s="20" t="inlineStr">
        <is>
          <t>Klinik</t>
        </is>
      </c>
      <c r="V46" s="20" t="n"/>
      <c r="W46" s="21" t="n"/>
      <c r="X46" s="22">
        <f>IF(H46="","",H46*W46)</f>
        <v/>
      </c>
      <c r="Y46" s="20" t="n"/>
      <c r="Z46" s="20" t="n"/>
      <c r="AA46" s="20" t="n"/>
      <c r="AB46" s="20" t="n"/>
      <c r="AC46" s="20" t="n"/>
      <c r="AD46" s="20" t="n"/>
      <c r="AE46" s="17" t="inlineStr">
        <is>
          <t>ca. 8 Stück im Bild - bitte nachzählen</t>
        </is>
      </c>
      <c r="AF46" s="23" t="n"/>
    </row>
    <row r="47" ht="30" customHeight="1">
      <c r="A47" s="16" t="inlineStr">
        <is>
          <t>K-045</t>
        </is>
      </c>
      <c r="B47" s="16" t="inlineStr">
        <is>
          <t>Bürodrehstuhl weiß</t>
        </is>
      </c>
      <c r="C47" s="17" t="inlineStr">
        <is>
          <t>Drehstuhl auf Rollen, weiß</t>
        </is>
      </c>
      <c r="D47" s="16" t="inlineStr">
        <is>
          <t>Büro</t>
        </is>
      </c>
      <c r="E47" s="16" t="inlineStr">
        <is>
          <t>Besprechung</t>
        </is>
      </c>
      <c r="F47" s="16" t="inlineStr">
        <is>
          <t>C</t>
        </is>
      </c>
      <c r="G47" s="18" t="n">
        <v>1</v>
      </c>
      <c r="H47" s="18" t="n"/>
      <c r="I47" s="19">
        <f>G47-IF(H47="",0,H47)</f>
        <v/>
      </c>
      <c r="J47" s="16" t="inlineStr">
        <is>
          <t>Stück</t>
        </is>
      </c>
      <c r="K47" s="16" t="inlineStr">
        <is>
          <t>gebraucht</t>
        </is>
      </c>
      <c r="L47" s="20" t="n"/>
      <c r="M47" s="20" t="n"/>
      <c r="N47" s="21" t="n"/>
      <c r="O47" s="21" t="n">
        <v>60</v>
      </c>
      <c r="P47" s="20" t="inlineStr">
        <is>
          <t>VHB</t>
        </is>
      </c>
      <c r="Q47" s="22">
        <f>I47*O47</f>
        <v/>
      </c>
      <c r="R47" s="16" t="inlineStr">
        <is>
          <t>nur Abholung</t>
        </is>
      </c>
      <c r="S47" s="16" t="inlineStr">
        <is>
          <t>F-027</t>
        </is>
      </c>
      <c r="T47" s="20" t="inlineStr">
        <is>
          <t>verfügbar</t>
        </is>
      </c>
      <c r="U47" s="20" t="inlineStr">
        <is>
          <t>Klinik</t>
        </is>
      </c>
      <c r="V47" s="20" t="n"/>
      <c r="W47" s="21" t="n"/>
      <c r="X47" s="22">
        <f>IF(H47="","",H47*W47)</f>
        <v/>
      </c>
      <c r="Y47" s="20" t="n"/>
      <c r="Z47" s="20" t="n"/>
      <c r="AA47" s="20" t="n"/>
      <c r="AB47" s="20" t="n"/>
      <c r="AC47" s="20" t="n"/>
      <c r="AD47" s="20" t="n"/>
      <c r="AE47" s="17" t="inlineStr">
        <is>
          <t>1 Stück im Bild</t>
        </is>
      </c>
      <c r="AF47" s="23" t="n"/>
    </row>
    <row r="48" ht="30" customHeight="1">
      <c r="A48" s="16" t="inlineStr">
        <is>
          <t>K-046</t>
        </is>
      </c>
      <c r="B48" s="16" t="inlineStr">
        <is>
          <t>Aktenschrank weiß</t>
        </is>
      </c>
      <c r="C48" s="17" t="inlineStr">
        <is>
          <t>Büroschrank weiß, mit Türen</t>
        </is>
      </c>
      <c r="D48" s="16" t="inlineStr">
        <is>
          <t>Büro</t>
        </is>
      </c>
      <c r="E48" s="16" t="inlineStr">
        <is>
          <t>Besprechung</t>
        </is>
      </c>
      <c r="F48" s="16" t="inlineStr">
        <is>
          <t>B</t>
        </is>
      </c>
      <c r="G48" s="18" t="n">
        <v>2</v>
      </c>
      <c r="H48" s="18" t="n"/>
      <c r="I48" s="19">
        <f>G48-IF(H48="",0,H48)</f>
        <v/>
      </c>
      <c r="J48" s="16" t="inlineStr">
        <is>
          <t>Stück</t>
        </is>
      </c>
      <c r="K48" s="16" t="inlineStr">
        <is>
          <t>gut</t>
        </is>
      </c>
      <c r="L48" s="20" t="n"/>
      <c r="M48" s="20" t="n"/>
      <c r="N48" s="21" t="n"/>
      <c r="O48" s="21" t="n">
        <v>90</v>
      </c>
      <c r="P48" s="20" t="inlineStr">
        <is>
          <t>VHB</t>
        </is>
      </c>
      <c r="Q48" s="22">
        <f>I48*O48</f>
        <v/>
      </c>
      <c r="R48" s="16" t="inlineStr">
        <is>
          <t>nur Abholung</t>
        </is>
      </c>
      <c r="S48" s="16" t="inlineStr">
        <is>
          <t>F-027</t>
        </is>
      </c>
      <c r="T48" s="20" t="inlineStr">
        <is>
          <t>verfügbar</t>
        </is>
      </c>
      <c r="U48" s="20" t="inlineStr">
        <is>
          <t>Klinik</t>
        </is>
      </c>
      <c r="V48" s="20" t="n"/>
      <c r="W48" s="21" t="n"/>
      <c r="X48" s="22">
        <f>IF(H48="","",H48*W48)</f>
        <v/>
      </c>
      <c r="Y48" s="20" t="n"/>
      <c r="Z48" s="20" t="n"/>
      <c r="AA48" s="20" t="n"/>
      <c r="AB48" s="20" t="n"/>
      <c r="AC48" s="20" t="n"/>
      <c r="AD48" s="20" t="n"/>
      <c r="AE48" s="17" t="inlineStr">
        <is>
          <t>2 Schränke im Bild</t>
        </is>
      </c>
      <c r="AF48" s="23" t="n"/>
    </row>
    <row r="49" ht="30" customHeight="1">
      <c r="A49" s="16" t="inlineStr">
        <is>
          <t>K-047</t>
        </is>
      </c>
      <c r="B49" s="16" t="inlineStr">
        <is>
          <t>Trachtenportrait gerahmt, klein</t>
        </is>
      </c>
      <c r="C49" s="17" t="inlineStr">
        <is>
          <t>Fotodruck gerahmt, kleinformatig - Kaufware</t>
        </is>
      </c>
      <c r="D49" s="16" t="inlineStr">
        <is>
          <t>Kunst</t>
        </is>
      </c>
      <c r="E49" s="16" t="inlineStr">
        <is>
          <t>Flur</t>
        </is>
      </c>
      <c r="F49" s="16" t="inlineStr">
        <is>
          <t>C</t>
        </is>
      </c>
      <c r="G49" s="18" t="n">
        <v>3</v>
      </c>
      <c r="H49" s="18" t="n"/>
      <c r="I49" s="19">
        <f>G49-IF(H49="",0,H49)</f>
        <v/>
      </c>
      <c r="J49" s="16" t="inlineStr">
        <is>
          <t>Stück</t>
        </is>
      </c>
      <c r="K49" s="16" t="inlineStr">
        <is>
          <t>gut</t>
        </is>
      </c>
      <c r="L49" s="20" t="n"/>
      <c r="M49" s="20" t="n"/>
      <c r="N49" s="21" t="n"/>
      <c r="O49" s="21" t="n">
        <v>35</v>
      </c>
      <c r="P49" s="20" t="inlineStr">
        <is>
          <t>VHB</t>
        </is>
      </c>
      <c r="Q49" s="22">
        <f>I49*O49</f>
        <v/>
      </c>
      <c r="R49" s="16" t="inlineStr">
        <is>
          <t>Versand möglich</t>
        </is>
      </c>
      <c r="S49" s="16" t="inlineStr">
        <is>
          <t>F-029</t>
        </is>
      </c>
      <c r="T49" s="20" t="inlineStr">
        <is>
          <t>verfügbar</t>
        </is>
      </c>
      <c r="U49" s="20" t="inlineStr">
        <is>
          <t>Klinik</t>
        </is>
      </c>
      <c r="V49" s="20" t="n"/>
      <c r="W49" s="21" t="n"/>
      <c r="X49" s="22">
        <f>IF(H49="","",H49*W49)</f>
        <v/>
      </c>
      <c r="Y49" s="20" t="n"/>
      <c r="Z49" s="20" t="n"/>
      <c r="AA49" s="20" t="n"/>
      <c r="AB49" s="20" t="n"/>
      <c r="AC49" s="20" t="n"/>
      <c r="AD49" s="20" t="n"/>
      <c r="AE49" s="17" t="inlineStr">
        <is>
          <t>3 Rahmen im Bild</t>
        </is>
      </c>
      <c r="AF49" s="23" t="n"/>
    </row>
    <row r="50" ht="30" customHeight="1">
      <c r="A50" s="16" t="inlineStr">
        <is>
          <t>K-048</t>
        </is>
      </c>
      <c r="B50" s="16" t="inlineStr">
        <is>
          <t>Wanddeko Fadenbild rot</t>
        </is>
      </c>
      <c r="C50" s="17" t="inlineStr">
        <is>
          <t>Fadenbild/Mandala auf rundem Holzreif, rot</t>
        </is>
      </c>
      <c r="D50" s="16" t="inlineStr">
        <is>
          <t>Deko</t>
        </is>
      </c>
      <c r="E50" s="16" t="inlineStr">
        <is>
          <t>Flur</t>
        </is>
      </c>
      <c r="F50" s="16" t="inlineStr">
        <is>
          <t>C</t>
        </is>
      </c>
      <c r="G50" s="18" t="n">
        <v>1</v>
      </c>
      <c r="H50" s="18" t="n"/>
      <c r="I50" s="19">
        <f>G50-IF(H50="",0,H50)</f>
        <v/>
      </c>
      <c r="J50" s="16" t="inlineStr">
        <is>
          <t>Stück</t>
        </is>
      </c>
      <c r="K50" s="16" t="inlineStr">
        <is>
          <t>gut</t>
        </is>
      </c>
      <c r="L50" s="20" t="n"/>
      <c r="M50" s="20" t="n"/>
      <c r="N50" s="21" t="n"/>
      <c r="O50" s="21" t="n">
        <v>30</v>
      </c>
      <c r="P50" s="20" t="inlineStr">
        <is>
          <t>VHB</t>
        </is>
      </c>
      <c r="Q50" s="22">
        <f>I50*O50</f>
        <v/>
      </c>
      <c r="R50" s="16" t="inlineStr">
        <is>
          <t>Versand möglich</t>
        </is>
      </c>
      <c r="S50" s="16" t="inlineStr">
        <is>
          <t>F-029</t>
        </is>
      </c>
      <c r="T50" s="20" t="inlineStr">
        <is>
          <t>verfügbar</t>
        </is>
      </c>
      <c r="U50" s="20" t="inlineStr">
        <is>
          <t>Klinik</t>
        </is>
      </c>
      <c r="V50" s="20" t="n"/>
      <c r="W50" s="21" t="n"/>
      <c r="X50" s="22">
        <f>IF(H50="","",H50*W50)</f>
        <v/>
      </c>
      <c r="Y50" s="20" t="n"/>
      <c r="Z50" s="20" t="n"/>
      <c r="AA50" s="20" t="n"/>
      <c r="AB50" s="20" t="n"/>
      <c r="AC50" s="20" t="n"/>
      <c r="AD50" s="20" t="n"/>
      <c r="AE50" s="17" t="inlineStr">
        <is>
          <t>1 Stück im Bild</t>
        </is>
      </c>
      <c r="AF50" s="23" t="n"/>
    </row>
    <row r="51" ht="30" customHeight="1">
      <c r="A51" s="16" t="inlineStr">
        <is>
          <t>K-049</t>
        </is>
      </c>
      <c r="B51" s="16" t="inlineStr">
        <is>
          <t>Gemälde Bollenhut abstrakt, schwarz-weiß</t>
        </is>
      </c>
      <c r="C51" s="17" t="inlineStr">
        <is>
          <t>Acryl auf Leinwand, ca. 80 x 80 cm - Eigenarbeit einer Privatperson</t>
        </is>
      </c>
      <c r="D51" s="16" t="inlineStr">
        <is>
          <t>Kunst</t>
        </is>
      </c>
      <c r="E51" s="16" t="inlineStr">
        <is>
          <t>Flur</t>
        </is>
      </c>
      <c r="F51" s="16" t="inlineStr">
        <is>
          <t>B</t>
        </is>
      </c>
      <c r="G51" s="18" t="n">
        <v>1</v>
      </c>
      <c r="H51" s="18" t="n"/>
      <c r="I51" s="19">
        <f>G51-IF(H51="",0,H51)</f>
        <v/>
      </c>
      <c r="J51" s="16" t="inlineStr">
        <is>
          <t>Stück</t>
        </is>
      </c>
      <c r="K51" s="16" t="inlineStr">
        <is>
          <t>gut</t>
        </is>
      </c>
      <c r="L51" s="20" t="n"/>
      <c r="M51" s="20" t="n"/>
      <c r="N51" s="21" t="n"/>
      <c r="O51" s="21" t="n">
        <v>150</v>
      </c>
      <c r="P51" s="20" t="inlineStr">
        <is>
          <t>VHB</t>
        </is>
      </c>
      <c r="Q51" s="22">
        <f>I51*O51</f>
        <v/>
      </c>
      <c r="R51" s="16" t="inlineStr">
        <is>
          <t>nur Abholung</t>
        </is>
      </c>
      <c r="S51" s="16" t="inlineStr">
        <is>
          <t>F-030</t>
        </is>
      </c>
      <c r="T51" s="20" t="inlineStr">
        <is>
          <t>verfügbar</t>
        </is>
      </c>
      <c r="U51" s="20" t="inlineStr">
        <is>
          <t>Klinik</t>
        </is>
      </c>
      <c r="V51" s="20" t="n"/>
      <c r="W51" s="21" t="n"/>
      <c r="X51" s="22">
        <f>IF(H51="","",H51*W51)</f>
        <v/>
      </c>
      <c r="Y51" s="20" t="n"/>
      <c r="Z51" s="20" t="n"/>
      <c r="AA51" s="20" t="n"/>
      <c r="AB51" s="20" t="n"/>
      <c r="AC51" s="20" t="n"/>
      <c r="AD51" s="20" t="n"/>
      <c r="AE51" s="17" t="inlineStr">
        <is>
          <t>1 Bild im Bild</t>
        </is>
      </c>
      <c r="AF51" s="23" t="n"/>
    </row>
    <row r="52" ht="30" customHeight="1">
      <c r="A52" s="16" t="inlineStr">
        <is>
          <t>K-050</t>
        </is>
      </c>
      <c r="B52" s="16" t="inlineStr">
        <is>
          <t>Sansevieria groß im Übertopf</t>
        </is>
      </c>
      <c r="C52" s="17" t="inlineStr">
        <is>
          <t>Bogenhanf, große Pflanze, weißer Übertopf</t>
        </is>
      </c>
      <c r="D52" s="16" t="inlineStr">
        <is>
          <t>Pflanzen</t>
        </is>
      </c>
      <c r="E52" s="16" t="inlineStr">
        <is>
          <t>Flur</t>
        </is>
      </c>
      <c r="F52" s="16" t="inlineStr">
        <is>
          <t>C</t>
        </is>
      </c>
      <c r="G52" s="18" t="n">
        <v>1</v>
      </c>
      <c r="H52" s="18" t="n"/>
      <c r="I52" s="19">
        <f>G52-IF(H52="",0,H52)</f>
        <v/>
      </c>
      <c r="J52" s="16" t="inlineStr">
        <is>
          <t>Stück</t>
        </is>
      </c>
      <c r="K52" s="16" t="inlineStr">
        <is>
          <t>gut</t>
        </is>
      </c>
      <c r="L52" s="20" t="n"/>
      <c r="M52" s="20" t="n"/>
      <c r="N52" s="21" t="n"/>
      <c r="O52" s="21" t="n">
        <v>60</v>
      </c>
      <c r="P52" s="20" t="inlineStr">
        <is>
          <t>VHB</t>
        </is>
      </c>
      <c r="Q52" s="22">
        <f>I52*O52</f>
        <v/>
      </c>
      <c r="R52" s="16" t="inlineStr">
        <is>
          <t>nur Abholung</t>
        </is>
      </c>
      <c r="S52" s="16" t="inlineStr">
        <is>
          <t>F-031</t>
        </is>
      </c>
      <c r="T52" s="20" t="inlineStr">
        <is>
          <t>verfügbar</t>
        </is>
      </c>
      <c r="U52" s="20" t="inlineStr">
        <is>
          <t>Klinik</t>
        </is>
      </c>
      <c r="V52" s="20" t="n"/>
      <c r="W52" s="21" t="n"/>
      <c r="X52" s="22">
        <f>IF(H52="","",H52*W52)</f>
        <v/>
      </c>
      <c r="Y52" s="20" t="n"/>
      <c r="Z52" s="20" t="n"/>
      <c r="AA52" s="20" t="n"/>
      <c r="AB52" s="20" t="n"/>
      <c r="AC52" s="20" t="n"/>
      <c r="AD52" s="20" t="n"/>
      <c r="AE52" s="17" t="inlineStr">
        <is>
          <t>1 Pflanze im Bild</t>
        </is>
      </c>
      <c r="AF52" s="23" t="n"/>
    </row>
    <row r="53" ht="30" customHeight="1">
      <c r="A53" s="16" t="inlineStr">
        <is>
          <t>K-051</t>
        </is>
      </c>
      <c r="B53" s="16" t="inlineStr">
        <is>
          <t>Gemälde Bollenhut rot-weiß</t>
        </is>
      </c>
      <c r="C53" s="17" t="inlineStr">
        <is>
          <t>Acryl auf Leinwand, ca. 50 x 60 cm - Eigenarbeit einer Privatperson</t>
        </is>
      </c>
      <c r="D53" s="16" t="inlineStr">
        <is>
          <t>Kunst</t>
        </is>
      </c>
      <c r="E53" s="16" t="inlineStr">
        <is>
          <t>Flur</t>
        </is>
      </c>
      <c r="F53" s="16" t="inlineStr">
        <is>
          <t>B</t>
        </is>
      </c>
      <c r="G53" s="18" t="n">
        <v>1</v>
      </c>
      <c r="H53" s="18" t="n"/>
      <c r="I53" s="19">
        <f>G53-IF(H53="",0,H53)</f>
        <v/>
      </c>
      <c r="J53" s="16" t="inlineStr">
        <is>
          <t>Stück</t>
        </is>
      </c>
      <c r="K53" s="16" t="inlineStr">
        <is>
          <t>gut</t>
        </is>
      </c>
      <c r="L53" s="20" t="n"/>
      <c r="M53" s="20" t="n"/>
      <c r="N53" s="21" t="n"/>
      <c r="O53" s="21" t="n">
        <v>110</v>
      </c>
      <c r="P53" s="20" t="inlineStr">
        <is>
          <t>VHB</t>
        </is>
      </c>
      <c r="Q53" s="22">
        <f>I53*O53</f>
        <v/>
      </c>
      <c r="R53" s="16" t="inlineStr">
        <is>
          <t>Versand möglich</t>
        </is>
      </c>
      <c r="S53" s="16" t="inlineStr">
        <is>
          <t>F-032</t>
        </is>
      </c>
      <c r="T53" s="20" t="inlineStr">
        <is>
          <t>verfügbar</t>
        </is>
      </c>
      <c r="U53" s="20" t="inlineStr">
        <is>
          <t>Klinik</t>
        </is>
      </c>
      <c r="V53" s="20" t="n"/>
      <c r="W53" s="21" t="n"/>
      <c r="X53" s="22">
        <f>IF(H53="","",H53*W53)</f>
        <v/>
      </c>
      <c r="Y53" s="20" t="n"/>
      <c r="Z53" s="20" t="n"/>
      <c r="AA53" s="20" t="n"/>
      <c r="AB53" s="20" t="n"/>
      <c r="AC53" s="20" t="n"/>
      <c r="AD53" s="20" t="n"/>
      <c r="AE53" s="17" t="inlineStr">
        <is>
          <t>1 Bild im Bild</t>
        </is>
      </c>
      <c r="AF53" s="23" t="n"/>
    </row>
    <row r="54" ht="30" customHeight="1">
      <c r="A54" s="16" t="inlineStr">
        <is>
          <t>K-052</t>
        </is>
      </c>
      <c r="B54" s="16" t="inlineStr">
        <is>
          <t>Holz-Schriftzug Heimat</t>
        </is>
      </c>
      <c r="C54" s="17" t="inlineStr">
        <is>
          <t>Dekoschriftzug aus Holz</t>
        </is>
      </c>
      <c r="D54" s="16" t="inlineStr">
        <is>
          <t>Deko</t>
        </is>
      </c>
      <c r="E54" s="16" t="inlineStr">
        <is>
          <t>Flur</t>
        </is>
      </c>
      <c r="F54" s="16" t="inlineStr">
        <is>
          <t>C</t>
        </is>
      </c>
      <c r="G54" s="18" t="n">
        <v>1</v>
      </c>
      <c r="H54" s="18" t="n"/>
      <c r="I54" s="19">
        <f>G54-IF(H54="",0,H54)</f>
        <v/>
      </c>
      <c r="J54" s="16" t="inlineStr">
        <is>
          <t>Stück</t>
        </is>
      </c>
      <c r="K54" s="16" t="inlineStr">
        <is>
          <t>gut</t>
        </is>
      </c>
      <c r="L54" s="20" t="n"/>
      <c r="M54" s="20" t="n"/>
      <c r="N54" s="21" t="n"/>
      <c r="O54" s="21" t="n">
        <v>25</v>
      </c>
      <c r="P54" s="20" t="inlineStr">
        <is>
          <t>VHB</t>
        </is>
      </c>
      <c r="Q54" s="22">
        <f>I54*O54</f>
        <v/>
      </c>
      <c r="R54" s="16" t="inlineStr">
        <is>
          <t>Versand möglich</t>
        </is>
      </c>
      <c r="S54" s="16" t="inlineStr">
        <is>
          <t>F-032</t>
        </is>
      </c>
      <c r="T54" s="20" t="inlineStr">
        <is>
          <t>verfügbar</t>
        </is>
      </c>
      <c r="U54" s="20" t="inlineStr">
        <is>
          <t>Klinik</t>
        </is>
      </c>
      <c r="V54" s="20" t="n"/>
      <c r="W54" s="21" t="n"/>
      <c r="X54" s="22">
        <f>IF(H54="","",H54*W54)</f>
        <v/>
      </c>
      <c r="Y54" s="20" t="n"/>
      <c r="Z54" s="20" t="n"/>
      <c r="AA54" s="20" t="n"/>
      <c r="AB54" s="20" t="n"/>
      <c r="AC54" s="20" t="n"/>
      <c r="AD54" s="20" t="n"/>
      <c r="AE54" s="17" t="inlineStr">
        <is>
          <t>1 Stück im Bild</t>
        </is>
      </c>
      <c r="AF54" s="23" t="n"/>
    </row>
    <row r="55" ht="30" customHeight="1">
      <c r="A55" s="16" t="inlineStr">
        <is>
          <t>K-053</t>
        </is>
      </c>
      <c r="B55" s="16" t="inlineStr">
        <is>
          <t>Zamioculcas im Übertopf</t>
        </is>
      </c>
      <c r="C55" s="17" t="inlineStr">
        <is>
          <t>Glücksfeder, weißer Übertopf</t>
        </is>
      </c>
      <c r="D55" s="16" t="inlineStr">
        <is>
          <t>Pflanzen</t>
        </is>
      </c>
      <c r="E55" s="16" t="inlineStr">
        <is>
          <t>Flur</t>
        </is>
      </c>
      <c r="F55" s="16" t="inlineStr">
        <is>
          <t>C</t>
        </is>
      </c>
      <c r="G55" s="18" t="n">
        <v>1</v>
      </c>
      <c r="H55" s="18" t="n"/>
      <c r="I55" s="19">
        <f>G55-IF(H55="",0,H55)</f>
        <v/>
      </c>
      <c r="J55" s="16" t="inlineStr">
        <is>
          <t>Stück</t>
        </is>
      </c>
      <c r="K55" s="16" t="inlineStr">
        <is>
          <t>gut</t>
        </is>
      </c>
      <c r="L55" s="20" t="n"/>
      <c r="M55" s="20" t="n"/>
      <c r="N55" s="21" t="n"/>
      <c r="O55" s="21" t="n">
        <v>60</v>
      </c>
      <c r="P55" s="20" t="inlineStr">
        <is>
          <t>VHB</t>
        </is>
      </c>
      <c r="Q55" s="22">
        <f>I55*O55</f>
        <v/>
      </c>
      <c r="R55" s="16" t="inlineStr">
        <is>
          <t>nur Abholung</t>
        </is>
      </c>
      <c r="S55" s="16" t="inlineStr">
        <is>
          <t>F-033</t>
        </is>
      </c>
      <c r="T55" s="20" t="inlineStr">
        <is>
          <t>verfügbar</t>
        </is>
      </c>
      <c r="U55" s="20" t="inlineStr">
        <is>
          <t>Klinik</t>
        </is>
      </c>
      <c r="V55" s="20" t="n"/>
      <c r="W55" s="21" t="n"/>
      <c r="X55" s="22">
        <f>IF(H55="","",H55*W55)</f>
        <v/>
      </c>
      <c r="Y55" s="20" t="n"/>
      <c r="Z55" s="20" t="n"/>
      <c r="AA55" s="20" t="n"/>
      <c r="AB55" s="20" t="n"/>
      <c r="AC55" s="20" t="n"/>
      <c r="AD55" s="20" t="n"/>
      <c r="AE55" s="17" t="inlineStr">
        <is>
          <t>1 Pflanze im Bild</t>
        </is>
      </c>
      <c r="AF55" s="23" t="n"/>
    </row>
    <row r="56" ht="30" customHeight="1">
      <c r="A56" s="16" t="inlineStr">
        <is>
          <t>K-054</t>
        </is>
      </c>
      <c r="B56" s="16" t="inlineStr">
        <is>
          <t>Wanddeko Fadenbild schwarz</t>
        </is>
      </c>
      <c r="C56" s="17" t="inlineStr">
        <is>
          <t>Schwarzes Fadenbild auf rundem Holzreif, zwei Größen</t>
        </is>
      </c>
      <c r="D56" s="16" t="inlineStr">
        <is>
          <t>Deko</t>
        </is>
      </c>
      <c r="E56" s="16" t="inlineStr">
        <is>
          <t>Flur</t>
        </is>
      </c>
      <c r="F56" s="16" t="inlineStr">
        <is>
          <t>C</t>
        </is>
      </c>
      <c r="G56" s="18" t="n">
        <v>2</v>
      </c>
      <c r="H56" s="18" t="n"/>
      <c r="I56" s="19">
        <f>G56-IF(H56="",0,H56)</f>
        <v/>
      </c>
      <c r="J56" s="16" t="inlineStr">
        <is>
          <t>Stück</t>
        </is>
      </c>
      <c r="K56" s="16" t="inlineStr">
        <is>
          <t>gut</t>
        </is>
      </c>
      <c r="L56" s="20" t="n"/>
      <c r="M56" s="20" t="n"/>
      <c r="N56" s="21" t="n"/>
      <c r="O56" s="21" t="n">
        <v>35</v>
      </c>
      <c r="P56" s="20" t="inlineStr">
        <is>
          <t>VHB</t>
        </is>
      </c>
      <c r="Q56" s="22">
        <f>I56*O56</f>
        <v/>
      </c>
      <c r="R56" s="16" t="inlineStr">
        <is>
          <t>Versand möglich</t>
        </is>
      </c>
      <c r="S56" s="16" t="inlineStr">
        <is>
          <t>F-034</t>
        </is>
      </c>
      <c r="T56" s="20" t="inlineStr">
        <is>
          <t>verfügbar</t>
        </is>
      </c>
      <c r="U56" s="20" t="inlineStr">
        <is>
          <t>Klinik</t>
        </is>
      </c>
      <c r="V56" s="20" t="n"/>
      <c r="W56" s="21" t="n"/>
      <c r="X56" s="22">
        <f>IF(H56="","",H56*W56)</f>
        <v/>
      </c>
      <c r="Y56" s="20" t="n"/>
      <c r="Z56" s="20" t="n"/>
      <c r="AA56" s="20" t="n"/>
      <c r="AB56" s="20" t="n"/>
      <c r="AC56" s="20" t="n"/>
      <c r="AD56" s="20" t="n"/>
      <c r="AE56" s="17" t="inlineStr">
        <is>
          <t>2 Stück (klein und groß)</t>
        </is>
      </c>
      <c r="AF56" s="23" t="n"/>
    </row>
    <row r="57" ht="30" customHeight="1">
      <c r="A57" s="16" t="inlineStr">
        <is>
          <t>K-055</t>
        </is>
      </c>
      <c r="B57" s="16" t="inlineStr">
        <is>
          <t>Deckenleuchte Pusteblume</t>
        </is>
      </c>
      <c r="C57" s="17" t="inlineStr">
        <is>
          <t>IKEA Maskros, weiß, zwei Größen</t>
        </is>
      </c>
      <c r="D57" s="16" t="inlineStr">
        <is>
          <t>Leuchten</t>
        </is>
      </c>
      <c r="E57" s="16" t="inlineStr">
        <is>
          <t>Flur</t>
        </is>
      </c>
      <c r="F57" s="16" t="inlineStr">
        <is>
          <t>C</t>
        </is>
      </c>
      <c r="G57" s="18" t="n">
        <v>2</v>
      </c>
      <c r="H57" s="18" t="n"/>
      <c r="I57" s="19">
        <f>G57-IF(H57="",0,H57)</f>
        <v/>
      </c>
      <c r="J57" s="16" t="inlineStr">
        <is>
          <t>Stück</t>
        </is>
      </c>
      <c r="K57" s="16" t="inlineStr">
        <is>
          <t>gut</t>
        </is>
      </c>
      <c r="L57" s="20" t="n"/>
      <c r="M57" s="20" t="n"/>
      <c r="N57" s="21" t="n"/>
      <c r="O57" s="21" t="n">
        <v>35</v>
      </c>
      <c r="P57" s="20" t="inlineStr">
        <is>
          <t>VHB</t>
        </is>
      </c>
      <c r="Q57" s="22">
        <f>I57*O57</f>
        <v/>
      </c>
      <c r="R57" s="16" t="inlineStr">
        <is>
          <t>nur Abholung</t>
        </is>
      </c>
      <c r="S57" s="16" t="inlineStr">
        <is>
          <t>F-036</t>
        </is>
      </c>
      <c r="T57" s="20" t="inlineStr">
        <is>
          <t>verfügbar</t>
        </is>
      </c>
      <c r="U57" s="20" t="inlineStr">
        <is>
          <t>Klinik</t>
        </is>
      </c>
      <c r="V57" s="20" t="n"/>
      <c r="W57" s="21" t="n"/>
      <c r="X57" s="22">
        <f>IF(H57="","",H57*W57)</f>
        <v/>
      </c>
      <c r="Y57" s="20" t="n"/>
      <c r="Z57" s="20" t="n"/>
      <c r="AA57" s="20" t="n"/>
      <c r="AB57" s="20" t="n"/>
      <c r="AC57" s="20" t="n"/>
      <c r="AD57" s="20" t="n"/>
      <c r="AE57" s="17" t="inlineStr">
        <is>
          <t>2 Stück (zwei Fotos, klein und groß)</t>
        </is>
      </c>
      <c r="AF57" s="23" t="n"/>
    </row>
    <row r="58" ht="30" customHeight="1">
      <c r="A58" s="16" t="inlineStr">
        <is>
          <t>K-056</t>
        </is>
      </c>
      <c r="B58" s="16" t="inlineStr">
        <is>
          <t>Gemälde Bollenhut-Mädchen</t>
        </is>
      </c>
      <c r="C58" s="17" t="inlineStr">
        <is>
          <t>Acryl auf Leinwand, ca. 60 x 80 cm - Eigenarbeit einer Privatperson</t>
        </is>
      </c>
      <c r="D58" s="16" t="inlineStr">
        <is>
          <t>Kunst</t>
        </is>
      </c>
      <c r="E58" s="16" t="inlineStr">
        <is>
          <t>Flur</t>
        </is>
      </c>
      <c r="F58" s="16" t="inlineStr">
        <is>
          <t>B</t>
        </is>
      </c>
      <c r="G58" s="18" t="n">
        <v>1</v>
      </c>
      <c r="H58" s="18" t="n"/>
      <c r="I58" s="19">
        <f>G58-IF(H58="",0,H58)</f>
        <v/>
      </c>
      <c r="J58" s="16" t="inlineStr">
        <is>
          <t>Stück</t>
        </is>
      </c>
      <c r="K58" s="16" t="inlineStr">
        <is>
          <t>gut</t>
        </is>
      </c>
      <c r="L58" s="20" t="n"/>
      <c r="M58" s="20" t="n"/>
      <c r="N58" s="21" t="n"/>
      <c r="O58" s="21" t="n">
        <v>140</v>
      </c>
      <c r="P58" s="20" t="inlineStr">
        <is>
          <t>VHB</t>
        </is>
      </c>
      <c r="Q58" s="22">
        <f>I58*O58</f>
        <v/>
      </c>
      <c r="R58" s="16" t="inlineStr">
        <is>
          <t>nur Abholung</t>
        </is>
      </c>
      <c r="S58" s="16" t="inlineStr">
        <is>
          <t>F-037</t>
        </is>
      </c>
      <c r="T58" s="20" t="inlineStr">
        <is>
          <t>verfügbar</t>
        </is>
      </c>
      <c r="U58" s="20" t="inlineStr">
        <is>
          <t>Klinik</t>
        </is>
      </c>
      <c r="V58" s="20" t="n"/>
      <c r="W58" s="21" t="n"/>
      <c r="X58" s="22">
        <f>IF(H58="","",H58*W58)</f>
        <v/>
      </c>
      <c r="Y58" s="20" t="n"/>
      <c r="Z58" s="20" t="n"/>
      <c r="AA58" s="20" t="n"/>
      <c r="AB58" s="20" t="n"/>
      <c r="AC58" s="20" t="n"/>
      <c r="AD58" s="20" t="n"/>
      <c r="AE58" s="17" t="inlineStr">
        <is>
          <t>1 Bild im Bild</t>
        </is>
      </c>
      <c r="AF58" s="23" t="n"/>
    </row>
    <row r="59" ht="30" customHeight="1">
      <c r="A59" s="16" t="inlineStr">
        <is>
          <t>K-057</t>
        </is>
      </c>
      <c r="B59" s="16" t="inlineStr">
        <is>
          <t>Gemälde Fuchs mit Bollenhut</t>
        </is>
      </c>
      <c r="C59" s="17" t="inlineStr">
        <is>
          <t>Acryl auf Leinwand, ca. 80 x 100 cm - Eigenarbeit einer Privatperson</t>
        </is>
      </c>
      <c r="D59" s="16" t="inlineStr">
        <is>
          <t>Kunst</t>
        </is>
      </c>
      <c r="E59" s="16" t="inlineStr">
        <is>
          <t>Flur</t>
        </is>
      </c>
      <c r="F59" s="16" t="inlineStr">
        <is>
          <t>B</t>
        </is>
      </c>
      <c r="G59" s="18" t="n">
        <v>1</v>
      </c>
      <c r="H59" s="18" t="n"/>
      <c r="I59" s="19">
        <f>G59-IF(H59="",0,H59)</f>
        <v/>
      </c>
      <c r="J59" s="16" t="inlineStr">
        <is>
          <t>Stück</t>
        </is>
      </c>
      <c r="K59" s="16" t="inlineStr">
        <is>
          <t>gut</t>
        </is>
      </c>
      <c r="L59" s="20" t="n"/>
      <c r="M59" s="20" t="n"/>
      <c r="N59" s="21" t="n"/>
      <c r="O59" s="21" t="n">
        <v>180</v>
      </c>
      <c r="P59" s="20" t="inlineStr">
        <is>
          <t>VHB</t>
        </is>
      </c>
      <c r="Q59" s="22">
        <f>I59*O59</f>
        <v/>
      </c>
      <c r="R59" s="16" t="inlineStr">
        <is>
          <t>nur Abholung</t>
        </is>
      </c>
      <c r="S59" s="16" t="inlineStr">
        <is>
          <t>F-038</t>
        </is>
      </c>
      <c r="T59" s="20" t="inlineStr">
        <is>
          <t>verfügbar</t>
        </is>
      </c>
      <c r="U59" s="20" t="inlineStr">
        <is>
          <t>Klinik</t>
        </is>
      </c>
      <c r="V59" s="20" t="n"/>
      <c r="W59" s="21" t="n"/>
      <c r="X59" s="22">
        <f>IF(H59="","",H59*W59)</f>
        <v/>
      </c>
      <c r="Y59" s="20" t="n"/>
      <c r="Z59" s="20" t="n"/>
      <c r="AA59" s="20" t="n"/>
      <c r="AB59" s="20" t="n"/>
      <c r="AC59" s="20" t="n"/>
      <c r="AD59" s="20" t="n"/>
      <c r="AE59" s="17" t="inlineStr">
        <is>
          <t>1 Bild im Bild</t>
        </is>
      </c>
      <c r="AF59" s="23" t="n"/>
    </row>
    <row r="60" ht="30" customHeight="1">
      <c r="A60" s="16" t="inlineStr">
        <is>
          <t>K-058</t>
        </is>
      </c>
      <c r="B60" s="16" t="inlineStr">
        <is>
          <t>Gemälde Panorama, 3 Figuren</t>
        </is>
      </c>
      <c r="C60" s="17" t="inlineStr">
        <is>
          <t>Acryl auf Leinwand, Querformat ca. 120 x 40 cm - Eigenarbeit einer Privatperson</t>
        </is>
      </c>
      <c r="D60" s="16" t="inlineStr">
        <is>
          <t>Kunst</t>
        </is>
      </c>
      <c r="E60" s="16" t="inlineStr">
        <is>
          <t>Flur</t>
        </is>
      </c>
      <c r="F60" s="16" t="inlineStr">
        <is>
          <t>B</t>
        </is>
      </c>
      <c r="G60" s="18" t="n">
        <v>1</v>
      </c>
      <c r="H60" s="18" t="n"/>
      <c r="I60" s="19">
        <f>G60-IF(H60="",0,H60)</f>
        <v/>
      </c>
      <c r="J60" s="16" t="inlineStr">
        <is>
          <t>Stück</t>
        </is>
      </c>
      <c r="K60" s="16" t="inlineStr">
        <is>
          <t>gut</t>
        </is>
      </c>
      <c r="L60" s="20" t="n"/>
      <c r="M60" s="20" t="n"/>
      <c r="N60" s="21" t="n"/>
      <c r="O60" s="21" t="n">
        <v>120</v>
      </c>
      <c r="P60" s="20" t="inlineStr">
        <is>
          <t>VHB</t>
        </is>
      </c>
      <c r="Q60" s="22">
        <f>I60*O60</f>
        <v/>
      </c>
      <c r="R60" s="16" t="inlineStr">
        <is>
          <t>nur Abholung</t>
        </is>
      </c>
      <c r="S60" s="16" t="inlineStr">
        <is>
          <t>F-040</t>
        </is>
      </c>
      <c r="T60" s="20" t="inlineStr">
        <is>
          <t>verfügbar</t>
        </is>
      </c>
      <c r="U60" s="20" t="inlineStr">
        <is>
          <t>Klinik</t>
        </is>
      </c>
      <c r="V60" s="20" t="n"/>
      <c r="W60" s="21" t="n"/>
      <c r="X60" s="22">
        <f>IF(H60="","",H60*W60)</f>
        <v/>
      </c>
      <c r="Y60" s="20" t="n"/>
      <c r="Z60" s="20" t="n"/>
      <c r="AA60" s="20" t="n"/>
      <c r="AB60" s="20" t="n"/>
      <c r="AC60" s="20" t="n"/>
      <c r="AD60" s="20" t="n"/>
      <c r="AE60" s="17" t="inlineStr">
        <is>
          <t>1 Bild im Bild</t>
        </is>
      </c>
      <c r="AF60" s="23" t="n"/>
    </row>
    <row r="61" ht="30" customHeight="1">
      <c r="A61" s="16" t="inlineStr">
        <is>
          <t>K-059</t>
        </is>
      </c>
      <c r="B61" s="16" t="inlineStr">
        <is>
          <t>Gemälde Panorama, 5 Figuren</t>
        </is>
      </c>
      <c r="C61" s="17" t="inlineStr">
        <is>
          <t>Acryl auf Leinwand, Querformat - Eigenarbeit einer Privatperson</t>
        </is>
      </c>
      <c r="D61" s="16" t="inlineStr">
        <is>
          <t>Kunst</t>
        </is>
      </c>
      <c r="E61" s="16" t="inlineStr">
        <is>
          <t>Flur</t>
        </is>
      </c>
      <c r="F61" s="16" t="inlineStr">
        <is>
          <t>B</t>
        </is>
      </c>
      <c r="G61" s="18" t="n">
        <v>1</v>
      </c>
      <c r="H61" s="18" t="n"/>
      <c r="I61" s="19">
        <f>G61-IF(H61="",0,H61)</f>
        <v/>
      </c>
      <c r="J61" s="16" t="inlineStr">
        <is>
          <t>Stück</t>
        </is>
      </c>
      <c r="K61" s="16" t="inlineStr">
        <is>
          <t>gut</t>
        </is>
      </c>
      <c r="L61" s="20" t="n"/>
      <c r="M61" s="20" t="n"/>
      <c r="N61" s="21" t="n"/>
      <c r="O61" s="21" t="n">
        <v>120</v>
      </c>
      <c r="P61" s="20" t="inlineStr">
        <is>
          <t>VHB</t>
        </is>
      </c>
      <c r="Q61" s="22">
        <f>I61*O61</f>
        <v/>
      </c>
      <c r="R61" s="16" t="inlineStr">
        <is>
          <t>nur Abholung</t>
        </is>
      </c>
      <c r="S61" s="16" t="inlineStr">
        <is>
          <t>F-041</t>
        </is>
      </c>
      <c r="T61" s="20" t="inlineStr">
        <is>
          <t>verfügbar</t>
        </is>
      </c>
      <c r="U61" s="20" t="inlineStr">
        <is>
          <t>Klinik</t>
        </is>
      </c>
      <c r="V61" s="20" t="n"/>
      <c r="W61" s="21" t="n"/>
      <c r="X61" s="22">
        <f>IF(H61="","",H61*W61)</f>
        <v/>
      </c>
      <c r="Y61" s="20" t="n"/>
      <c r="Z61" s="20" t="n"/>
      <c r="AA61" s="20" t="n"/>
      <c r="AB61" s="20" t="n"/>
      <c r="AC61" s="20" t="n"/>
      <c r="AD61" s="20" t="n"/>
      <c r="AE61" s="17" t="inlineStr">
        <is>
          <t>1 Bild im Bild</t>
        </is>
      </c>
      <c r="AF61" s="23" t="n"/>
    </row>
    <row r="62" ht="30" customHeight="1">
      <c r="A62" s="16" t="inlineStr">
        <is>
          <t>K-060</t>
        </is>
      </c>
      <c r="B62" s="16" t="inlineStr">
        <is>
          <t>Gemälde Heimweh</t>
        </is>
      </c>
      <c r="C62" s="17" t="inlineStr">
        <is>
          <t>Acryl auf Leinwand, großformatig ca. 100 x 140 cm - Eigenarbeit einer Privatperson</t>
        </is>
      </c>
      <c r="D62" s="16" t="inlineStr">
        <is>
          <t>Kunst</t>
        </is>
      </c>
      <c r="E62" s="16" t="inlineStr">
        <is>
          <t>Flur</t>
        </is>
      </c>
      <c r="F62" s="16" t="inlineStr">
        <is>
          <t>B</t>
        </is>
      </c>
      <c r="G62" s="18" t="n">
        <v>1</v>
      </c>
      <c r="H62" s="18" t="n"/>
      <c r="I62" s="19">
        <f>G62-IF(H62="",0,H62)</f>
        <v/>
      </c>
      <c r="J62" s="16" t="inlineStr">
        <is>
          <t>Stück</t>
        </is>
      </c>
      <c r="K62" s="16" t="inlineStr">
        <is>
          <t>gut</t>
        </is>
      </c>
      <c r="L62" s="20" t="n"/>
      <c r="M62" s="20" t="n"/>
      <c r="N62" s="21" t="n"/>
      <c r="O62" s="21" t="n">
        <v>250</v>
      </c>
      <c r="P62" s="20" t="inlineStr">
        <is>
          <t>VHB</t>
        </is>
      </c>
      <c r="Q62" s="22">
        <f>I62*O62</f>
        <v/>
      </c>
      <c r="R62" s="16" t="inlineStr">
        <is>
          <t>nur Abholung</t>
        </is>
      </c>
      <c r="S62" s="16" t="inlineStr">
        <is>
          <t>F-049</t>
        </is>
      </c>
      <c r="T62" s="20" t="inlineStr">
        <is>
          <t>verfügbar</t>
        </is>
      </c>
      <c r="U62" s="20" t="inlineStr">
        <is>
          <t>Klinik</t>
        </is>
      </c>
      <c r="V62" s="20" t="n"/>
      <c r="W62" s="21" t="n"/>
      <c r="X62" s="22">
        <f>IF(H62="","",H62*W62)</f>
        <v/>
      </c>
      <c r="Y62" s="20" t="n"/>
      <c r="Z62" s="20" t="n"/>
      <c r="AA62" s="20" t="n"/>
      <c r="AB62" s="20" t="n"/>
      <c r="AC62" s="20" t="n"/>
      <c r="AD62" s="20" t="n"/>
      <c r="AE62" s="17" t="inlineStr">
        <is>
          <t>1 Bild im Bild</t>
        </is>
      </c>
      <c r="AF62" s="23" t="n"/>
    </row>
    <row r="63" ht="30" customHeight="1">
      <c r="A63" s="16" t="inlineStr">
        <is>
          <t>K-061</t>
        </is>
      </c>
      <c r="B63" s="16" t="inlineStr">
        <is>
          <t>Deko-Hirschkopf geometrisch</t>
        </is>
      </c>
      <c r="C63" s="17" t="inlineStr">
        <is>
          <t>Hirschkopf in geometrischer Form, Beton-/Holzoptik</t>
        </is>
      </c>
      <c r="D63" s="16" t="inlineStr">
        <is>
          <t>Deko</t>
        </is>
      </c>
      <c r="E63" s="16" t="inlineStr">
        <is>
          <t>Flur</t>
        </is>
      </c>
      <c r="F63" s="16" t="inlineStr">
        <is>
          <t>C</t>
        </is>
      </c>
      <c r="G63" s="18" t="n">
        <v>1</v>
      </c>
      <c r="H63" s="18" t="n"/>
      <c r="I63" s="19">
        <f>G63-IF(H63="",0,H63)</f>
        <v/>
      </c>
      <c r="J63" s="16" t="inlineStr">
        <is>
          <t>Stück</t>
        </is>
      </c>
      <c r="K63" s="16" t="inlineStr">
        <is>
          <t>gut</t>
        </is>
      </c>
      <c r="L63" s="20" t="n"/>
      <c r="M63" s="20" t="n"/>
      <c r="N63" s="21" t="n"/>
      <c r="O63" s="21" t="n">
        <v>40</v>
      </c>
      <c r="P63" s="20" t="inlineStr">
        <is>
          <t>VHB</t>
        </is>
      </c>
      <c r="Q63" s="22">
        <f>I63*O63</f>
        <v/>
      </c>
      <c r="R63" s="16" t="inlineStr">
        <is>
          <t>Versand möglich</t>
        </is>
      </c>
      <c r="S63" s="16" t="inlineStr">
        <is>
          <t>F-050</t>
        </is>
      </c>
      <c r="T63" s="20" t="inlineStr">
        <is>
          <t>verfügbar</t>
        </is>
      </c>
      <c r="U63" s="20" t="inlineStr">
        <is>
          <t>Klinik</t>
        </is>
      </c>
      <c r="V63" s="20" t="n"/>
      <c r="W63" s="21" t="n"/>
      <c r="X63" s="22">
        <f>IF(H63="","",H63*W63)</f>
        <v/>
      </c>
      <c r="Y63" s="20" t="n"/>
      <c r="Z63" s="20" t="n"/>
      <c r="AA63" s="20" t="n"/>
      <c r="AB63" s="20" t="n"/>
      <c r="AC63" s="20" t="n"/>
      <c r="AD63" s="20" t="n"/>
      <c r="AE63" s="17" t="inlineStr">
        <is>
          <t>1 Stück im Bild</t>
        </is>
      </c>
      <c r="AF63" s="23" t="n"/>
    </row>
    <row r="64" ht="30" customHeight="1">
      <c r="A64" s="16" t="inlineStr">
        <is>
          <t>K-062</t>
        </is>
      </c>
      <c r="B64" s="16" t="inlineStr">
        <is>
          <t>Barockspiegel schwarz, oval</t>
        </is>
      </c>
      <c r="C64" s="17" t="inlineStr">
        <is>
          <t>Verzierter Rahmen schwarz, oval, zwei Größen</t>
        </is>
      </c>
      <c r="D64" s="16" t="inlineStr">
        <is>
          <t>Deko</t>
        </is>
      </c>
      <c r="E64" s="16" t="inlineStr">
        <is>
          <t>Eingang</t>
        </is>
      </c>
      <c r="F64" s="16" t="inlineStr">
        <is>
          <t>C</t>
        </is>
      </c>
      <c r="G64" s="18" t="n">
        <v>2</v>
      </c>
      <c r="H64" s="18" t="n"/>
      <c r="I64" s="19">
        <f>G64-IF(H64="",0,H64)</f>
        <v/>
      </c>
      <c r="J64" s="16" t="inlineStr">
        <is>
          <t>Stück</t>
        </is>
      </c>
      <c r="K64" s="16" t="inlineStr">
        <is>
          <t>gut</t>
        </is>
      </c>
      <c r="L64" s="20" t="n"/>
      <c r="M64" s="20" t="n"/>
      <c r="N64" s="21" t="n"/>
      <c r="O64" s="21" t="n">
        <v>45</v>
      </c>
      <c r="P64" s="20" t="inlineStr">
        <is>
          <t>VHB</t>
        </is>
      </c>
      <c r="Q64" s="22">
        <f>I64*O64</f>
        <v/>
      </c>
      <c r="R64" s="16" t="inlineStr">
        <is>
          <t>Versand möglich</t>
        </is>
      </c>
      <c r="S64" s="16" t="inlineStr">
        <is>
          <t>F-051</t>
        </is>
      </c>
      <c r="T64" s="20" t="inlineStr">
        <is>
          <t>verfügbar</t>
        </is>
      </c>
      <c r="U64" s="20" t="inlineStr">
        <is>
          <t>Klinik</t>
        </is>
      </c>
      <c r="V64" s="20" t="n"/>
      <c r="W64" s="21" t="n"/>
      <c r="X64" s="22">
        <f>IF(H64="","",H64*W64)</f>
        <v/>
      </c>
      <c r="Y64" s="20" t="n"/>
      <c r="Z64" s="20" t="n"/>
      <c r="AA64" s="20" t="n"/>
      <c r="AB64" s="20" t="n"/>
      <c r="AC64" s="20" t="n"/>
      <c r="AD64" s="20" t="n"/>
      <c r="AE64" s="17" t="inlineStr">
        <is>
          <t>2 Stück im Bild</t>
        </is>
      </c>
      <c r="AF64" s="23" t="n"/>
    </row>
    <row r="65" ht="30" customHeight="1">
      <c r="A65" s="16" t="inlineStr">
        <is>
          <t>K-063</t>
        </is>
      </c>
      <c r="B65" s="16" t="inlineStr">
        <is>
          <t>Pompon-Kranz rot</t>
        </is>
      </c>
      <c r="C65" s="17" t="inlineStr">
        <is>
          <t>Türkranz aus roten Wollbommeln, Eigenarbeit</t>
        </is>
      </c>
      <c r="D65" s="16" t="inlineStr">
        <is>
          <t>Deko</t>
        </is>
      </c>
      <c r="E65" s="16" t="inlineStr">
        <is>
          <t>Eingang</t>
        </is>
      </c>
      <c r="F65" s="16" t="inlineStr">
        <is>
          <t>C</t>
        </is>
      </c>
      <c r="G65" s="18" t="n">
        <v>1</v>
      </c>
      <c r="H65" s="18" t="n"/>
      <c r="I65" s="19">
        <f>G65-IF(H65="",0,H65)</f>
        <v/>
      </c>
      <c r="J65" s="16" t="inlineStr">
        <is>
          <t>Stück</t>
        </is>
      </c>
      <c r="K65" s="16" t="inlineStr">
        <is>
          <t>gut</t>
        </is>
      </c>
      <c r="L65" s="20" t="n"/>
      <c r="M65" s="20" t="n"/>
      <c r="N65" s="21" t="n"/>
      <c r="O65" s="21" t="n">
        <v>25</v>
      </c>
      <c r="P65" s="20" t="inlineStr">
        <is>
          <t>VHB</t>
        </is>
      </c>
      <c r="Q65" s="22">
        <f>I65*O65</f>
        <v/>
      </c>
      <c r="R65" s="16" t="inlineStr">
        <is>
          <t>Versand möglich</t>
        </is>
      </c>
      <c r="S65" s="16" t="inlineStr">
        <is>
          <t>F-052</t>
        </is>
      </c>
      <c r="T65" s="20" t="inlineStr">
        <is>
          <t>verfügbar</t>
        </is>
      </c>
      <c r="U65" s="20" t="inlineStr">
        <is>
          <t>Klinik</t>
        </is>
      </c>
      <c r="V65" s="20" t="n"/>
      <c r="W65" s="21" t="n"/>
      <c r="X65" s="22">
        <f>IF(H65="","",H65*W65)</f>
        <v/>
      </c>
      <c r="Y65" s="20" t="n"/>
      <c r="Z65" s="20" t="n"/>
      <c r="AA65" s="20" t="n"/>
      <c r="AB65" s="20" t="n"/>
      <c r="AC65" s="20" t="n"/>
      <c r="AD65" s="20" t="n"/>
      <c r="AE65" s="17" t="inlineStr">
        <is>
          <t>1 Stück im Bild</t>
        </is>
      </c>
      <c r="AF65" s="23" t="n"/>
    </row>
    <row r="66" ht="30" customHeight="1">
      <c r="A66" s="16" t="inlineStr">
        <is>
          <t>K-064</t>
        </is>
      </c>
      <c r="B66" s="16" t="inlineStr">
        <is>
          <t>Bilderrahmen mit Kinderzeichnung</t>
        </is>
      </c>
      <c r="C66" s="17" t="inlineStr">
        <is>
          <t>Gerahmte Kinderzeichnungen/Drucke, schwarz gerahmt</t>
        </is>
      </c>
      <c r="D66" s="16" t="inlineStr">
        <is>
          <t>Deko</t>
        </is>
      </c>
      <c r="E66" s="16" t="inlineStr">
        <is>
          <t>Eingang</t>
        </is>
      </c>
      <c r="F66" s="16" t="inlineStr">
        <is>
          <t>C</t>
        </is>
      </c>
      <c r="G66" s="18" t="n">
        <v>3</v>
      </c>
      <c r="H66" s="18" t="n"/>
      <c r="I66" s="19">
        <f>G66-IF(H66="",0,H66)</f>
        <v/>
      </c>
      <c r="J66" s="16" t="inlineStr">
        <is>
          <t>Stück</t>
        </is>
      </c>
      <c r="K66" s="16" t="inlineStr">
        <is>
          <t>gut</t>
        </is>
      </c>
      <c r="L66" s="20" t="n"/>
      <c r="M66" s="20" t="n"/>
      <c r="N66" s="21" t="n"/>
      <c r="O66" s="21" t="n">
        <v>15</v>
      </c>
      <c r="P66" s="20" t="inlineStr">
        <is>
          <t>VHB</t>
        </is>
      </c>
      <c r="Q66" s="22">
        <f>I66*O66</f>
        <v/>
      </c>
      <c r="R66" s="16" t="inlineStr">
        <is>
          <t>Versand möglich</t>
        </is>
      </c>
      <c r="S66" s="16" t="inlineStr">
        <is>
          <t>F-053</t>
        </is>
      </c>
      <c r="T66" s="20" t="inlineStr">
        <is>
          <t>verfügbar</t>
        </is>
      </c>
      <c r="U66" s="20" t="inlineStr">
        <is>
          <t>Klinik</t>
        </is>
      </c>
      <c r="V66" s="20" t="n"/>
      <c r="W66" s="21" t="n"/>
      <c r="X66" s="22">
        <f>IF(H66="","",H66*W66)</f>
        <v/>
      </c>
      <c r="Y66" s="20" t="n"/>
      <c r="Z66" s="20" t="n"/>
      <c r="AA66" s="20" t="n"/>
      <c r="AB66" s="20" t="n"/>
      <c r="AC66" s="20" t="n"/>
      <c r="AD66" s="20" t="n"/>
      <c r="AE66" s="17" t="inlineStr">
        <is>
          <t>3 Rahmen im Bild</t>
        </is>
      </c>
      <c r="AF66" s="23" t="n"/>
    </row>
    <row r="67" ht="30" customHeight="1">
      <c r="A67" s="16" t="inlineStr">
        <is>
          <t>K-065</t>
        </is>
      </c>
      <c r="B67" s="16" t="inlineStr">
        <is>
          <t>Wandregal-Würfel schwarz</t>
        </is>
      </c>
      <c r="C67" s="17" t="inlineStr">
        <is>
          <t>Offene Regalwürfel zur Wandmontage, schwarz</t>
        </is>
      </c>
      <c r="D67" s="16" t="inlineStr">
        <is>
          <t>Möbel</t>
        </is>
      </c>
      <c r="E67" s="16" t="inlineStr">
        <is>
          <t>Flur</t>
        </is>
      </c>
      <c r="F67" s="16" t="inlineStr">
        <is>
          <t>C</t>
        </is>
      </c>
      <c r="G67" s="18" t="n">
        <v>2</v>
      </c>
      <c r="H67" s="18" t="n"/>
      <c r="I67" s="19">
        <f>G67-IF(H67="",0,H67)</f>
        <v/>
      </c>
      <c r="J67" s="16" t="inlineStr">
        <is>
          <t>Stück</t>
        </is>
      </c>
      <c r="K67" s="16" t="inlineStr">
        <is>
          <t>gut</t>
        </is>
      </c>
      <c r="L67" s="20" t="n"/>
      <c r="M67" s="20" t="n"/>
      <c r="N67" s="21" t="n"/>
      <c r="O67" s="21" t="n">
        <v>20</v>
      </c>
      <c r="P67" s="20" t="inlineStr">
        <is>
          <t>VHB</t>
        </is>
      </c>
      <c r="Q67" s="22">
        <f>I67*O67</f>
        <v/>
      </c>
      <c r="R67" s="16" t="inlineStr">
        <is>
          <t>Versand möglich</t>
        </is>
      </c>
      <c r="S67" s="16" t="inlineStr">
        <is>
          <t>F-054</t>
        </is>
      </c>
      <c r="T67" s="20" t="inlineStr">
        <is>
          <t>verfügbar</t>
        </is>
      </c>
      <c r="U67" s="20" t="inlineStr">
        <is>
          <t>Klinik</t>
        </is>
      </c>
      <c r="V67" s="20" t="n"/>
      <c r="W67" s="21" t="n"/>
      <c r="X67" s="22">
        <f>IF(H67="","",H67*W67)</f>
        <v/>
      </c>
      <c r="Y67" s="20" t="n"/>
      <c r="Z67" s="20" t="n"/>
      <c r="AA67" s="20" t="n"/>
      <c r="AB67" s="20" t="n"/>
      <c r="AC67" s="20" t="n"/>
      <c r="AD67" s="20" t="n"/>
      <c r="AE67" s="17" t="inlineStr">
        <is>
          <t>2 Stück im Bild</t>
        </is>
      </c>
      <c r="AF67" s="23" t="n"/>
    </row>
    <row r="68" ht="30" customHeight="1">
      <c r="A68" s="16" t="inlineStr">
        <is>
          <t>K-066</t>
        </is>
      </c>
      <c r="B68" s="16" t="inlineStr">
        <is>
          <t>Deko-Tannenbaum schwarz</t>
        </is>
      </c>
      <c r="C68" s="17" t="inlineStr">
        <is>
          <t>Metall-Tannenbaum auf Holzsockel, schwarz, verschiedene Größen</t>
        </is>
      </c>
      <c r="D68" s="16" t="inlineStr">
        <is>
          <t>Deko</t>
        </is>
      </c>
      <c r="E68" s="16" t="inlineStr">
        <is>
          <t>Flur</t>
        </is>
      </c>
      <c r="F68" s="16" t="inlineStr">
        <is>
          <t>C</t>
        </is>
      </c>
      <c r="G68" s="18" t="n">
        <v>3</v>
      </c>
      <c r="H68" s="18" t="n"/>
      <c r="I68" s="19">
        <f>G68-IF(H68="",0,H68)</f>
        <v/>
      </c>
      <c r="J68" s="16" t="inlineStr">
        <is>
          <t>Stück</t>
        </is>
      </c>
      <c r="K68" s="16" t="inlineStr">
        <is>
          <t>gut</t>
        </is>
      </c>
      <c r="L68" s="20" t="n"/>
      <c r="M68" s="20" t="n"/>
      <c r="N68" s="21" t="n"/>
      <c r="O68" s="21" t="n">
        <v>25</v>
      </c>
      <c r="P68" s="20" t="inlineStr">
        <is>
          <t>VHB</t>
        </is>
      </c>
      <c r="Q68" s="22">
        <f>I68*O68</f>
        <v/>
      </c>
      <c r="R68" s="16" t="inlineStr">
        <is>
          <t>Versand möglich</t>
        </is>
      </c>
      <c r="S68" s="16" t="inlineStr">
        <is>
          <t>F-072</t>
        </is>
      </c>
      <c r="T68" s="20" t="inlineStr">
        <is>
          <t>verfügbar</t>
        </is>
      </c>
      <c r="U68" s="20" t="inlineStr">
        <is>
          <t>Klinik</t>
        </is>
      </c>
      <c r="V68" s="20" t="n"/>
      <c r="W68" s="21" t="n"/>
      <c r="X68" s="22">
        <f>IF(H68="","",H68*W68)</f>
        <v/>
      </c>
      <c r="Y68" s="20" t="n"/>
      <c r="Z68" s="20" t="n"/>
      <c r="AA68" s="20" t="n"/>
      <c r="AB68" s="20" t="n"/>
      <c r="AC68" s="20" t="n"/>
      <c r="AD68" s="20" t="n"/>
      <c r="AE68" s="17" t="inlineStr">
        <is>
          <t>3 Stück im Bild</t>
        </is>
      </c>
      <c r="AF68" s="23" t="n"/>
    </row>
    <row r="69" ht="30" customHeight="1">
      <c r="A69" s="16" t="inlineStr">
        <is>
          <t>K-067</t>
        </is>
      </c>
      <c r="B69" s="16" t="inlineStr">
        <is>
          <t>Laterne schwarz</t>
        </is>
      </c>
      <c r="C69" s="17" t="inlineStr">
        <is>
          <t>Metall-Glas-Laterne, schwarz</t>
        </is>
      </c>
      <c r="D69" s="16" t="inlineStr">
        <is>
          <t>Deko</t>
        </is>
      </c>
      <c r="E69" s="16" t="inlineStr">
        <is>
          <t>Flur</t>
        </is>
      </c>
      <c r="F69" s="16" t="inlineStr">
        <is>
          <t>C</t>
        </is>
      </c>
      <c r="G69" s="18" t="n">
        <v>1</v>
      </c>
      <c r="H69" s="18" t="n"/>
      <c r="I69" s="19">
        <f>G69-IF(H69="",0,H69)</f>
        <v/>
      </c>
      <c r="J69" s="16" t="inlineStr">
        <is>
          <t>Stück</t>
        </is>
      </c>
      <c r="K69" s="16" t="inlineStr">
        <is>
          <t>gut</t>
        </is>
      </c>
      <c r="L69" s="20" t="n"/>
      <c r="M69" s="20" t="n"/>
      <c r="N69" s="21" t="n"/>
      <c r="O69" s="21" t="n">
        <v>20</v>
      </c>
      <c r="P69" s="20" t="inlineStr">
        <is>
          <t>VHB</t>
        </is>
      </c>
      <c r="Q69" s="22">
        <f>I69*O69</f>
        <v/>
      </c>
      <c r="R69" s="16" t="inlineStr">
        <is>
          <t>Versand möglich</t>
        </is>
      </c>
      <c r="S69" s="16" t="inlineStr">
        <is>
          <t>F-072</t>
        </is>
      </c>
      <c r="T69" s="20" t="inlineStr">
        <is>
          <t>verfügbar</t>
        </is>
      </c>
      <c r="U69" s="20" t="inlineStr">
        <is>
          <t>Klinik</t>
        </is>
      </c>
      <c r="V69" s="20" t="n"/>
      <c r="W69" s="21" t="n"/>
      <c r="X69" s="22">
        <f>IF(H69="","",H69*W69)</f>
        <v/>
      </c>
      <c r="Y69" s="20" t="n"/>
      <c r="Z69" s="20" t="n"/>
      <c r="AA69" s="20" t="n"/>
      <c r="AB69" s="20" t="n"/>
      <c r="AC69" s="20" t="n"/>
      <c r="AD69" s="20" t="n"/>
      <c r="AE69" s="17" t="inlineStr">
        <is>
          <t>1 Stück im Bild</t>
        </is>
      </c>
      <c r="AF69" s="23" t="n"/>
    </row>
    <row r="70" ht="30" customHeight="1">
      <c r="A70" s="16" t="inlineStr">
        <is>
          <t>K-068</t>
        </is>
      </c>
      <c r="B70" s="16" t="inlineStr">
        <is>
          <t>Hängeleuchte mit Fransenschirm</t>
        </is>
      </c>
      <c r="C70" s="17" t="inlineStr">
        <is>
          <t>Stoffschirm schwarz-weiß gemustert mit Fransenbesatz</t>
        </is>
      </c>
      <c r="D70" s="16" t="inlineStr">
        <is>
          <t>Leuchten</t>
        </is>
      </c>
      <c r="E70" s="16" t="inlineStr">
        <is>
          <t>Flur</t>
        </is>
      </c>
      <c r="F70" s="16" t="inlineStr">
        <is>
          <t>C</t>
        </is>
      </c>
      <c r="G70" s="18" t="n">
        <v>2</v>
      </c>
      <c r="H70" s="18" t="n"/>
      <c r="I70" s="19">
        <f>G70-IF(H70="",0,H70)</f>
        <v/>
      </c>
      <c r="J70" s="16" t="inlineStr">
        <is>
          <t>Stück</t>
        </is>
      </c>
      <c r="K70" s="16" t="inlineStr">
        <is>
          <t>gut</t>
        </is>
      </c>
      <c r="L70" s="20" t="n"/>
      <c r="M70" s="20" t="n"/>
      <c r="N70" s="21" t="n"/>
      <c r="O70" s="21" t="n">
        <v>45</v>
      </c>
      <c r="P70" s="20" t="inlineStr">
        <is>
          <t>VHB</t>
        </is>
      </c>
      <c r="Q70" s="22">
        <f>I70*O70</f>
        <v/>
      </c>
      <c r="R70" s="16" t="inlineStr">
        <is>
          <t>nur Abholung</t>
        </is>
      </c>
      <c r="S70" s="16" t="inlineStr">
        <is>
          <t>F-073</t>
        </is>
      </c>
      <c r="T70" s="20" t="inlineStr">
        <is>
          <t>verfügbar</t>
        </is>
      </c>
      <c r="U70" s="20" t="inlineStr">
        <is>
          <t>Klinik</t>
        </is>
      </c>
      <c r="V70" s="20" t="n"/>
      <c r="W70" s="21" t="n"/>
      <c r="X70" s="22">
        <f>IF(H70="","",H70*W70)</f>
        <v/>
      </c>
      <c r="Y70" s="20" t="n"/>
      <c r="Z70" s="20" t="n"/>
      <c r="AA70" s="20" t="n"/>
      <c r="AB70" s="20" t="n"/>
      <c r="AC70" s="20" t="n"/>
      <c r="AD70" s="20" t="n"/>
      <c r="AE70" s="17" t="inlineStr">
        <is>
          <t>2 Stück im Bild</t>
        </is>
      </c>
      <c r="AF70" s="23" t="n"/>
    </row>
    <row r="71" ht="30" customHeight="1">
      <c r="A71" s="16" t="inlineStr">
        <is>
          <t>K-069</t>
        </is>
      </c>
      <c r="B71" s="16" t="inlineStr">
        <is>
          <t>Deko-Ring schwarz auf Sockel</t>
        </is>
      </c>
      <c r="C71" s="17" t="inlineStr">
        <is>
          <t>Skulpturaler Ring, schwarz, auf Standfuß</t>
        </is>
      </c>
      <c r="D71" s="16" t="inlineStr">
        <is>
          <t>Deko</t>
        </is>
      </c>
      <c r="E71" s="16" t="inlineStr">
        <is>
          <t>Flur</t>
        </is>
      </c>
      <c r="F71" s="16" t="inlineStr">
        <is>
          <t>C</t>
        </is>
      </c>
      <c r="G71" s="18" t="n">
        <v>1</v>
      </c>
      <c r="H71" s="18" t="n"/>
      <c r="I71" s="19">
        <f>G71-IF(H71="",0,H71)</f>
        <v/>
      </c>
      <c r="J71" s="16" t="inlineStr">
        <is>
          <t>Stück</t>
        </is>
      </c>
      <c r="K71" s="16" t="inlineStr">
        <is>
          <t>gut</t>
        </is>
      </c>
      <c r="L71" s="20" t="n"/>
      <c r="M71" s="20" t="n"/>
      <c r="N71" s="21" t="n"/>
      <c r="O71" s="21" t="n">
        <v>30</v>
      </c>
      <c r="P71" s="20" t="inlineStr">
        <is>
          <t>VHB</t>
        </is>
      </c>
      <c r="Q71" s="22">
        <f>I71*O71</f>
        <v/>
      </c>
      <c r="R71" s="16" t="inlineStr">
        <is>
          <t>Versand möglich</t>
        </is>
      </c>
      <c r="S71" s="16" t="inlineStr">
        <is>
          <t>F-073</t>
        </is>
      </c>
      <c r="T71" s="20" t="inlineStr">
        <is>
          <t>verfügbar</t>
        </is>
      </c>
      <c r="U71" s="20" t="inlineStr">
        <is>
          <t>Klinik</t>
        </is>
      </c>
      <c r="V71" s="20" t="n"/>
      <c r="W71" s="21" t="n"/>
      <c r="X71" s="22">
        <f>IF(H71="","",H71*W71)</f>
        <v/>
      </c>
      <c r="Y71" s="20" t="n"/>
      <c r="Z71" s="20" t="n"/>
      <c r="AA71" s="20" t="n"/>
      <c r="AB71" s="20" t="n"/>
      <c r="AC71" s="20" t="n"/>
      <c r="AD71" s="20" t="n"/>
      <c r="AE71" s="17" t="inlineStr">
        <is>
          <t>1 Stück im Bild</t>
        </is>
      </c>
      <c r="AF71" s="23" t="n"/>
    </row>
    <row r="72" ht="30" customHeight="1">
      <c r="A72" s="16" t="inlineStr">
        <is>
          <t>K-070</t>
        </is>
      </c>
      <c r="B72" s="16" t="inlineStr">
        <is>
          <t>Bodenvase Keramik beige, groß</t>
        </is>
      </c>
      <c r="C72" s="17" t="inlineStr">
        <is>
          <t>Bodenvase, beige/creme, matt, groß</t>
        </is>
      </c>
      <c r="D72" s="16" t="inlineStr">
        <is>
          <t>Deko</t>
        </is>
      </c>
      <c r="E72" s="16" t="inlineStr">
        <is>
          <t>Flur</t>
        </is>
      </c>
      <c r="F72" s="16" t="inlineStr">
        <is>
          <t>C</t>
        </is>
      </c>
      <c r="G72" s="18" t="n">
        <v>1</v>
      </c>
      <c r="H72" s="18" t="n"/>
      <c r="I72" s="19">
        <f>G72-IF(H72="",0,H72)</f>
        <v/>
      </c>
      <c r="J72" s="16" t="inlineStr">
        <is>
          <t>Stück</t>
        </is>
      </c>
      <c r="K72" s="16" t="inlineStr">
        <is>
          <t>gut</t>
        </is>
      </c>
      <c r="L72" s="20" t="n"/>
      <c r="M72" s="20" t="n"/>
      <c r="N72" s="21" t="n"/>
      <c r="O72" s="21" t="n">
        <v>90</v>
      </c>
      <c r="P72" s="20" t="inlineStr">
        <is>
          <t>VHB</t>
        </is>
      </c>
      <c r="Q72" s="22">
        <f>I72*O72</f>
        <v/>
      </c>
      <c r="R72" s="16" t="inlineStr">
        <is>
          <t>nur Abholung</t>
        </is>
      </c>
      <c r="S72" s="16" t="inlineStr">
        <is>
          <t>F-090</t>
        </is>
      </c>
      <c r="T72" s="20" t="inlineStr">
        <is>
          <t>verfügbar</t>
        </is>
      </c>
      <c r="U72" s="20" t="inlineStr">
        <is>
          <t>Klinik</t>
        </is>
      </c>
      <c r="V72" s="20" t="n"/>
      <c r="W72" s="21" t="n"/>
      <c r="X72" s="22">
        <f>IF(H72="","",H72*W72)</f>
        <v/>
      </c>
      <c r="Y72" s="20" t="n"/>
      <c r="Z72" s="20" t="n"/>
      <c r="AA72" s="20" t="n"/>
      <c r="AB72" s="20" t="n"/>
      <c r="AC72" s="20" t="n"/>
      <c r="AD72" s="20" t="n"/>
      <c r="AE72" s="17" t="inlineStr">
        <is>
          <t>1 Stück im Bild (ohne Treibholz)</t>
        </is>
      </c>
      <c r="AF72" s="23" t="n"/>
    </row>
    <row r="73" ht="30" customHeight="1">
      <c r="A73" s="16" t="inlineStr">
        <is>
          <t>K-071</t>
        </is>
      </c>
      <c r="B73" s="16" t="inlineStr">
        <is>
          <t>Bodenvase Keramik beige, klein</t>
        </is>
      </c>
      <c r="C73" s="17" t="inlineStr">
        <is>
          <t>Bodenvase, beige/creme, matt, kleiner</t>
        </is>
      </c>
      <c r="D73" s="16" t="inlineStr">
        <is>
          <t>Deko</t>
        </is>
      </c>
      <c r="E73" s="16" t="inlineStr">
        <is>
          <t>Flur</t>
        </is>
      </c>
      <c r="F73" s="16" t="inlineStr">
        <is>
          <t>C</t>
        </is>
      </c>
      <c r="G73" s="18" t="n">
        <v>1</v>
      </c>
      <c r="H73" s="18" t="n"/>
      <c r="I73" s="19">
        <f>G73-IF(H73="",0,H73)</f>
        <v/>
      </c>
      <c r="J73" s="16" t="inlineStr">
        <is>
          <t>Stück</t>
        </is>
      </c>
      <c r="K73" s="16" t="inlineStr">
        <is>
          <t>gut</t>
        </is>
      </c>
      <c r="L73" s="20" t="n"/>
      <c r="M73" s="20" t="n"/>
      <c r="N73" s="21" t="n"/>
      <c r="O73" s="21" t="n">
        <v>60</v>
      </c>
      <c r="P73" s="20" t="inlineStr">
        <is>
          <t>VHB</t>
        </is>
      </c>
      <c r="Q73" s="22">
        <f>I73*O73</f>
        <v/>
      </c>
      <c r="R73" s="16" t="inlineStr">
        <is>
          <t>nur Abholung</t>
        </is>
      </c>
      <c r="S73" s="16" t="inlineStr">
        <is>
          <t>F-090</t>
        </is>
      </c>
      <c r="T73" s="20" t="inlineStr">
        <is>
          <t>verfügbar</t>
        </is>
      </c>
      <c r="U73" s="20" t="inlineStr">
        <is>
          <t>Klinik</t>
        </is>
      </c>
      <c r="V73" s="20" t="n"/>
      <c r="W73" s="21" t="n"/>
      <c r="X73" s="22">
        <f>IF(H73="","",H73*W73)</f>
        <v/>
      </c>
      <c r="Y73" s="20" t="n"/>
      <c r="Z73" s="20" t="n"/>
      <c r="AA73" s="20" t="n"/>
      <c r="AB73" s="20" t="n"/>
      <c r="AC73" s="20" t="n"/>
      <c r="AD73" s="20" t="n"/>
      <c r="AE73" s="17" t="inlineStr">
        <is>
          <t>1 Stück im Bild</t>
        </is>
      </c>
      <c r="AF73" s="23" t="n"/>
    </row>
    <row r="74" ht="30" customHeight="1">
      <c r="A74" s="16" t="inlineStr">
        <is>
          <t>K-072</t>
        </is>
      </c>
      <c r="B74" s="16" t="inlineStr">
        <is>
          <t>Gemälde Marilyn mit Bollenhut</t>
        </is>
      </c>
      <c r="C74" s="17" t="inlineStr">
        <is>
          <t>Acryl auf Leinwand, großformatig ca. 120 x 120 cm - Eigenarbeit einer Privatperson</t>
        </is>
      </c>
      <c r="D74" s="16" t="inlineStr">
        <is>
          <t>Kunst</t>
        </is>
      </c>
      <c r="E74" s="16" t="inlineStr">
        <is>
          <t>Flur</t>
        </is>
      </c>
      <c r="F74" s="16" t="inlineStr">
        <is>
          <t>B</t>
        </is>
      </c>
      <c r="G74" s="18" t="n">
        <v>1</v>
      </c>
      <c r="H74" s="18" t="n"/>
      <c r="I74" s="19">
        <f>G74-IF(H74="",0,H74)</f>
        <v/>
      </c>
      <c r="J74" s="16" t="inlineStr">
        <is>
          <t>Stück</t>
        </is>
      </c>
      <c r="K74" s="16" t="inlineStr">
        <is>
          <t>gut</t>
        </is>
      </c>
      <c r="L74" s="20" t="n"/>
      <c r="M74" s="20" t="n"/>
      <c r="N74" s="21" t="n"/>
      <c r="O74" s="21" t="n">
        <v>350</v>
      </c>
      <c r="P74" s="20" t="inlineStr">
        <is>
          <t>VHB</t>
        </is>
      </c>
      <c r="Q74" s="22">
        <f>I74*O74</f>
        <v/>
      </c>
      <c r="R74" s="16" t="inlineStr">
        <is>
          <t>nur Abholung</t>
        </is>
      </c>
      <c r="S74" s="16" t="inlineStr">
        <is>
          <t>F-091</t>
        </is>
      </c>
      <c r="T74" s="20" t="inlineStr">
        <is>
          <t>verfügbar</t>
        </is>
      </c>
      <c r="U74" s="20" t="inlineStr">
        <is>
          <t>Klinik</t>
        </is>
      </c>
      <c r="V74" s="20" t="n"/>
      <c r="W74" s="21" t="n"/>
      <c r="X74" s="22">
        <f>IF(H74="","",H74*W74)</f>
        <v/>
      </c>
      <c r="Y74" s="20" t="n"/>
      <c r="Z74" s="20" t="n"/>
      <c r="AA74" s="20" t="n"/>
      <c r="AB74" s="20" t="n"/>
      <c r="AC74" s="20" t="n"/>
      <c r="AD74" s="20" t="n"/>
      <c r="AE74" s="17" t="inlineStr">
        <is>
          <t>1 Bild im Bild</t>
        </is>
      </c>
      <c r="AF74" s="23" t="n"/>
    </row>
    <row r="75" ht="30" customHeight="1">
      <c r="A75" s="16" t="inlineStr">
        <is>
          <t>K-073</t>
        </is>
      </c>
      <c r="B75" s="16" t="inlineStr">
        <is>
          <t>Konsolentisch schwarz, schmal</t>
        </is>
      </c>
      <c r="C75" s="17" t="inlineStr">
        <is>
          <t>Schmaler Metall-Konsolentisch, schwarz</t>
        </is>
      </c>
      <c r="D75" s="16" t="inlineStr">
        <is>
          <t>Möbel</t>
        </is>
      </c>
      <c r="E75" s="16" t="inlineStr">
        <is>
          <t>Flur</t>
        </is>
      </c>
      <c r="F75" s="16" t="inlineStr">
        <is>
          <t>C</t>
        </is>
      </c>
      <c r="G75" s="18" t="n">
        <v>1</v>
      </c>
      <c r="H75" s="18" t="n"/>
      <c r="I75" s="19">
        <f>G75-IF(H75="",0,H75)</f>
        <v/>
      </c>
      <c r="J75" s="16" t="inlineStr">
        <is>
          <t>Stück</t>
        </is>
      </c>
      <c r="K75" s="16" t="inlineStr">
        <is>
          <t>gut</t>
        </is>
      </c>
      <c r="L75" s="20" t="n"/>
      <c r="M75" s="20" t="n"/>
      <c r="N75" s="21" t="n"/>
      <c r="O75" s="21" t="n">
        <v>70</v>
      </c>
      <c r="P75" s="20" t="inlineStr">
        <is>
          <t>VHB</t>
        </is>
      </c>
      <c r="Q75" s="22">
        <f>I75*O75</f>
        <v/>
      </c>
      <c r="R75" s="16" t="inlineStr">
        <is>
          <t>nur Abholung</t>
        </is>
      </c>
      <c r="S75" s="16" t="inlineStr">
        <is>
          <t>F-092</t>
        </is>
      </c>
      <c r="T75" s="20" t="inlineStr">
        <is>
          <t>verfügbar</t>
        </is>
      </c>
      <c r="U75" s="20" t="inlineStr">
        <is>
          <t>Klinik</t>
        </is>
      </c>
      <c r="V75" s="20" t="n"/>
      <c r="W75" s="21" t="n"/>
      <c r="X75" s="22">
        <f>IF(H75="","",H75*W75)</f>
        <v/>
      </c>
      <c r="Y75" s="20" t="n"/>
      <c r="Z75" s="20" t="n"/>
      <c r="AA75" s="20" t="n"/>
      <c r="AB75" s="20" t="n"/>
      <c r="AC75" s="20" t="n"/>
      <c r="AD75" s="20" t="n"/>
      <c r="AE75" s="17" t="inlineStr">
        <is>
          <t>1 Stück im Bild</t>
        </is>
      </c>
      <c r="AF75" s="23" t="n"/>
    </row>
    <row r="76" ht="30" customHeight="1">
      <c r="A76" s="16" t="inlineStr">
        <is>
          <t>K-074</t>
        </is>
      </c>
      <c r="B76" s="16" t="inlineStr">
        <is>
          <t>Gemälde abstrakt schwarz-weiß</t>
        </is>
      </c>
      <c r="C76" s="17" t="inlineStr">
        <is>
          <t>Acryl auf Leinwand, Querformat - Eigenarbeit einer Privatperson</t>
        </is>
      </c>
      <c r="D76" s="16" t="inlineStr">
        <is>
          <t>Kunst</t>
        </is>
      </c>
      <c r="E76" s="16" t="inlineStr">
        <is>
          <t>Flur</t>
        </is>
      </c>
      <c r="F76" s="16" t="inlineStr">
        <is>
          <t>B</t>
        </is>
      </c>
      <c r="G76" s="18" t="n">
        <v>1</v>
      </c>
      <c r="H76" s="18" t="n"/>
      <c r="I76" s="19">
        <f>G76-IF(H76="",0,H76)</f>
        <v/>
      </c>
      <c r="J76" s="16" t="inlineStr">
        <is>
          <t>Stück</t>
        </is>
      </c>
      <c r="K76" s="16" t="inlineStr">
        <is>
          <t>gut</t>
        </is>
      </c>
      <c r="L76" s="20" t="n"/>
      <c r="M76" s="20" t="n"/>
      <c r="N76" s="21" t="n"/>
      <c r="O76" s="21" t="n">
        <v>150</v>
      </c>
      <c r="P76" s="20" t="inlineStr">
        <is>
          <t>VHB</t>
        </is>
      </c>
      <c r="Q76" s="22">
        <f>I76*O76</f>
        <v/>
      </c>
      <c r="R76" s="16" t="inlineStr">
        <is>
          <t>nur Abholung</t>
        </is>
      </c>
      <c r="S76" s="16" t="inlineStr">
        <is>
          <t>F-092</t>
        </is>
      </c>
      <c r="T76" s="20" t="inlineStr">
        <is>
          <t>verfügbar</t>
        </is>
      </c>
      <c r="U76" s="20" t="inlineStr">
        <is>
          <t>Klinik</t>
        </is>
      </c>
      <c r="V76" s="20" t="n"/>
      <c r="W76" s="21" t="n"/>
      <c r="X76" s="22">
        <f>IF(H76="","",H76*W76)</f>
        <v/>
      </c>
      <c r="Y76" s="20" t="n"/>
      <c r="Z76" s="20" t="n"/>
      <c r="AA76" s="20" t="n"/>
      <c r="AB76" s="20" t="n"/>
      <c r="AC76" s="20" t="n"/>
      <c r="AD76" s="20" t="n"/>
      <c r="AE76" s="17" t="inlineStr">
        <is>
          <t>1 Bild im Bild</t>
        </is>
      </c>
      <c r="AF76" s="23" t="n"/>
    </row>
    <row r="77" ht="30" customHeight="1">
      <c r="A77" s="16" t="inlineStr">
        <is>
          <t>K-075</t>
        </is>
      </c>
      <c r="B77" s="16" t="inlineStr">
        <is>
          <t>Wandspiegel schwarz, schmal hoch</t>
        </is>
      </c>
      <c r="C77" s="17" t="inlineStr">
        <is>
          <t>Rahmenspiegel, schwarz, hochformatig</t>
        </is>
      </c>
      <c r="D77" s="16" t="inlineStr">
        <is>
          <t>Deko</t>
        </is>
      </c>
      <c r="E77" s="16" t="inlineStr">
        <is>
          <t>Flur</t>
        </is>
      </c>
      <c r="F77" s="16" t="inlineStr">
        <is>
          <t>C</t>
        </is>
      </c>
      <c r="G77" s="18" t="n">
        <v>1</v>
      </c>
      <c r="H77" s="18" t="n"/>
      <c r="I77" s="19">
        <f>G77-IF(H77="",0,H77)</f>
        <v/>
      </c>
      <c r="J77" s="16" t="inlineStr">
        <is>
          <t>Stück</t>
        </is>
      </c>
      <c r="K77" s="16" t="inlineStr">
        <is>
          <t>gut</t>
        </is>
      </c>
      <c r="L77" s="20" t="n"/>
      <c r="M77" s="20" t="n"/>
      <c r="N77" s="21" t="n"/>
      <c r="O77" s="21" t="n">
        <v>45</v>
      </c>
      <c r="P77" s="20" t="inlineStr">
        <is>
          <t>VHB</t>
        </is>
      </c>
      <c r="Q77" s="22">
        <f>I77*O77</f>
        <v/>
      </c>
      <c r="R77" s="16" t="inlineStr">
        <is>
          <t>nur Abholung</t>
        </is>
      </c>
      <c r="S77" s="16" t="inlineStr">
        <is>
          <t>F-075</t>
        </is>
      </c>
      <c r="T77" s="20" t="inlineStr">
        <is>
          <t>verfügbar</t>
        </is>
      </c>
      <c r="U77" s="20" t="inlineStr">
        <is>
          <t>Klinik</t>
        </is>
      </c>
      <c r="V77" s="20" t="n"/>
      <c r="W77" s="21" t="n"/>
      <c r="X77" s="22">
        <f>IF(H77="","",H77*W77)</f>
        <v/>
      </c>
      <c r="Y77" s="20" t="n"/>
      <c r="Z77" s="20" t="n"/>
      <c r="AA77" s="20" t="n"/>
      <c r="AB77" s="20" t="n"/>
      <c r="AC77" s="20" t="n"/>
      <c r="AD77" s="20" t="n"/>
      <c r="AE77" s="17" t="inlineStr">
        <is>
          <t>1 Stück im Bild</t>
        </is>
      </c>
      <c r="AF77" s="23" t="n"/>
    </row>
    <row r="78" ht="30" customHeight="1">
      <c r="A78" s="16" t="inlineStr">
        <is>
          <t>K-076</t>
        </is>
      </c>
      <c r="B78" s="16" t="inlineStr">
        <is>
          <t>Tretmülleimer 30 l</t>
        </is>
      </c>
      <c r="C78" s="17" t="inlineStr">
        <is>
          <t>Brabantia, schwarz, 30 Liter</t>
        </is>
      </c>
      <c r="D78" s="16" t="inlineStr">
        <is>
          <t>Sonstiges</t>
        </is>
      </c>
      <c r="E78" s="16" t="inlineStr">
        <is>
          <t>Flur</t>
        </is>
      </c>
      <c r="F78" s="16" t="inlineStr">
        <is>
          <t>C</t>
        </is>
      </c>
      <c r="G78" s="18" t="n">
        <v>1</v>
      </c>
      <c r="H78" s="18" t="n"/>
      <c r="I78" s="19">
        <f>G78-IF(H78="",0,H78)</f>
        <v/>
      </c>
      <c r="J78" s="16" t="inlineStr">
        <is>
          <t>Stück</t>
        </is>
      </c>
      <c r="K78" s="16" t="inlineStr">
        <is>
          <t>gut</t>
        </is>
      </c>
      <c r="L78" s="20" t="n"/>
      <c r="M78" s="20" t="n"/>
      <c r="N78" s="21" t="n"/>
      <c r="O78" s="21" t="n">
        <v>60</v>
      </c>
      <c r="P78" s="20" t="inlineStr">
        <is>
          <t>VHB</t>
        </is>
      </c>
      <c r="Q78" s="22">
        <f>I78*O78</f>
        <v/>
      </c>
      <c r="R78" s="16" t="inlineStr">
        <is>
          <t>Versand möglich</t>
        </is>
      </c>
      <c r="S78" s="16" t="inlineStr">
        <is>
          <t>F-075</t>
        </is>
      </c>
      <c r="T78" s="20" t="inlineStr">
        <is>
          <t>verfügbar</t>
        </is>
      </c>
      <c r="U78" s="20" t="inlineStr">
        <is>
          <t>Klinik</t>
        </is>
      </c>
      <c r="V78" s="20" t="n"/>
      <c r="W78" s="21" t="n"/>
      <c r="X78" s="22">
        <f>IF(H78="","",H78*W78)</f>
        <v/>
      </c>
      <c r="Y78" s="20" t="n"/>
      <c r="Z78" s="20" t="n"/>
      <c r="AA78" s="20" t="n"/>
      <c r="AB78" s="20" t="n"/>
      <c r="AC78" s="20" t="n"/>
      <c r="AD78" s="20" t="n"/>
      <c r="AE78" s="17" t="inlineStr">
        <is>
          <t>1 Stück im Bild</t>
        </is>
      </c>
      <c r="AF78" s="23" t="n"/>
    </row>
    <row r="79" ht="30" customHeight="1">
      <c r="A79" s="16" t="inlineStr">
        <is>
          <t>K-077</t>
        </is>
      </c>
      <c r="B79" s="16" t="inlineStr">
        <is>
          <t>Wandgestell Holz mit Schnüren</t>
        </is>
      </c>
      <c r="C79" s="17" t="inlineStr">
        <is>
          <t>Holzrahmen mit gespannten Schnüren und Wäscheklammern zum Aufhängen von Bildern</t>
        </is>
      </c>
      <c r="D79" s="16" t="inlineStr">
        <is>
          <t>Kita-Ausstattung</t>
        </is>
      </c>
      <c r="E79" s="16" t="inlineStr">
        <is>
          <t>Raum 2</t>
        </is>
      </c>
      <c r="F79" s="16" t="inlineStr">
        <is>
          <t>C</t>
        </is>
      </c>
      <c r="G79" s="18" t="n">
        <v>1</v>
      </c>
      <c r="H79" s="18" t="n"/>
      <c r="I79" s="19">
        <f>G79-IF(H79="",0,H79)</f>
        <v/>
      </c>
      <c r="J79" s="16" t="inlineStr">
        <is>
          <t>Stück</t>
        </is>
      </c>
      <c r="K79" s="16" t="inlineStr">
        <is>
          <t>gut</t>
        </is>
      </c>
      <c r="L79" s="20" t="n"/>
      <c r="M79" s="20" t="n"/>
      <c r="N79" s="21" t="n"/>
      <c r="O79" s="21" t="n">
        <v>35</v>
      </c>
      <c r="P79" s="20" t="inlineStr">
        <is>
          <t>VHB</t>
        </is>
      </c>
      <c r="Q79" s="22">
        <f>I79*O79</f>
        <v/>
      </c>
      <c r="R79" s="16" t="inlineStr">
        <is>
          <t>nur Abholung</t>
        </is>
      </c>
      <c r="S79" s="16" t="inlineStr">
        <is>
          <t>F-042</t>
        </is>
      </c>
      <c r="T79" s="20" t="inlineStr">
        <is>
          <t>verfügbar</t>
        </is>
      </c>
      <c r="U79" s="20" t="inlineStr">
        <is>
          <t>Klinik</t>
        </is>
      </c>
      <c r="V79" s="20" t="n"/>
      <c r="W79" s="21" t="n"/>
      <c r="X79" s="22">
        <f>IF(H79="","",H79*W79)</f>
        <v/>
      </c>
      <c r="Y79" s="20" t="n"/>
      <c r="Z79" s="20" t="n"/>
      <c r="AA79" s="20" t="n"/>
      <c r="AB79" s="20" t="n"/>
      <c r="AC79" s="20" t="n"/>
      <c r="AD79" s="20" t="n"/>
      <c r="AE79" s="17" t="inlineStr">
        <is>
          <t>1 Stück im Bild</t>
        </is>
      </c>
      <c r="AF79" s="23" t="n"/>
    </row>
    <row r="80" ht="30" customHeight="1">
      <c r="A80" s="16" t="inlineStr">
        <is>
          <t>K-078</t>
        </is>
      </c>
      <c r="B80" s="16" t="inlineStr">
        <is>
          <t>Designsofa anthrazit</t>
        </is>
      </c>
      <c r="C80" s="17" t="inlineStr">
        <is>
          <t>Geschwungene Form, Wollstoff anthrazit, dunkle Metallbeine, 3-Sitzer</t>
        </is>
      </c>
      <c r="D80" s="16" t="inlineStr">
        <is>
          <t>Möbel</t>
        </is>
      </c>
      <c r="E80" s="16" t="inlineStr">
        <is>
          <t>Raum 2</t>
        </is>
      </c>
      <c r="F80" s="16" t="inlineStr">
        <is>
          <t>A</t>
        </is>
      </c>
      <c r="G80" s="18" t="n">
        <v>1</v>
      </c>
      <c r="H80" s="18" t="n"/>
      <c r="I80" s="19">
        <f>G80-IF(H80="",0,H80)</f>
        <v/>
      </c>
      <c r="J80" s="16" t="inlineStr">
        <is>
          <t>Stück</t>
        </is>
      </c>
      <c r="K80" s="16" t="inlineStr">
        <is>
          <t>gut</t>
        </is>
      </c>
      <c r="L80" s="20" t="n"/>
      <c r="M80" s="20" t="n"/>
      <c r="N80" s="21" t="n"/>
      <c r="O80" s="21" t="n">
        <v>450</v>
      </c>
      <c r="P80" s="20" t="inlineStr">
        <is>
          <t>VHB</t>
        </is>
      </c>
      <c r="Q80" s="22">
        <f>I80*O80</f>
        <v/>
      </c>
      <c r="R80" s="16" t="inlineStr">
        <is>
          <t>nur Abholung</t>
        </is>
      </c>
      <c r="S80" s="16" t="inlineStr">
        <is>
          <t>F-043</t>
        </is>
      </c>
      <c r="T80" s="20" t="inlineStr">
        <is>
          <t>verfügbar</t>
        </is>
      </c>
      <c r="U80" s="20" t="inlineStr">
        <is>
          <t>Klinik</t>
        </is>
      </c>
      <c r="V80" s="20" t="n"/>
      <c r="W80" s="21" t="n"/>
      <c r="X80" s="22">
        <f>IF(H80="","",H80*W80)</f>
        <v/>
      </c>
      <c r="Y80" s="20" t="n"/>
      <c r="Z80" s="20" t="n"/>
      <c r="AA80" s="20" t="n"/>
      <c r="AB80" s="20" t="n"/>
      <c r="AC80" s="20" t="n"/>
      <c r="AD80" s="20" t="n"/>
      <c r="AE80" s="17" t="inlineStr">
        <is>
          <t>1 Sofa im Bild</t>
        </is>
      </c>
      <c r="AF80" s="23" t="n"/>
    </row>
    <row r="81" ht="30" customHeight="1">
      <c r="A81" s="16" t="inlineStr">
        <is>
          <t>K-079</t>
        </is>
      </c>
      <c r="B81" s="16" t="inlineStr">
        <is>
          <t>Deko Metallruten mit Pompons</t>
        </is>
      </c>
      <c r="C81" s="17" t="inlineStr">
        <is>
          <t>Metallruten mit roten Wollbommeln in Birkenstammfuß</t>
        </is>
      </c>
      <c r="D81" s="16" t="inlineStr">
        <is>
          <t>Deko</t>
        </is>
      </c>
      <c r="E81" s="16" t="inlineStr">
        <is>
          <t>Mitarbeiterraum</t>
        </is>
      </c>
      <c r="F81" s="16" t="inlineStr">
        <is>
          <t>C</t>
        </is>
      </c>
      <c r="G81" s="18" t="n">
        <v>2</v>
      </c>
      <c r="H81" s="18" t="n"/>
      <c r="I81" s="19">
        <f>G81-IF(H81="",0,H81)</f>
        <v/>
      </c>
      <c r="J81" s="16" t="inlineStr">
        <is>
          <t>Stück</t>
        </is>
      </c>
      <c r="K81" s="16" t="inlineStr">
        <is>
          <t>gut</t>
        </is>
      </c>
      <c r="L81" s="20" t="n"/>
      <c r="M81" s="20" t="n"/>
      <c r="N81" s="21" t="n"/>
      <c r="O81" s="21" t="n">
        <v>35</v>
      </c>
      <c r="P81" s="20" t="inlineStr">
        <is>
          <t>VHB</t>
        </is>
      </c>
      <c r="Q81" s="22">
        <f>I81*O81</f>
        <v/>
      </c>
      <c r="R81" s="16" t="inlineStr">
        <is>
          <t>nur Abholung</t>
        </is>
      </c>
      <c r="S81" s="16" t="inlineStr">
        <is>
          <t>F-044</t>
        </is>
      </c>
      <c r="T81" s="20" t="inlineStr">
        <is>
          <t>verfügbar</t>
        </is>
      </c>
      <c r="U81" s="20" t="inlineStr">
        <is>
          <t>Klinik</t>
        </is>
      </c>
      <c r="V81" s="20" t="n"/>
      <c r="W81" s="21" t="n"/>
      <c r="X81" s="22">
        <f>IF(H81="","",H81*W81)</f>
        <v/>
      </c>
      <c r="Y81" s="20" t="n"/>
      <c r="Z81" s="20" t="n"/>
      <c r="AA81" s="20" t="n"/>
      <c r="AB81" s="20" t="n"/>
      <c r="AC81" s="20" t="n"/>
      <c r="AD81" s="20" t="n"/>
      <c r="AE81" s="17" t="inlineStr">
        <is>
          <t>2 Stück im Bild</t>
        </is>
      </c>
      <c r="AF81" s="23" t="n"/>
    </row>
    <row r="82" ht="30" customHeight="1">
      <c r="A82" s="16" t="inlineStr">
        <is>
          <t>K-080</t>
        </is>
      </c>
      <c r="B82" s="16" t="inlineStr">
        <is>
          <t>Elefantenfuß groß</t>
        </is>
      </c>
      <c r="C82" s="17" t="inlineStr">
        <is>
          <t>Beaucarnea, große Zimmerpflanze im Topf</t>
        </is>
      </c>
      <c r="D82" s="16" t="inlineStr">
        <is>
          <t>Pflanzen</t>
        </is>
      </c>
      <c r="E82" s="16" t="inlineStr">
        <is>
          <t>Mitarbeiterraum</t>
        </is>
      </c>
      <c r="F82" s="16" t="inlineStr">
        <is>
          <t>C</t>
        </is>
      </c>
      <c r="G82" s="18" t="n">
        <v>1</v>
      </c>
      <c r="H82" s="18" t="n"/>
      <c r="I82" s="19">
        <f>G82-IF(H82="",0,H82)</f>
        <v/>
      </c>
      <c r="J82" s="16" t="inlineStr">
        <is>
          <t>Stück</t>
        </is>
      </c>
      <c r="K82" s="16" t="inlineStr">
        <is>
          <t>gut</t>
        </is>
      </c>
      <c r="L82" s="20" t="n"/>
      <c r="M82" s="20" t="n"/>
      <c r="N82" s="21" t="n"/>
      <c r="O82" s="21" t="n">
        <v>90</v>
      </c>
      <c r="P82" s="20" t="inlineStr">
        <is>
          <t>VHB</t>
        </is>
      </c>
      <c r="Q82" s="22">
        <f>I82*O82</f>
        <v/>
      </c>
      <c r="R82" s="16" t="inlineStr">
        <is>
          <t>nur Abholung</t>
        </is>
      </c>
      <c r="S82" s="16" t="inlineStr">
        <is>
          <t>F-045</t>
        </is>
      </c>
      <c r="T82" s="20" t="inlineStr">
        <is>
          <t>verfügbar</t>
        </is>
      </c>
      <c r="U82" s="20" t="inlineStr">
        <is>
          <t>Klinik</t>
        </is>
      </c>
      <c r="V82" s="20" t="n"/>
      <c r="W82" s="21" t="n"/>
      <c r="X82" s="22">
        <f>IF(H82="","",H82*W82)</f>
        <v/>
      </c>
      <c r="Y82" s="20" t="n"/>
      <c r="Z82" s="20" t="n"/>
      <c r="AA82" s="20" t="n"/>
      <c r="AB82" s="20" t="n"/>
      <c r="AC82" s="20" t="n"/>
      <c r="AD82" s="20" t="n"/>
      <c r="AE82" s="17" t="inlineStr">
        <is>
          <t>1 Pflanze im Bild</t>
        </is>
      </c>
      <c r="AF82" s="23" t="n"/>
    </row>
    <row r="83" ht="30" customHeight="1">
      <c r="A83" s="16" t="inlineStr">
        <is>
          <t>K-081</t>
        </is>
      </c>
      <c r="B83" s="16" t="inlineStr">
        <is>
          <t>Clivie im Topf</t>
        </is>
      </c>
      <c r="C83" s="17" t="inlineStr">
        <is>
          <t>Klivie, Zimmerpflanze</t>
        </is>
      </c>
      <c r="D83" s="16" t="inlineStr">
        <is>
          <t>Pflanzen</t>
        </is>
      </c>
      <c r="E83" s="16" t="inlineStr">
        <is>
          <t>Mitarbeiterraum</t>
        </is>
      </c>
      <c r="F83" s="16" t="inlineStr">
        <is>
          <t>C</t>
        </is>
      </c>
      <c r="G83" s="18" t="n">
        <v>1</v>
      </c>
      <c r="H83" s="18" t="n"/>
      <c r="I83" s="19">
        <f>G83-IF(H83="",0,H83)</f>
        <v/>
      </c>
      <c r="J83" s="16" t="inlineStr">
        <is>
          <t>Stück</t>
        </is>
      </c>
      <c r="K83" s="16" t="inlineStr">
        <is>
          <t>gut</t>
        </is>
      </c>
      <c r="L83" s="20" t="n"/>
      <c r="M83" s="20" t="n"/>
      <c r="N83" s="21" t="n"/>
      <c r="O83" s="21" t="n">
        <v>30</v>
      </c>
      <c r="P83" s="20" t="inlineStr">
        <is>
          <t>VHB</t>
        </is>
      </c>
      <c r="Q83" s="22">
        <f>I83*O83</f>
        <v/>
      </c>
      <c r="R83" s="16" t="inlineStr">
        <is>
          <t>nur Abholung</t>
        </is>
      </c>
      <c r="S83" s="16" t="inlineStr">
        <is>
          <t>F-045</t>
        </is>
      </c>
      <c r="T83" s="20" t="inlineStr">
        <is>
          <t>verfügbar</t>
        </is>
      </c>
      <c r="U83" s="20" t="inlineStr">
        <is>
          <t>Klinik</t>
        </is>
      </c>
      <c r="V83" s="20" t="n"/>
      <c r="W83" s="21" t="n"/>
      <c r="X83" s="22">
        <f>IF(H83="","",H83*W83)</f>
        <v/>
      </c>
      <c r="Y83" s="20" t="n"/>
      <c r="Z83" s="20" t="n"/>
      <c r="AA83" s="20" t="n"/>
      <c r="AB83" s="20" t="n"/>
      <c r="AC83" s="20" t="n"/>
      <c r="AD83" s="20" t="n"/>
      <c r="AE83" s="17" t="inlineStr">
        <is>
          <t>1 Pflanze im Bild</t>
        </is>
      </c>
      <c r="AF83" s="23" t="n"/>
    </row>
    <row r="84" ht="30" customHeight="1">
      <c r="A84" s="16" t="inlineStr">
        <is>
          <t>K-082</t>
        </is>
      </c>
      <c r="B84" s="16" t="inlineStr">
        <is>
          <t>Werte-Rad</t>
        </is>
      </c>
      <c r="C84" s="17" t="inlineStr">
        <is>
          <t>Drehbares Holzrad zur Visualisierung von Leitwerten, Eigenbau</t>
        </is>
      </c>
      <c r="D84" s="16" t="inlineStr">
        <is>
          <t>Kita-Ausstattung</t>
        </is>
      </c>
      <c r="E84" s="16" t="inlineStr">
        <is>
          <t>Mitarbeiterraum</t>
        </is>
      </c>
      <c r="F84" s="16" t="inlineStr">
        <is>
          <t>C</t>
        </is>
      </c>
      <c r="G84" s="18" t="n">
        <v>1</v>
      </c>
      <c r="H84" s="18" t="n"/>
      <c r="I84" s="19">
        <f>G84-IF(H84="",0,H84)</f>
        <v/>
      </c>
      <c r="J84" s="16" t="inlineStr">
        <is>
          <t>Stück</t>
        </is>
      </c>
      <c r="K84" s="16" t="inlineStr">
        <is>
          <t>gut</t>
        </is>
      </c>
      <c r="L84" s="20" t="n"/>
      <c r="M84" s="20" t="n"/>
      <c r="N84" s="21" t="n"/>
      <c r="O84" s="21" t="n">
        <v>40</v>
      </c>
      <c r="P84" s="20" t="inlineStr">
        <is>
          <t>VHB</t>
        </is>
      </c>
      <c r="Q84" s="22">
        <f>I84*O84</f>
        <v/>
      </c>
      <c r="R84" s="16" t="inlineStr">
        <is>
          <t>nur Abholung</t>
        </is>
      </c>
      <c r="S84" s="16" t="inlineStr">
        <is>
          <t>F-046</t>
        </is>
      </c>
      <c r="T84" s="20" t="inlineStr">
        <is>
          <t>verfügbar</t>
        </is>
      </c>
      <c r="U84" s="20" t="inlineStr">
        <is>
          <t>Klinik</t>
        </is>
      </c>
      <c r="V84" s="20" t="n"/>
      <c r="W84" s="21" t="n"/>
      <c r="X84" s="22">
        <f>IF(H84="","",H84*W84)</f>
        <v/>
      </c>
      <c r="Y84" s="20" t="n"/>
      <c r="Z84" s="20" t="n"/>
      <c r="AA84" s="20" t="n"/>
      <c r="AB84" s="20" t="n"/>
      <c r="AC84" s="20" t="n"/>
      <c r="AD84" s="20" t="n"/>
      <c r="AE84" s="17" t="inlineStr">
        <is>
          <t>1 Stück im Bild</t>
        </is>
      </c>
      <c r="AF84" s="23" t="n"/>
    </row>
    <row r="85" ht="30" customHeight="1">
      <c r="A85" s="16" t="inlineStr">
        <is>
          <t>K-083</t>
        </is>
      </c>
      <c r="B85" s="16" t="inlineStr">
        <is>
          <t>USM Haller Tisch</t>
        </is>
      </c>
      <c r="C85" s="17" t="inlineStr">
        <is>
          <t>USM Haller, weiße Tischplatte, verchromtes Rohrgestell mit Kugelverbindern, ca. 200 x 100 cm</t>
        </is>
      </c>
      <c r="D85" s="16" t="inlineStr">
        <is>
          <t>Designmöbel</t>
        </is>
      </c>
      <c r="E85" s="16" t="inlineStr">
        <is>
          <t>Mitarbeiterraum</t>
        </is>
      </c>
      <c r="F85" s="16" t="inlineStr">
        <is>
          <t>A</t>
        </is>
      </c>
      <c r="G85" s="18" t="n">
        <v>1</v>
      </c>
      <c r="H85" s="18" t="n"/>
      <c r="I85" s="19">
        <f>G85-IF(H85="",0,H85)</f>
        <v/>
      </c>
      <c r="J85" s="16" t="inlineStr">
        <is>
          <t>Stück</t>
        </is>
      </c>
      <c r="K85" s="16" t="inlineStr">
        <is>
          <t>gut</t>
        </is>
      </c>
      <c r="L85" s="20" t="n"/>
      <c r="M85" s="20" t="n"/>
      <c r="N85" s="21" t="n"/>
      <c r="O85" s="21" t="n">
        <v>900</v>
      </c>
      <c r="P85" s="20" t="inlineStr">
        <is>
          <t>VHB</t>
        </is>
      </c>
      <c r="Q85" s="22">
        <f>I85*O85</f>
        <v/>
      </c>
      <c r="R85" s="16" t="inlineStr">
        <is>
          <t>nur Abholung</t>
        </is>
      </c>
      <c r="S85" s="16" t="inlineStr">
        <is>
          <t>F-047</t>
        </is>
      </c>
      <c r="T85" s="20" t="inlineStr">
        <is>
          <t>verfügbar</t>
        </is>
      </c>
      <c r="U85" s="20" t="inlineStr">
        <is>
          <t>Klinik</t>
        </is>
      </c>
      <c r="V85" s="20" t="n"/>
      <c r="W85" s="21" t="n"/>
      <c r="X85" s="22">
        <f>IF(H85="","",H85*W85)</f>
        <v/>
      </c>
      <c r="Y85" s="20" t="n"/>
      <c r="Z85" s="20" t="n"/>
      <c r="AA85" s="20" t="n"/>
      <c r="AB85" s="20" t="n"/>
      <c r="AC85" s="20" t="n"/>
      <c r="AD85" s="20" t="n"/>
      <c r="AE85" s="17" t="inlineStr">
        <is>
          <t>1 Tisch im Bild</t>
        </is>
      </c>
      <c r="AF85" s="23" t="n"/>
    </row>
    <row r="86" ht="30" customHeight="1">
      <c r="A86" s="16" t="inlineStr">
        <is>
          <t>K-084</t>
        </is>
      </c>
      <c r="B86" s="16" t="inlineStr">
        <is>
          <t>Kartell Masters Stuhl</t>
        </is>
      </c>
      <c r="C86" s="17" t="inlineStr">
        <is>
          <t>Kartell Masters, Design Philippe Starck, schwarz</t>
        </is>
      </c>
      <c r="D86" s="16" t="inlineStr">
        <is>
          <t>Designmöbel</t>
        </is>
      </c>
      <c r="E86" s="16" t="inlineStr">
        <is>
          <t>Mitarbeiterraum</t>
        </is>
      </c>
      <c r="F86" s="16" t="inlineStr">
        <is>
          <t>A</t>
        </is>
      </c>
      <c r="G86" s="18" t="n">
        <v>6</v>
      </c>
      <c r="H86" s="18" t="n"/>
      <c r="I86" s="19">
        <f>G86-IF(H86="",0,H86)</f>
        <v/>
      </c>
      <c r="J86" s="16" t="inlineStr">
        <is>
          <t>Stück</t>
        </is>
      </c>
      <c r="K86" s="16" t="inlineStr">
        <is>
          <t>gut</t>
        </is>
      </c>
      <c r="L86" s="20" t="n"/>
      <c r="M86" s="20" t="n"/>
      <c r="N86" s="21" t="n"/>
      <c r="O86" s="21" t="n">
        <v>120</v>
      </c>
      <c r="P86" s="20" t="inlineStr">
        <is>
          <t>VHB</t>
        </is>
      </c>
      <c r="Q86" s="22">
        <f>I86*O86</f>
        <v/>
      </c>
      <c r="R86" s="16" t="inlineStr">
        <is>
          <t>Versand möglich</t>
        </is>
      </c>
      <c r="S86" s="16" t="inlineStr">
        <is>
          <t>F-048</t>
        </is>
      </c>
      <c r="T86" s="20" t="inlineStr">
        <is>
          <t>verfügbar</t>
        </is>
      </c>
      <c r="U86" s="20" t="inlineStr">
        <is>
          <t>Klinik</t>
        </is>
      </c>
      <c r="V86" s="20" t="n"/>
      <c r="W86" s="21" t="n"/>
      <c r="X86" s="22">
        <f>IF(H86="","",H86*W86)</f>
        <v/>
      </c>
      <c r="Y86" s="20" t="n"/>
      <c r="Z86" s="20" t="n"/>
      <c r="AA86" s="20" t="n"/>
      <c r="AB86" s="20" t="n"/>
      <c r="AC86" s="20" t="n"/>
      <c r="AD86" s="20" t="n"/>
      <c r="AE86" s="17" t="inlineStr">
        <is>
          <t>mindestens 6 Stück erkennbar - bitte nachzählen</t>
        </is>
      </c>
      <c r="AF86" s="23" t="n"/>
    </row>
    <row r="87" ht="30" customHeight="1">
      <c r="A87" s="16" t="inlineStr">
        <is>
          <t>K-085</t>
        </is>
      </c>
      <c r="B87" s="16" t="inlineStr">
        <is>
          <t>Ast-Mobile mit Papierwaben</t>
        </is>
      </c>
      <c r="C87" s="17" t="inlineStr">
        <is>
          <t>Deko-Mobile: Birkenast mit Papierwaben, Sternen und Filzhäusern</t>
        </is>
      </c>
      <c r="D87" s="16" t="inlineStr">
        <is>
          <t>Deko</t>
        </is>
      </c>
      <c r="E87" s="16" t="inlineStr">
        <is>
          <t>WC</t>
        </is>
      </c>
      <c r="F87" s="16" t="inlineStr">
        <is>
          <t>C</t>
        </is>
      </c>
      <c r="G87" s="18" t="n">
        <v>1</v>
      </c>
      <c r="H87" s="18" t="n"/>
      <c r="I87" s="19">
        <f>G87-IF(H87="",0,H87)</f>
        <v/>
      </c>
      <c r="J87" s="16" t="inlineStr">
        <is>
          <t>Stück</t>
        </is>
      </c>
      <c r="K87" s="16" t="inlineStr">
        <is>
          <t>gut</t>
        </is>
      </c>
      <c r="L87" s="20" t="n"/>
      <c r="M87" s="20" t="n"/>
      <c r="N87" s="21" t="n"/>
      <c r="O87" s="21" t="n">
        <v>30</v>
      </c>
      <c r="P87" s="20" t="inlineStr">
        <is>
          <t>VHB</t>
        </is>
      </c>
      <c r="Q87" s="22">
        <f>I87*O87</f>
        <v/>
      </c>
      <c r="R87" s="16" t="inlineStr">
        <is>
          <t>nur Abholung</t>
        </is>
      </c>
      <c r="S87" s="16" t="inlineStr">
        <is>
          <t>F-055</t>
        </is>
      </c>
      <c r="T87" s="20" t="inlineStr">
        <is>
          <t>verfügbar</t>
        </is>
      </c>
      <c r="U87" s="20" t="inlineStr">
        <is>
          <t>Klinik</t>
        </is>
      </c>
      <c r="V87" s="20" t="n"/>
      <c r="W87" s="21" t="n"/>
      <c r="X87" s="22">
        <f>IF(H87="","",H87*W87)</f>
        <v/>
      </c>
      <c r="Y87" s="20" t="n"/>
      <c r="Z87" s="20" t="n"/>
      <c r="AA87" s="20" t="n"/>
      <c r="AB87" s="20" t="n"/>
      <c r="AC87" s="20" t="n"/>
      <c r="AD87" s="20" t="n"/>
      <c r="AE87" s="17" t="inlineStr">
        <is>
          <t>1 Mobile im Bild</t>
        </is>
      </c>
      <c r="AF87" s="23" t="n"/>
    </row>
    <row r="88" ht="30" customHeight="1">
      <c r="A88" s="16" t="inlineStr">
        <is>
          <t>K-086</t>
        </is>
      </c>
      <c r="B88" s="16" t="inlineStr">
        <is>
          <t>Glastisch rund mit Chromgestell</t>
        </is>
      </c>
      <c r="C88" s="17" t="inlineStr">
        <is>
          <t>Runde Glasplatte teilsatiniert, Chromgestell</t>
        </is>
      </c>
      <c r="D88" s="16" t="inlineStr">
        <is>
          <t>Möbel</t>
        </is>
      </c>
      <c r="E88" s="16" t="inlineStr">
        <is>
          <t>Mitarbeiter-Ruheraum</t>
        </is>
      </c>
      <c r="F88" s="16" t="inlineStr">
        <is>
          <t>B</t>
        </is>
      </c>
      <c r="G88" s="18" t="n">
        <v>1</v>
      </c>
      <c r="H88" s="18" t="n"/>
      <c r="I88" s="19">
        <f>G88-IF(H88="",0,H88)</f>
        <v/>
      </c>
      <c r="J88" s="16" t="inlineStr">
        <is>
          <t>Stück</t>
        </is>
      </c>
      <c r="K88" s="16" t="inlineStr">
        <is>
          <t>gut</t>
        </is>
      </c>
      <c r="L88" s="20" t="n"/>
      <c r="M88" s="20" t="n"/>
      <c r="N88" s="21" t="n"/>
      <c r="O88" s="21" t="n">
        <v>90</v>
      </c>
      <c r="P88" s="20" t="inlineStr">
        <is>
          <t>VHB</t>
        </is>
      </c>
      <c r="Q88" s="22">
        <f>I88*O88</f>
        <v/>
      </c>
      <c r="R88" s="16" t="inlineStr">
        <is>
          <t>nur Abholung</t>
        </is>
      </c>
      <c r="S88" s="16" t="inlineStr">
        <is>
          <t>F-057</t>
        </is>
      </c>
      <c r="T88" s="20" t="inlineStr">
        <is>
          <t>verfügbar</t>
        </is>
      </c>
      <c r="U88" s="20" t="inlineStr">
        <is>
          <t>Klinik</t>
        </is>
      </c>
      <c r="V88" s="20" t="n"/>
      <c r="W88" s="21" t="n"/>
      <c r="X88" s="22">
        <f>IF(H88="","",H88*W88)</f>
        <v/>
      </c>
      <c r="Y88" s="20" t="n"/>
      <c r="Z88" s="20" t="n"/>
      <c r="AA88" s="20" t="n"/>
      <c r="AB88" s="20" t="n"/>
      <c r="AC88" s="20" t="n"/>
      <c r="AD88" s="20" t="n"/>
      <c r="AE88" s="17" t="inlineStr">
        <is>
          <t>1 Tisch im Bild</t>
        </is>
      </c>
      <c r="AF88" s="23" t="n"/>
    </row>
    <row r="89" ht="30" customHeight="1">
      <c r="A89" s="16" t="inlineStr">
        <is>
          <t>K-087</t>
        </is>
      </c>
      <c r="B89" s="16" t="inlineStr">
        <is>
          <t>Samtsofa bordeaux, 2-Sitzer</t>
        </is>
      </c>
      <c r="C89" s="17" t="inlineStr">
        <is>
          <t>Samtbezug dunkelrot, gesteppte Rückenlehne, dunkle Holzbeine</t>
        </is>
      </c>
      <c r="D89" s="16" t="inlineStr">
        <is>
          <t>Möbel</t>
        </is>
      </c>
      <c r="E89" s="16" t="inlineStr">
        <is>
          <t>Mitarbeiter-Ruheraum</t>
        </is>
      </c>
      <c r="F89" s="16" t="inlineStr">
        <is>
          <t>B</t>
        </is>
      </c>
      <c r="G89" s="18" t="n">
        <v>1</v>
      </c>
      <c r="H89" s="18" t="n"/>
      <c r="I89" s="19">
        <f>G89-IF(H89="",0,H89)</f>
        <v/>
      </c>
      <c r="J89" s="16" t="inlineStr">
        <is>
          <t>Stück</t>
        </is>
      </c>
      <c r="K89" s="16" t="inlineStr">
        <is>
          <t>gut</t>
        </is>
      </c>
      <c r="L89" s="20" t="n"/>
      <c r="M89" s="20" t="n"/>
      <c r="N89" s="21" t="n"/>
      <c r="O89" s="21" t="n">
        <v>220</v>
      </c>
      <c r="P89" s="20" t="inlineStr">
        <is>
          <t>VHB</t>
        </is>
      </c>
      <c r="Q89" s="22">
        <f>I89*O89</f>
        <v/>
      </c>
      <c r="R89" s="16" t="inlineStr">
        <is>
          <t>nur Abholung</t>
        </is>
      </c>
      <c r="S89" s="16" t="inlineStr">
        <is>
          <t>F-058</t>
        </is>
      </c>
      <c r="T89" s="20" t="inlineStr">
        <is>
          <t>verfügbar</t>
        </is>
      </c>
      <c r="U89" s="20" t="inlineStr">
        <is>
          <t>Klinik</t>
        </is>
      </c>
      <c r="V89" s="20" t="n"/>
      <c r="W89" s="21" t="n"/>
      <c r="X89" s="22">
        <f>IF(H89="","",H89*W89)</f>
        <v/>
      </c>
      <c r="Y89" s="20" t="n"/>
      <c r="Z89" s="20" t="n"/>
      <c r="AA89" s="20" t="n"/>
      <c r="AB89" s="20" t="n"/>
      <c r="AC89" s="20" t="n"/>
      <c r="AD89" s="20" t="n"/>
      <c r="AE89" s="17" t="inlineStr">
        <is>
          <t>1 Sofa im Bild</t>
        </is>
      </c>
      <c r="AF89" s="23" t="n"/>
    </row>
    <row r="90" ht="30" customHeight="1">
      <c r="A90" s="16" t="inlineStr">
        <is>
          <t>K-088</t>
        </is>
      </c>
      <c r="B90" s="16" t="inlineStr">
        <is>
          <t>Bogenlampe Chrom</t>
        </is>
      </c>
      <c r="C90" s="17" t="inlineStr">
        <is>
          <t>Bogenleuchte, Chromgestell, weißer Kunststoffschirm</t>
        </is>
      </c>
      <c r="D90" s="16" t="inlineStr">
        <is>
          <t>Leuchten</t>
        </is>
      </c>
      <c r="E90" s="16" t="inlineStr">
        <is>
          <t>Mitarbeiter-Ruheraum</t>
        </is>
      </c>
      <c r="F90" s="16" t="inlineStr">
        <is>
          <t>B</t>
        </is>
      </c>
      <c r="G90" s="18" t="n">
        <v>1</v>
      </c>
      <c r="H90" s="18" t="n"/>
      <c r="I90" s="19">
        <f>G90-IF(H90="",0,H90)</f>
        <v/>
      </c>
      <c r="J90" s="16" t="inlineStr">
        <is>
          <t>Stück</t>
        </is>
      </c>
      <c r="K90" s="16" t="inlineStr">
        <is>
          <t>gut</t>
        </is>
      </c>
      <c r="L90" s="20" t="n"/>
      <c r="M90" s="20" t="n"/>
      <c r="N90" s="21" t="n"/>
      <c r="O90" s="21" t="n">
        <v>130</v>
      </c>
      <c r="P90" s="20" t="inlineStr">
        <is>
          <t>VHB</t>
        </is>
      </c>
      <c r="Q90" s="22">
        <f>I90*O90</f>
        <v/>
      </c>
      <c r="R90" s="16" t="inlineStr">
        <is>
          <t>nur Abholung</t>
        </is>
      </c>
      <c r="S90" s="16" t="inlineStr">
        <is>
          <t>F-059</t>
        </is>
      </c>
      <c r="T90" s="20" t="inlineStr">
        <is>
          <t>verfügbar</t>
        </is>
      </c>
      <c r="U90" s="20" t="inlineStr">
        <is>
          <t>Klinik</t>
        </is>
      </c>
      <c r="V90" s="20" t="n"/>
      <c r="W90" s="21" t="n"/>
      <c r="X90" s="22">
        <f>IF(H90="","",H90*W90)</f>
        <v/>
      </c>
      <c r="Y90" s="20" t="n"/>
      <c r="Z90" s="20" t="n"/>
      <c r="AA90" s="20" t="n"/>
      <c r="AB90" s="20" t="n"/>
      <c r="AC90" s="20" t="n"/>
      <c r="AD90" s="20" t="n"/>
      <c r="AE90" s="17" t="inlineStr">
        <is>
          <t>1 Leuchte im Bild</t>
        </is>
      </c>
      <c r="AF90" s="23" t="n"/>
    </row>
    <row r="91" ht="30" customHeight="1">
      <c r="A91" s="16" t="inlineStr">
        <is>
          <t>K-089</t>
        </is>
      </c>
      <c r="B91" s="16" t="inlineStr">
        <is>
          <t>Sessel mit Bezug, weiß lackiert</t>
        </is>
      </c>
      <c r="C91" s="17" t="inlineStr">
        <is>
          <t>IKEA Poäng, weiß lackiertes Schichtholz, hellgrauer Bezug</t>
        </is>
      </c>
      <c r="D91" s="16" t="inlineStr">
        <is>
          <t>Möbel</t>
        </is>
      </c>
      <c r="E91" s="16" t="inlineStr">
        <is>
          <t>Mitarbeiter-Ruheraum</t>
        </is>
      </c>
      <c r="F91" s="16" t="inlineStr">
        <is>
          <t>C</t>
        </is>
      </c>
      <c r="G91" s="18" t="n">
        <v>1</v>
      </c>
      <c r="H91" s="18" t="n"/>
      <c r="I91" s="19">
        <f>G91-IF(H91="",0,H91)</f>
        <v/>
      </c>
      <c r="J91" s="16" t="inlineStr">
        <is>
          <t>Stück</t>
        </is>
      </c>
      <c r="K91" s="16" t="inlineStr">
        <is>
          <t>gut</t>
        </is>
      </c>
      <c r="L91" s="20" t="n"/>
      <c r="M91" s="20" t="n"/>
      <c r="N91" s="21" t="n"/>
      <c r="O91" s="21" t="n">
        <v>50</v>
      </c>
      <c r="P91" s="20" t="inlineStr">
        <is>
          <t>VHB</t>
        </is>
      </c>
      <c r="Q91" s="22">
        <f>I91*O91</f>
        <v/>
      </c>
      <c r="R91" s="16" t="inlineStr">
        <is>
          <t>nur Abholung</t>
        </is>
      </c>
      <c r="S91" s="16" t="inlineStr">
        <is>
          <t>F-060</t>
        </is>
      </c>
      <c r="T91" s="20" t="inlineStr">
        <is>
          <t>verfügbar</t>
        </is>
      </c>
      <c r="U91" s="20" t="inlineStr">
        <is>
          <t>Klinik</t>
        </is>
      </c>
      <c r="V91" s="20" t="n"/>
      <c r="W91" s="21" t="n"/>
      <c r="X91" s="22">
        <f>IF(H91="","",H91*W91)</f>
        <v/>
      </c>
      <c r="Y91" s="20" t="n"/>
      <c r="Z91" s="20" t="n"/>
      <c r="AA91" s="20" t="n"/>
      <c r="AB91" s="20" t="n"/>
      <c r="AC91" s="20" t="n"/>
      <c r="AD91" s="20" t="n"/>
      <c r="AE91" s="17" t="inlineStr">
        <is>
          <t>1 Sessel im Bild</t>
        </is>
      </c>
      <c r="AF91" s="23" t="n"/>
    </row>
    <row r="92" ht="30" customHeight="1">
      <c r="A92" s="16" t="inlineStr">
        <is>
          <t>K-090</t>
        </is>
      </c>
      <c r="B92" s="16" t="inlineStr">
        <is>
          <t>Hocker grau mit Hairpin-Beinen</t>
        </is>
      </c>
      <c r="C92" s="17" t="inlineStr">
        <is>
          <t>Runder Polsterhocker grau, schwarze Hairpin-Beine, mit Stauraum</t>
        </is>
      </c>
      <c r="D92" s="16" t="inlineStr">
        <is>
          <t>Möbel</t>
        </is>
      </c>
      <c r="E92" s="16" t="inlineStr">
        <is>
          <t>Mitarbeiter-Ruheraum</t>
        </is>
      </c>
      <c r="F92" s="16" t="inlineStr">
        <is>
          <t>C</t>
        </is>
      </c>
      <c r="G92" s="18" t="n">
        <v>1</v>
      </c>
      <c r="H92" s="18" t="n"/>
      <c r="I92" s="19">
        <f>G92-IF(H92="",0,H92)</f>
        <v/>
      </c>
      <c r="J92" s="16" t="inlineStr">
        <is>
          <t>Stück</t>
        </is>
      </c>
      <c r="K92" s="16" t="inlineStr">
        <is>
          <t>gut</t>
        </is>
      </c>
      <c r="L92" s="20" t="n"/>
      <c r="M92" s="20" t="n"/>
      <c r="N92" s="21" t="n"/>
      <c r="O92" s="21" t="n">
        <v>35</v>
      </c>
      <c r="P92" s="20" t="inlineStr">
        <is>
          <t>VHB</t>
        </is>
      </c>
      <c r="Q92" s="22">
        <f>I92*O92</f>
        <v/>
      </c>
      <c r="R92" s="16" t="inlineStr">
        <is>
          <t>Versand möglich</t>
        </is>
      </c>
      <c r="S92" s="16" t="inlineStr">
        <is>
          <t>F-060</t>
        </is>
      </c>
      <c r="T92" s="20" t="inlineStr">
        <is>
          <t>verfügbar</t>
        </is>
      </c>
      <c r="U92" s="20" t="inlineStr">
        <is>
          <t>Klinik</t>
        </is>
      </c>
      <c r="V92" s="20" t="n"/>
      <c r="W92" s="21" t="n"/>
      <c r="X92" s="22">
        <f>IF(H92="","",H92*W92)</f>
        <v/>
      </c>
      <c r="Y92" s="20" t="n"/>
      <c r="Z92" s="20" t="n"/>
      <c r="AA92" s="20" t="n"/>
      <c r="AB92" s="20" t="n"/>
      <c r="AC92" s="20" t="n"/>
      <c r="AD92" s="20" t="n"/>
      <c r="AE92" s="17" t="inlineStr">
        <is>
          <t>1 Stück im Bild</t>
        </is>
      </c>
      <c r="AF92" s="23" t="n"/>
    </row>
    <row r="93" ht="30" customHeight="1">
      <c r="A93" s="16" t="inlineStr">
        <is>
          <t>K-091</t>
        </is>
      </c>
      <c r="B93" s="16" t="inlineStr">
        <is>
          <t>Ohrensessel grau mit Kufengestell</t>
        </is>
      </c>
      <c r="C93" s="17" t="inlineStr">
        <is>
          <t>Polstersessel hellgrau, schwarzes Kufengestell aus Rundstahl</t>
        </is>
      </c>
      <c r="D93" s="16" t="inlineStr">
        <is>
          <t>Möbel</t>
        </is>
      </c>
      <c r="E93" s="16" t="inlineStr">
        <is>
          <t>Mitarbeiter-Ruheraum</t>
        </is>
      </c>
      <c r="F93" s="16" t="inlineStr">
        <is>
          <t>B</t>
        </is>
      </c>
      <c r="G93" s="18" t="n">
        <v>2</v>
      </c>
      <c r="H93" s="18" t="n"/>
      <c r="I93" s="19">
        <f>G93-IF(H93="",0,H93)</f>
        <v/>
      </c>
      <c r="J93" s="16" t="inlineStr">
        <is>
          <t>Stück</t>
        </is>
      </c>
      <c r="K93" s="16" t="inlineStr">
        <is>
          <t>gut</t>
        </is>
      </c>
      <c r="L93" s="20" t="n"/>
      <c r="M93" s="20" t="n"/>
      <c r="N93" s="21" t="n"/>
      <c r="O93" s="21" t="n">
        <v>130</v>
      </c>
      <c r="P93" s="20" t="inlineStr">
        <is>
          <t>VHB</t>
        </is>
      </c>
      <c r="Q93" s="22">
        <f>I93*O93</f>
        <v/>
      </c>
      <c r="R93" s="16" t="inlineStr">
        <is>
          <t>nur Abholung</t>
        </is>
      </c>
      <c r="S93" s="16" t="inlineStr">
        <is>
          <t>F-056</t>
        </is>
      </c>
      <c r="T93" s="20" t="inlineStr">
        <is>
          <t>verfügbar</t>
        </is>
      </c>
      <c r="U93" s="20" t="inlineStr">
        <is>
          <t>Klinik</t>
        </is>
      </c>
      <c r="V93" s="20" t="n"/>
      <c r="W93" s="21" t="n"/>
      <c r="X93" s="22">
        <f>IF(H93="","",H93*W93)</f>
        <v/>
      </c>
      <c r="Y93" s="20" t="n"/>
      <c r="Z93" s="20" t="n"/>
      <c r="AA93" s="20" t="n"/>
      <c r="AB93" s="20" t="n"/>
      <c r="AC93" s="20" t="n"/>
      <c r="AD93" s="20" t="n"/>
      <c r="AE93" s="17" t="inlineStr">
        <is>
          <t>2 Sessel im Bild</t>
        </is>
      </c>
      <c r="AF93" s="23" t="n"/>
    </row>
    <row r="94" ht="30" customHeight="1">
      <c r="A94" s="16" t="inlineStr">
        <is>
          <t>K-092</t>
        </is>
      </c>
      <c r="B94" s="16" t="inlineStr">
        <is>
          <t>Hocker grau, passend</t>
        </is>
      </c>
      <c r="C94" s="17" t="inlineStr">
        <is>
          <t>Polsterhocker hellgrau, schwarzes Kufengestell, passend zu den Sesseln</t>
        </is>
      </c>
      <c r="D94" s="16" t="inlineStr">
        <is>
          <t>Möbel</t>
        </is>
      </c>
      <c r="E94" s="16" t="inlineStr">
        <is>
          <t>Mitarbeiter-Ruheraum</t>
        </is>
      </c>
      <c r="F94" s="16" t="inlineStr">
        <is>
          <t>C</t>
        </is>
      </c>
      <c r="G94" s="18" t="n">
        <v>2</v>
      </c>
      <c r="H94" s="18" t="n"/>
      <c r="I94" s="19">
        <f>G94-IF(H94="",0,H94)</f>
        <v/>
      </c>
      <c r="J94" s="16" t="inlineStr">
        <is>
          <t>Stück</t>
        </is>
      </c>
      <c r="K94" s="16" t="inlineStr">
        <is>
          <t>gut</t>
        </is>
      </c>
      <c r="L94" s="20" t="n"/>
      <c r="M94" s="20" t="n"/>
      <c r="N94" s="21" t="n"/>
      <c r="O94" s="21" t="n">
        <v>45</v>
      </c>
      <c r="P94" s="20" t="inlineStr">
        <is>
          <t>VHB</t>
        </is>
      </c>
      <c r="Q94" s="22">
        <f>I94*O94</f>
        <v/>
      </c>
      <c r="R94" s="16" t="inlineStr">
        <is>
          <t>Versand möglich</t>
        </is>
      </c>
      <c r="S94" s="16" t="inlineStr">
        <is>
          <t>F-056</t>
        </is>
      </c>
      <c r="T94" s="20" t="inlineStr">
        <is>
          <t>verfügbar</t>
        </is>
      </c>
      <c r="U94" s="20" t="inlineStr">
        <is>
          <t>Klinik</t>
        </is>
      </c>
      <c r="V94" s="20" t="n"/>
      <c r="W94" s="21" t="n"/>
      <c r="X94" s="22">
        <f>IF(H94="","",H94*W94)</f>
        <v/>
      </c>
      <c r="Y94" s="20" t="n"/>
      <c r="Z94" s="20" t="n"/>
      <c r="AA94" s="20" t="n"/>
      <c r="AB94" s="20" t="n"/>
      <c r="AC94" s="20" t="n"/>
      <c r="AD94" s="20" t="n"/>
      <c r="AE94" s="17" t="inlineStr">
        <is>
          <t>2 Hocker im Bild</t>
        </is>
      </c>
      <c r="AF94" s="23" t="n"/>
    </row>
    <row r="95" ht="30" customHeight="1">
      <c r="A95" s="16" t="inlineStr">
        <is>
          <t>K-093</t>
        </is>
      </c>
      <c r="B95" s="16" t="inlineStr">
        <is>
          <t>Beistelltisch rund grau</t>
        </is>
      </c>
      <c r="C95" s="17" t="inlineStr">
        <is>
          <t>Runde Platte grau, schwarze Hairpin-Beine</t>
        </is>
      </c>
      <c r="D95" s="16" t="inlineStr">
        <is>
          <t>Möbel</t>
        </is>
      </c>
      <c r="E95" s="16" t="inlineStr">
        <is>
          <t>Mitarbeiter-Ruheraum</t>
        </is>
      </c>
      <c r="F95" s="16" t="inlineStr">
        <is>
          <t>C</t>
        </is>
      </c>
      <c r="G95" s="18" t="n">
        <v>1</v>
      </c>
      <c r="H95" s="18" t="n"/>
      <c r="I95" s="19">
        <f>G95-IF(H95="",0,H95)</f>
        <v/>
      </c>
      <c r="J95" s="16" t="inlineStr">
        <is>
          <t>Stück</t>
        </is>
      </c>
      <c r="K95" s="16" t="inlineStr">
        <is>
          <t>gut</t>
        </is>
      </c>
      <c r="L95" s="20" t="n"/>
      <c r="M95" s="20" t="n"/>
      <c r="N95" s="21" t="n"/>
      <c r="O95" s="21" t="n">
        <v>45</v>
      </c>
      <c r="P95" s="20" t="inlineStr">
        <is>
          <t>VHB</t>
        </is>
      </c>
      <c r="Q95" s="22">
        <f>I95*O95</f>
        <v/>
      </c>
      <c r="R95" s="16" t="inlineStr">
        <is>
          <t>Versand möglich</t>
        </is>
      </c>
      <c r="S95" s="16" t="inlineStr">
        <is>
          <t>F-056</t>
        </is>
      </c>
      <c r="T95" s="20" t="inlineStr">
        <is>
          <t>verfügbar</t>
        </is>
      </c>
      <c r="U95" s="20" t="inlineStr">
        <is>
          <t>Klinik</t>
        </is>
      </c>
      <c r="V95" s="20" t="n"/>
      <c r="W95" s="21" t="n"/>
      <c r="X95" s="22">
        <f>IF(H95="","",H95*W95)</f>
        <v/>
      </c>
      <c r="Y95" s="20" t="n"/>
      <c r="Z95" s="20" t="n"/>
      <c r="AA95" s="20" t="n"/>
      <c r="AB95" s="20" t="n"/>
      <c r="AC95" s="20" t="n"/>
      <c r="AD95" s="20" t="n"/>
      <c r="AE95" s="17" t="inlineStr">
        <is>
          <t>1 Tisch im Bild</t>
        </is>
      </c>
      <c r="AF95" s="23" t="n"/>
    </row>
    <row r="96" ht="30" customHeight="1">
      <c r="A96" s="16" t="inlineStr">
        <is>
          <t>K-094</t>
        </is>
      </c>
      <c r="B96" s="16" t="inlineStr">
        <is>
          <t>Pendelleuchte Drahtgeflecht</t>
        </is>
      </c>
      <c r="C96" s="17" t="inlineStr">
        <is>
          <t>Geometrische Drahtleuchte schwarz, Ikosaederform</t>
        </is>
      </c>
      <c r="D96" s="16" t="inlineStr">
        <is>
          <t>Leuchten</t>
        </is>
      </c>
      <c r="E96" s="16" t="inlineStr">
        <is>
          <t>Mitarbeiter-Ruheraum</t>
        </is>
      </c>
      <c r="F96" s="16" t="inlineStr">
        <is>
          <t>C</t>
        </is>
      </c>
      <c r="G96" s="18" t="n">
        <v>1</v>
      </c>
      <c r="H96" s="18" t="n"/>
      <c r="I96" s="19">
        <f>G96-IF(H96="",0,H96)</f>
        <v/>
      </c>
      <c r="J96" s="16" t="inlineStr">
        <is>
          <t>Stück</t>
        </is>
      </c>
      <c r="K96" s="16" t="inlineStr">
        <is>
          <t>gut</t>
        </is>
      </c>
      <c r="L96" s="20" t="n"/>
      <c r="M96" s="20" t="n"/>
      <c r="N96" s="21" t="n"/>
      <c r="O96" s="21" t="n">
        <v>55</v>
      </c>
      <c r="P96" s="20" t="inlineStr">
        <is>
          <t>VHB</t>
        </is>
      </c>
      <c r="Q96" s="22">
        <f>I96*O96</f>
        <v/>
      </c>
      <c r="R96" s="16" t="inlineStr">
        <is>
          <t>Versand möglich</t>
        </is>
      </c>
      <c r="S96" s="16" t="inlineStr">
        <is>
          <t>F-061</t>
        </is>
      </c>
      <c r="T96" s="20" t="inlineStr">
        <is>
          <t>verfügbar</t>
        </is>
      </c>
      <c r="U96" s="20" t="inlineStr">
        <is>
          <t>Klinik</t>
        </is>
      </c>
      <c r="V96" s="20" t="n"/>
      <c r="W96" s="21" t="n"/>
      <c r="X96" s="22">
        <f>IF(H96="","",H96*W96)</f>
        <v/>
      </c>
      <c r="Y96" s="20" t="n"/>
      <c r="Z96" s="20" t="n"/>
      <c r="AA96" s="20" t="n"/>
      <c r="AB96" s="20" t="n"/>
      <c r="AC96" s="20" t="n"/>
      <c r="AD96" s="20" t="n"/>
      <c r="AE96" s="17" t="inlineStr">
        <is>
          <t>1 Leuchte im Bild</t>
        </is>
      </c>
      <c r="AF96" s="23" t="n"/>
    </row>
    <row r="97" ht="30" customHeight="1">
      <c r="A97" s="16" t="inlineStr">
        <is>
          <t>K-095</t>
        </is>
      </c>
      <c r="B97" s="16" t="inlineStr">
        <is>
          <t>Käfigleuchte mit Holzsockel</t>
        </is>
      </c>
      <c r="C97" s="17" t="inlineStr">
        <is>
          <t>Kleine Tischleuchte, Drahtkäfig auf Holzfuß</t>
        </is>
      </c>
      <c r="D97" s="16" t="inlineStr">
        <is>
          <t>Leuchten</t>
        </is>
      </c>
      <c r="E97" s="16" t="inlineStr">
        <is>
          <t>Mitarbeiter-Ruheraum</t>
        </is>
      </c>
      <c r="F97" s="16" t="inlineStr">
        <is>
          <t>C</t>
        </is>
      </c>
      <c r="G97" s="18" t="n">
        <v>1</v>
      </c>
      <c r="H97" s="18" t="n"/>
      <c r="I97" s="19">
        <f>G97-IF(H97="",0,H97)</f>
        <v/>
      </c>
      <c r="J97" s="16" t="inlineStr">
        <is>
          <t>Stück</t>
        </is>
      </c>
      <c r="K97" s="16" t="inlineStr">
        <is>
          <t>gut</t>
        </is>
      </c>
      <c r="L97" s="20" t="n"/>
      <c r="M97" s="20" t="n"/>
      <c r="N97" s="21" t="n"/>
      <c r="O97" s="21" t="n">
        <v>30</v>
      </c>
      <c r="P97" s="20" t="inlineStr">
        <is>
          <t>VHB</t>
        </is>
      </c>
      <c r="Q97" s="22">
        <f>I97*O97</f>
        <v/>
      </c>
      <c r="R97" s="16" t="inlineStr">
        <is>
          <t>Versand möglich</t>
        </is>
      </c>
      <c r="S97" s="16" t="inlineStr">
        <is>
          <t>F-061</t>
        </is>
      </c>
      <c r="T97" s="20" t="inlineStr">
        <is>
          <t>verfügbar</t>
        </is>
      </c>
      <c r="U97" s="20" t="inlineStr">
        <is>
          <t>Klinik</t>
        </is>
      </c>
      <c r="V97" s="20" t="n"/>
      <c r="W97" s="21" t="n"/>
      <c r="X97" s="22">
        <f>IF(H97="","",H97*W97)</f>
        <v/>
      </c>
      <c r="Y97" s="20" t="n"/>
      <c r="Z97" s="20" t="n"/>
      <c r="AA97" s="20" t="n"/>
      <c r="AB97" s="20" t="n"/>
      <c r="AC97" s="20" t="n"/>
      <c r="AD97" s="20" t="n"/>
      <c r="AE97" s="17" t="inlineStr">
        <is>
          <t>1 Stück im Bild</t>
        </is>
      </c>
      <c r="AF97" s="23" t="n"/>
    </row>
    <row r="98" ht="30" customHeight="1">
      <c r="A98" s="16" t="inlineStr">
        <is>
          <t>K-096</t>
        </is>
      </c>
      <c r="B98" s="16" t="inlineStr">
        <is>
          <t>Regal weiß Hochglanz mit Körben</t>
        </is>
      </c>
      <c r="C98" s="17" t="inlineStr">
        <is>
          <t>IKEA Kallax 4x2, weiß hochglanz, inkl. 6 Rattankörbe</t>
        </is>
      </c>
      <c r="D98" s="16" t="inlineStr">
        <is>
          <t>Möbel</t>
        </is>
      </c>
      <c r="E98" s="16" t="inlineStr">
        <is>
          <t>Dachgeschoss</t>
        </is>
      </c>
      <c r="F98" s="16" t="inlineStr">
        <is>
          <t>B</t>
        </is>
      </c>
      <c r="G98" s="18" t="n">
        <v>1</v>
      </c>
      <c r="H98" s="18" t="n"/>
      <c r="I98" s="19">
        <f>G98-IF(H98="",0,H98)</f>
        <v/>
      </c>
      <c r="J98" s="16" t="inlineStr">
        <is>
          <t>Stück</t>
        </is>
      </c>
      <c r="K98" s="16" t="inlineStr">
        <is>
          <t>gut</t>
        </is>
      </c>
      <c r="L98" s="20" t="n"/>
      <c r="M98" s="20" t="n"/>
      <c r="N98" s="21" t="n"/>
      <c r="O98" s="21" t="n">
        <v>130</v>
      </c>
      <c r="P98" s="20" t="inlineStr">
        <is>
          <t>VHB</t>
        </is>
      </c>
      <c r="Q98" s="22">
        <f>I98*O98</f>
        <v/>
      </c>
      <c r="R98" s="16" t="inlineStr">
        <is>
          <t>nur Abholung</t>
        </is>
      </c>
      <c r="S98" s="16" t="inlineStr">
        <is>
          <t>F-062</t>
        </is>
      </c>
      <c r="T98" s="20" t="inlineStr">
        <is>
          <t>verfügbar</t>
        </is>
      </c>
      <c r="U98" s="20" t="inlineStr">
        <is>
          <t>Klinik</t>
        </is>
      </c>
      <c r="V98" s="20" t="n"/>
      <c r="W98" s="21" t="n"/>
      <c r="X98" s="22">
        <f>IF(H98="","",H98*W98)</f>
        <v/>
      </c>
      <c r="Y98" s="20" t="n"/>
      <c r="Z98" s="20" t="n"/>
      <c r="AA98" s="20" t="n"/>
      <c r="AB98" s="20" t="n"/>
      <c r="AC98" s="20" t="n"/>
      <c r="AD98" s="20" t="n"/>
      <c r="AE98" s="17" t="inlineStr">
        <is>
          <t>1 Regal mit 6 Körben im Bild</t>
        </is>
      </c>
      <c r="AF98" s="23" t="n"/>
    </row>
    <row r="99" ht="30" customHeight="1">
      <c r="A99" s="16" t="inlineStr">
        <is>
          <t>K-097</t>
        </is>
      </c>
      <c r="B99" s="16" t="inlineStr">
        <is>
          <t>Holzkiste Obstkistenoptik</t>
        </is>
      </c>
      <c r="C99" s="17" t="inlineStr">
        <is>
          <t>Alte Holzkiste, unbehandelt, als Aufbewahrung</t>
        </is>
      </c>
      <c r="D99" s="16" t="inlineStr">
        <is>
          <t>Deko</t>
        </is>
      </c>
      <c r="E99" s="16" t="inlineStr">
        <is>
          <t>Dachgeschoss</t>
        </is>
      </c>
      <c r="F99" s="16" t="inlineStr">
        <is>
          <t>C</t>
        </is>
      </c>
      <c r="G99" s="18" t="n">
        <v>1</v>
      </c>
      <c r="H99" s="18" t="n"/>
      <c r="I99" s="19">
        <f>G99-IF(H99="",0,H99)</f>
        <v/>
      </c>
      <c r="J99" s="16" t="inlineStr">
        <is>
          <t>Stück</t>
        </is>
      </c>
      <c r="K99" s="16" t="inlineStr">
        <is>
          <t>gebraucht</t>
        </is>
      </c>
      <c r="L99" s="20" t="n"/>
      <c r="M99" s="20" t="n"/>
      <c r="N99" s="21" t="n"/>
      <c r="O99" s="21" t="n">
        <v>15</v>
      </c>
      <c r="P99" s="20" t="inlineStr">
        <is>
          <t>VHB</t>
        </is>
      </c>
      <c r="Q99" s="22">
        <f>I99*O99</f>
        <v/>
      </c>
      <c r="R99" s="16" t="inlineStr">
        <is>
          <t>Versand möglich</t>
        </is>
      </c>
      <c r="S99" s="16" t="inlineStr">
        <is>
          <t>F-063</t>
        </is>
      </c>
      <c r="T99" s="20" t="inlineStr">
        <is>
          <t>verfügbar</t>
        </is>
      </c>
      <c r="U99" s="20" t="inlineStr">
        <is>
          <t>Klinik</t>
        </is>
      </c>
      <c r="V99" s="20" t="n"/>
      <c r="W99" s="21" t="n"/>
      <c r="X99" s="22">
        <f>IF(H99="","",H99*W99)</f>
        <v/>
      </c>
      <c r="Y99" s="20" t="n"/>
      <c r="Z99" s="20" t="n"/>
      <c r="AA99" s="20" t="n"/>
      <c r="AB99" s="20" t="n"/>
      <c r="AC99" s="20" t="n"/>
      <c r="AD99" s="20" t="n"/>
      <c r="AE99" s="17" t="inlineStr">
        <is>
          <t>1 Stück im Bild</t>
        </is>
      </c>
      <c r="AF99" s="23" t="n"/>
    </row>
    <row r="100" ht="30" customHeight="1">
      <c r="A100" s="16" t="inlineStr">
        <is>
          <t>K-098</t>
        </is>
      </c>
      <c r="B100" s="16" t="inlineStr">
        <is>
          <t>Sessel Birke mit Bezug</t>
        </is>
      </c>
      <c r="C100" s="17" t="inlineStr">
        <is>
          <t>IKEA Poäng, Birke, heller Bezug</t>
        </is>
      </c>
      <c r="D100" s="16" t="inlineStr">
        <is>
          <t>Möbel</t>
        </is>
      </c>
      <c r="E100" s="16" t="inlineStr">
        <is>
          <t>Dachgeschoss</t>
        </is>
      </c>
      <c r="F100" s="16" t="inlineStr">
        <is>
          <t>C</t>
        </is>
      </c>
      <c r="G100" s="18" t="n">
        <v>1</v>
      </c>
      <c r="H100" s="18" t="n"/>
      <c r="I100" s="19">
        <f>G100-IF(H100="",0,H100)</f>
        <v/>
      </c>
      <c r="J100" s="16" t="inlineStr">
        <is>
          <t>Stück</t>
        </is>
      </c>
      <c r="K100" s="16" t="inlineStr">
        <is>
          <t>gebraucht</t>
        </is>
      </c>
      <c r="L100" s="20" t="n"/>
      <c r="M100" s="20" t="n"/>
      <c r="N100" s="21" t="n"/>
      <c r="O100" s="21" t="n">
        <v>45</v>
      </c>
      <c r="P100" s="20" t="inlineStr">
        <is>
          <t>VHB</t>
        </is>
      </c>
      <c r="Q100" s="22">
        <f>I100*O100</f>
        <v/>
      </c>
      <c r="R100" s="16" t="inlineStr">
        <is>
          <t>nur Abholung</t>
        </is>
      </c>
      <c r="S100" s="16" t="inlineStr">
        <is>
          <t>F-063</t>
        </is>
      </c>
      <c r="T100" s="20" t="inlineStr">
        <is>
          <t>verfügbar</t>
        </is>
      </c>
      <c r="U100" s="20" t="inlineStr">
        <is>
          <t>Klinik</t>
        </is>
      </c>
      <c r="V100" s="20" t="n"/>
      <c r="W100" s="21" t="n"/>
      <c r="X100" s="22">
        <f>IF(H100="","",H100*W100)</f>
        <v/>
      </c>
      <c r="Y100" s="20" t="n"/>
      <c r="Z100" s="20" t="n"/>
      <c r="AA100" s="20" t="n"/>
      <c r="AB100" s="20" t="n"/>
      <c r="AC100" s="20" t="n"/>
      <c r="AD100" s="20" t="n"/>
      <c r="AE100" s="17" t="inlineStr">
        <is>
          <t>1 Sessel im Bild</t>
        </is>
      </c>
      <c r="AF100" s="23" t="n"/>
    </row>
    <row r="101" ht="30" customHeight="1">
      <c r="A101" s="16" t="inlineStr">
        <is>
          <t>K-099</t>
        </is>
      </c>
      <c r="B101" s="16" t="inlineStr">
        <is>
          <t>Konvolut Mal- und Bastelfarben</t>
        </is>
      </c>
      <c r="C101" s="17" t="inlineStr">
        <is>
          <t>Finger-, Plakat-, Gouache-, Acryl- und Textilfarben sowie Bastelkleber, teils angebrochen</t>
        </is>
      </c>
      <c r="D101" s="16" t="inlineStr">
        <is>
          <t>Verbrauchsmaterial</t>
        </is>
      </c>
      <c r="E101" s="16" t="inlineStr">
        <is>
          <t>Atelier</t>
        </is>
      </c>
      <c r="F101" s="16" t="inlineStr">
        <is>
          <t>C</t>
        </is>
      </c>
      <c r="G101" s="18" t="n">
        <v>1</v>
      </c>
      <c r="H101" s="18" t="n"/>
      <c r="I101" s="19">
        <f>G101-IF(H101="",0,H101)</f>
        <v/>
      </c>
      <c r="J101" s="16" t="inlineStr">
        <is>
          <t>Konvolut</t>
        </is>
      </c>
      <c r="K101" s="16" t="inlineStr">
        <is>
          <t>gebraucht</t>
        </is>
      </c>
      <c r="L101" s="20" t="n"/>
      <c r="M101" s="20" t="n"/>
      <c r="N101" s="21" t="n"/>
      <c r="O101" s="21" t="n">
        <v>120</v>
      </c>
      <c r="P101" s="20" t="inlineStr">
        <is>
          <t>VHB</t>
        </is>
      </c>
      <c r="Q101" s="22">
        <f>I101*O101</f>
        <v/>
      </c>
      <c r="R101" s="16" t="inlineStr">
        <is>
          <t>nur Abholung</t>
        </is>
      </c>
      <c r="S101" s="16" t="inlineStr">
        <is>
          <t>F-065</t>
        </is>
      </c>
      <c r="T101" s="20" t="inlineStr">
        <is>
          <t>verfügbar</t>
        </is>
      </c>
      <c r="U101" s="20" t="inlineStr">
        <is>
          <t>Klinik</t>
        </is>
      </c>
      <c r="V101" s="20" t="n"/>
      <c r="W101" s="21" t="n"/>
      <c r="X101" s="22">
        <f>IF(H101="","",H101*W101)</f>
        <v/>
      </c>
      <c r="Y101" s="20" t="n"/>
      <c r="Z101" s="20" t="n"/>
      <c r="AA101" s="20" t="n"/>
      <c r="AB101" s="20" t="n"/>
      <c r="AC101" s="20" t="n"/>
      <c r="AD101" s="20" t="n"/>
      <c r="AE101" s="17" t="inlineStr">
        <is>
          <t>mehrere Schrankfächer - Menge bitte vor Ort festlegen</t>
        </is>
      </c>
      <c r="AF101" s="23" t="n"/>
    </row>
    <row r="102" ht="30" customHeight="1">
      <c r="A102" s="16" t="inlineStr">
        <is>
          <t>K-100</t>
        </is>
      </c>
      <c r="B102" s="16" t="inlineStr">
        <is>
          <t>Acrylfarben-Sortiment im Holzkasten</t>
        </is>
      </c>
      <c r="C102" s="17" t="inlineStr">
        <is>
          <t>Sortierkasten mit Acrylfarben in Tuben und Töpfchen</t>
        </is>
      </c>
      <c r="D102" s="16" t="inlineStr">
        <is>
          <t>Verbrauchsmaterial</t>
        </is>
      </c>
      <c r="E102" s="16" t="inlineStr">
        <is>
          <t>Atelier</t>
        </is>
      </c>
      <c r="F102" s="16" t="inlineStr">
        <is>
          <t>C</t>
        </is>
      </c>
      <c r="G102" s="18" t="n">
        <v>1</v>
      </c>
      <c r="H102" s="18" t="n"/>
      <c r="I102" s="19">
        <f>G102-IF(H102="",0,H102)</f>
        <v/>
      </c>
      <c r="J102" s="16" t="inlineStr">
        <is>
          <t>Konvolut</t>
        </is>
      </c>
      <c r="K102" s="16" t="inlineStr">
        <is>
          <t>gut</t>
        </is>
      </c>
      <c r="L102" s="20" t="n"/>
      <c r="M102" s="20" t="n"/>
      <c r="N102" s="21" t="n"/>
      <c r="O102" s="21" t="n">
        <v>60</v>
      </c>
      <c r="P102" s="20" t="inlineStr">
        <is>
          <t>VHB</t>
        </is>
      </c>
      <c r="Q102" s="22">
        <f>I102*O102</f>
        <v/>
      </c>
      <c r="R102" s="16" t="inlineStr">
        <is>
          <t>Versand möglich</t>
        </is>
      </c>
      <c r="S102" s="16" t="inlineStr">
        <is>
          <t>F-069</t>
        </is>
      </c>
      <c r="T102" s="20" t="inlineStr">
        <is>
          <t>verfügbar</t>
        </is>
      </c>
      <c r="U102" s="20" t="inlineStr">
        <is>
          <t>Klinik</t>
        </is>
      </c>
      <c r="V102" s="20" t="n"/>
      <c r="W102" s="21" t="n"/>
      <c r="X102" s="22">
        <f>IF(H102="","",H102*W102)</f>
        <v/>
      </c>
      <c r="Y102" s="20" t="n"/>
      <c r="Z102" s="20" t="n"/>
      <c r="AA102" s="20" t="n"/>
      <c r="AB102" s="20" t="n"/>
      <c r="AC102" s="20" t="n"/>
      <c r="AD102" s="20" t="n"/>
      <c r="AE102" s="17" t="inlineStr">
        <is>
          <t>1 Sortierkasten im Bild</t>
        </is>
      </c>
      <c r="AF102" s="23" t="n"/>
    </row>
    <row r="103" ht="30" customHeight="1">
      <c r="A103" s="16" t="inlineStr">
        <is>
          <t>K-101</t>
        </is>
      </c>
      <c r="B103" s="16" t="inlineStr">
        <is>
          <t>Konvolut Bastelmaterial</t>
        </is>
      </c>
      <c r="C103" s="17" t="inlineStr">
        <is>
          <t>Perlen, Bänder, Glitzer, Holzperlen, Bügelperlen, Schnüre</t>
        </is>
      </c>
      <c r="D103" s="16" t="inlineStr">
        <is>
          <t>Verbrauchsmaterial</t>
        </is>
      </c>
      <c r="E103" s="16" t="inlineStr">
        <is>
          <t>Atelier</t>
        </is>
      </c>
      <c r="F103" s="16" t="inlineStr">
        <is>
          <t>C</t>
        </is>
      </c>
      <c r="G103" s="18" t="n">
        <v>1</v>
      </c>
      <c r="H103" s="18" t="n"/>
      <c r="I103" s="19">
        <f>G103-IF(H103="",0,H103)</f>
        <v/>
      </c>
      <c r="J103" s="16" t="inlineStr">
        <is>
          <t>Konvolut</t>
        </is>
      </c>
      <c r="K103" s="16" t="inlineStr">
        <is>
          <t>gebraucht</t>
        </is>
      </c>
      <c r="L103" s="20" t="n"/>
      <c r="M103" s="20" t="n"/>
      <c r="N103" s="21" t="n"/>
      <c r="O103" s="21" t="n">
        <v>50</v>
      </c>
      <c r="P103" s="20" t="inlineStr">
        <is>
          <t>VHB</t>
        </is>
      </c>
      <c r="Q103" s="22">
        <f>I103*O103</f>
        <v/>
      </c>
      <c r="R103" s="16" t="inlineStr">
        <is>
          <t>nur Abholung</t>
        </is>
      </c>
      <c r="S103" s="16" t="inlineStr">
        <is>
          <t>F-070</t>
        </is>
      </c>
      <c r="T103" s="20" t="inlineStr">
        <is>
          <t>verfügbar</t>
        </is>
      </c>
      <c r="U103" s="20" t="inlineStr">
        <is>
          <t>Klinik</t>
        </is>
      </c>
      <c r="V103" s="20" t="n"/>
      <c r="W103" s="21" t="n"/>
      <c r="X103" s="22">
        <f>IF(H103="","",H103*W103)</f>
        <v/>
      </c>
      <c r="Y103" s="20" t="n"/>
      <c r="Z103" s="20" t="n"/>
      <c r="AA103" s="20" t="n"/>
      <c r="AB103" s="20" t="n"/>
      <c r="AC103" s="20" t="n"/>
      <c r="AD103" s="20" t="n"/>
      <c r="AE103" s="17" t="inlineStr">
        <is>
          <t>2 Regalböden im Bild</t>
        </is>
      </c>
      <c r="AF103" s="23" t="n"/>
    </row>
    <row r="104" ht="30" customHeight="1">
      <c r="A104" s="16" t="inlineStr">
        <is>
          <t>K-102</t>
        </is>
      </c>
      <c r="B104" s="16" t="inlineStr">
        <is>
          <t>Tonkarton-Schrank mit Farbsortierung</t>
        </is>
      </c>
      <c r="C104" s="17" t="inlineStr">
        <is>
          <t>Weißer Schrank mit beschrifteten Fachböden, inkl. vorhandenem Tonpapier/Tonkarton</t>
        </is>
      </c>
      <c r="D104" s="16" t="inlineStr">
        <is>
          <t>Kita-Ausstattung</t>
        </is>
      </c>
      <c r="E104" s="16" t="inlineStr">
        <is>
          <t>Atelier</t>
        </is>
      </c>
      <c r="F104" s="16" t="inlineStr">
        <is>
          <t>B</t>
        </is>
      </c>
      <c r="G104" s="18" t="n">
        <v>1</v>
      </c>
      <c r="H104" s="18" t="n"/>
      <c r="I104" s="19">
        <f>G104-IF(H104="",0,H104)</f>
        <v/>
      </c>
      <c r="J104" s="16" t="inlineStr">
        <is>
          <t>Stück</t>
        </is>
      </c>
      <c r="K104" s="16" t="inlineStr">
        <is>
          <t>gut</t>
        </is>
      </c>
      <c r="L104" s="20" t="n"/>
      <c r="M104" s="20" t="n"/>
      <c r="N104" s="21" t="n"/>
      <c r="O104" s="21" t="n">
        <v>180</v>
      </c>
      <c r="P104" s="20" t="inlineStr">
        <is>
          <t>VHB</t>
        </is>
      </c>
      <c r="Q104" s="22">
        <f>I104*O104</f>
        <v/>
      </c>
      <c r="R104" s="16" t="inlineStr">
        <is>
          <t>nur Abholung</t>
        </is>
      </c>
      <c r="S104" s="16" t="inlineStr">
        <is>
          <t>F-071</t>
        </is>
      </c>
      <c r="T104" s="20" t="inlineStr">
        <is>
          <t>verfügbar</t>
        </is>
      </c>
      <c r="U104" s="20" t="inlineStr">
        <is>
          <t>Klinik</t>
        </is>
      </c>
      <c r="V104" s="20" t="n"/>
      <c r="W104" s="21" t="n"/>
      <c r="X104" s="22">
        <f>IF(H104="","",H104*W104)</f>
        <v/>
      </c>
      <c r="Y104" s="20" t="n"/>
      <c r="Z104" s="20" t="n"/>
      <c r="AA104" s="20" t="n"/>
      <c r="AB104" s="20" t="n"/>
      <c r="AC104" s="20" t="n"/>
      <c r="AD104" s="20" t="n"/>
      <c r="AE104" s="17" t="inlineStr">
        <is>
          <t>1 Schrank inkl. Restbestand Papier</t>
        </is>
      </c>
      <c r="AF104" s="23" t="n"/>
    </row>
    <row r="105" ht="30" customHeight="1">
      <c r="A105" s="16" t="inlineStr">
        <is>
          <t>K-103</t>
        </is>
      </c>
      <c r="B105" s="16" t="inlineStr">
        <is>
          <t>Trachtenfotografie gerahmt, weiß</t>
        </is>
      </c>
      <c r="C105" s="17" t="inlineStr">
        <is>
          <t>Fotodruck im weißen Rahmen, ca. 20 x 25 cm - Kaufware</t>
        </is>
      </c>
      <c r="D105" s="16" t="inlineStr">
        <is>
          <t>Kunst</t>
        </is>
      </c>
      <c r="E105" s="16" t="inlineStr">
        <is>
          <t>Flur UG</t>
        </is>
      </c>
      <c r="F105" s="16" t="inlineStr">
        <is>
          <t>C</t>
        </is>
      </c>
      <c r="G105" s="18" t="n">
        <v>5</v>
      </c>
      <c r="H105" s="18" t="n"/>
      <c r="I105" s="19">
        <f>G105-IF(H105="",0,H105)</f>
        <v/>
      </c>
      <c r="J105" s="16" t="inlineStr">
        <is>
          <t>Stück</t>
        </is>
      </c>
      <c r="K105" s="16" t="inlineStr">
        <is>
          <t>gut</t>
        </is>
      </c>
      <c r="L105" s="20" t="n"/>
      <c r="M105" s="20" t="n"/>
      <c r="N105" s="21" t="n"/>
      <c r="O105" s="21" t="n">
        <v>35</v>
      </c>
      <c r="P105" s="20" t="inlineStr">
        <is>
          <t>VHB</t>
        </is>
      </c>
      <c r="Q105" s="22">
        <f>I105*O105</f>
        <v/>
      </c>
      <c r="R105" s="16" t="inlineStr">
        <is>
          <t>Versand möglich</t>
        </is>
      </c>
      <c r="S105" s="16" t="inlineStr">
        <is>
          <t>F-074</t>
        </is>
      </c>
      <c r="T105" s="20" t="inlineStr">
        <is>
          <t>verfügbar</t>
        </is>
      </c>
      <c r="U105" s="20" t="inlineStr">
        <is>
          <t>Klinik</t>
        </is>
      </c>
      <c r="V105" s="20" t="n"/>
      <c r="W105" s="21" t="n"/>
      <c r="X105" s="22">
        <f>IF(H105="","",H105*W105)</f>
        <v/>
      </c>
      <c r="Y105" s="20" t="n"/>
      <c r="Z105" s="20" t="n"/>
      <c r="AA105" s="20" t="n"/>
      <c r="AB105" s="20" t="n"/>
      <c r="AC105" s="20" t="n"/>
      <c r="AD105" s="20" t="n"/>
      <c r="AE105" s="17" t="inlineStr">
        <is>
          <t>5 Rahmen im Bild</t>
        </is>
      </c>
      <c r="AF105" s="23" t="n"/>
    </row>
    <row r="106" ht="30" customHeight="1">
      <c r="A106" s="16" t="inlineStr">
        <is>
          <t>K-104</t>
        </is>
      </c>
      <c r="B106" s="16" t="inlineStr">
        <is>
          <t>Deko-Pilze Beton auf Holzfuß</t>
        </is>
      </c>
      <c r="C106" s="17" t="inlineStr">
        <is>
          <t>Dekopilze, Betonkopf auf Holzstiel, zwei Größen</t>
        </is>
      </c>
      <c r="D106" s="16" t="inlineStr">
        <is>
          <t>Deko</t>
        </is>
      </c>
      <c r="E106" s="16" t="inlineStr">
        <is>
          <t>Flur UG</t>
        </is>
      </c>
      <c r="F106" s="16" t="inlineStr">
        <is>
          <t>C</t>
        </is>
      </c>
      <c r="G106" s="18" t="n">
        <v>2</v>
      </c>
      <c r="H106" s="18" t="n"/>
      <c r="I106" s="19">
        <f>G106-IF(H106="",0,H106)</f>
        <v/>
      </c>
      <c r="J106" s="16" t="inlineStr">
        <is>
          <t>Stück</t>
        </is>
      </c>
      <c r="K106" s="16" t="inlineStr">
        <is>
          <t>gut</t>
        </is>
      </c>
      <c r="L106" s="20" t="n"/>
      <c r="M106" s="20" t="n"/>
      <c r="N106" s="21" t="n"/>
      <c r="O106" s="21" t="n">
        <v>15</v>
      </c>
      <c r="P106" s="20" t="inlineStr">
        <is>
          <t>VHB</t>
        </is>
      </c>
      <c r="Q106" s="22">
        <f>I106*O106</f>
        <v/>
      </c>
      <c r="R106" s="16" t="inlineStr">
        <is>
          <t>Versand möglich</t>
        </is>
      </c>
      <c r="S106" s="16" t="inlineStr">
        <is>
          <t>F-074</t>
        </is>
      </c>
      <c r="T106" s="20" t="inlineStr">
        <is>
          <t>verfügbar</t>
        </is>
      </c>
      <c r="U106" s="20" t="inlineStr">
        <is>
          <t>Klinik</t>
        </is>
      </c>
      <c r="V106" s="20" t="n"/>
      <c r="W106" s="21" t="n"/>
      <c r="X106" s="22">
        <f>IF(H106="","",H106*W106)</f>
        <v/>
      </c>
      <c r="Y106" s="20" t="n"/>
      <c r="Z106" s="20" t="n"/>
      <c r="AA106" s="20" t="n"/>
      <c r="AB106" s="20" t="n"/>
      <c r="AC106" s="20" t="n"/>
      <c r="AD106" s="20" t="n"/>
      <c r="AE106" s="17" t="inlineStr">
        <is>
          <t>2 Stück im Bild</t>
        </is>
      </c>
      <c r="AF106" s="23" t="n"/>
    </row>
    <row r="107" ht="30" customHeight="1">
      <c r="A107" s="16" t="inlineStr">
        <is>
          <t>K-105</t>
        </is>
      </c>
      <c r="B107" s="16" t="inlineStr">
        <is>
          <t>Leuchtkasten mit Steckbuchstaben</t>
        </is>
      </c>
      <c r="C107" s="17" t="inlineStr">
        <is>
          <t>Lightbox A4 mit Buchstabensatz</t>
        </is>
      </c>
      <c r="D107" s="16" t="inlineStr">
        <is>
          <t>Deko</t>
        </is>
      </c>
      <c r="E107" s="16" t="inlineStr">
        <is>
          <t>Flur UG</t>
        </is>
      </c>
      <c r="F107" s="16" t="inlineStr">
        <is>
          <t>C</t>
        </is>
      </c>
      <c r="G107" s="18" t="n">
        <v>1</v>
      </c>
      <c r="H107" s="18" t="n"/>
      <c r="I107" s="19">
        <f>G107-IF(H107="",0,H107)</f>
        <v/>
      </c>
      <c r="J107" s="16" t="inlineStr">
        <is>
          <t>Stück</t>
        </is>
      </c>
      <c r="K107" s="16" t="inlineStr">
        <is>
          <t>gut</t>
        </is>
      </c>
      <c r="L107" s="20" t="n"/>
      <c r="M107" s="20" t="n"/>
      <c r="N107" s="21" t="n"/>
      <c r="O107" s="21" t="n">
        <v>25</v>
      </c>
      <c r="P107" s="20" t="inlineStr">
        <is>
          <t>VHB</t>
        </is>
      </c>
      <c r="Q107" s="22">
        <f>I107*O107</f>
        <v/>
      </c>
      <c r="R107" s="16" t="inlineStr">
        <is>
          <t>Versand möglich</t>
        </is>
      </c>
      <c r="S107" s="16" t="inlineStr">
        <is>
          <t>F-074</t>
        </is>
      </c>
      <c r="T107" s="20" t="inlineStr">
        <is>
          <t>verfügbar</t>
        </is>
      </c>
      <c r="U107" s="20" t="inlineStr">
        <is>
          <t>Klinik</t>
        </is>
      </c>
      <c r="V107" s="20" t="n"/>
      <c r="W107" s="21" t="n"/>
      <c r="X107" s="22">
        <f>IF(H107="","",H107*W107)</f>
        <v/>
      </c>
      <c r="Y107" s="20" t="n"/>
      <c r="Z107" s="20" t="n"/>
      <c r="AA107" s="20" t="n"/>
      <c r="AB107" s="20" t="n"/>
      <c r="AC107" s="20" t="n"/>
      <c r="AD107" s="20" t="n"/>
      <c r="AE107" s="17" t="inlineStr">
        <is>
          <t>1 Stück im Bild</t>
        </is>
      </c>
      <c r="AF107" s="23" t="n"/>
    </row>
    <row r="108" ht="30" customHeight="1">
      <c r="A108" s="16" t="inlineStr">
        <is>
          <t>K-106</t>
        </is>
      </c>
      <c r="B108" s="16" t="inlineStr">
        <is>
          <t>Trachtenfotografie gerahmt, schwarz</t>
        </is>
      </c>
      <c r="C108" s="17" t="inlineStr">
        <is>
          <t>Fotodruck im schwarzen Rahmen mit Passepartout - Kaufware</t>
        </is>
      </c>
      <c r="D108" s="16" t="inlineStr">
        <is>
          <t>Kunst</t>
        </is>
      </c>
      <c r="E108" s="16" t="inlineStr">
        <is>
          <t>Flur UG</t>
        </is>
      </c>
      <c r="F108" s="16" t="inlineStr">
        <is>
          <t>C</t>
        </is>
      </c>
      <c r="G108" s="18" t="n">
        <v>4</v>
      </c>
      <c r="H108" s="18" t="n"/>
      <c r="I108" s="19">
        <f>G108-IF(H108="",0,H108)</f>
        <v/>
      </c>
      <c r="J108" s="16" t="inlineStr">
        <is>
          <t>Stück</t>
        </is>
      </c>
      <c r="K108" s="16" t="inlineStr">
        <is>
          <t>gut</t>
        </is>
      </c>
      <c r="L108" s="20" t="n"/>
      <c r="M108" s="20" t="n"/>
      <c r="N108" s="21" t="n"/>
      <c r="O108" s="21" t="n">
        <v>35</v>
      </c>
      <c r="P108" s="20" t="inlineStr">
        <is>
          <t>VHB</t>
        </is>
      </c>
      <c r="Q108" s="22">
        <f>I108*O108</f>
        <v/>
      </c>
      <c r="R108" s="16" t="inlineStr">
        <is>
          <t>Versand möglich</t>
        </is>
      </c>
      <c r="S108" s="16" t="inlineStr">
        <is>
          <t>F-075</t>
        </is>
      </c>
      <c r="T108" s="20" t="inlineStr">
        <is>
          <t>verfügbar</t>
        </is>
      </c>
      <c r="U108" s="20" t="inlineStr">
        <is>
          <t>Klinik</t>
        </is>
      </c>
      <c r="V108" s="20" t="n"/>
      <c r="W108" s="21" t="n"/>
      <c r="X108" s="22">
        <f>IF(H108="","",H108*W108)</f>
        <v/>
      </c>
      <c r="Y108" s="20" t="n"/>
      <c r="Z108" s="20" t="n"/>
      <c r="AA108" s="20" t="n"/>
      <c r="AB108" s="20" t="n"/>
      <c r="AC108" s="20" t="n"/>
      <c r="AD108" s="20" t="n"/>
      <c r="AE108" s="17" t="inlineStr">
        <is>
          <t>4 Rahmen im Bild, ggf. mehr</t>
        </is>
      </c>
      <c r="AF108" s="23" t="n"/>
    </row>
    <row r="109" ht="30" customHeight="1">
      <c r="A109" s="16" t="inlineStr">
        <is>
          <t>K-107</t>
        </is>
      </c>
      <c r="B109" s="16" t="inlineStr">
        <is>
          <t>Gemälde Panorama mit Tanne</t>
        </is>
      </c>
      <c r="C109" s="17" t="inlineStr">
        <is>
          <t>Acryl auf Leinwand, Querformat - Eigenarbeit einer Privatperson</t>
        </is>
      </c>
      <c r="D109" s="16" t="inlineStr">
        <is>
          <t>Kunst</t>
        </is>
      </c>
      <c r="E109" s="16" t="inlineStr">
        <is>
          <t>Flur UG</t>
        </is>
      </c>
      <c r="F109" s="16" t="inlineStr">
        <is>
          <t>B</t>
        </is>
      </c>
      <c r="G109" s="18" t="n">
        <v>1</v>
      </c>
      <c r="H109" s="18" t="n"/>
      <c r="I109" s="19">
        <f>G109-IF(H109="",0,H109)</f>
        <v/>
      </c>
      <c r="J109" s="16" t="inlineStr">
        <is>
          <t>Stück</t>
        </is>
      </c>
      <c r="K109" s="16" t="inlineStr">
        <is>
          <t>gut</t>
        </is>
      </c>
      <c r="L109" s="20" t="n"/>
      <c r="M109" s="20" t="n"/>
      <c r="N109" s="21" t="n"/>
      <c r="O109" s="21" t="n">
        <v>120</v>
      </c>
      <c r="P109" s="20" t="inlineStr">
        <is>
          <t>VHB</t>
        </is>
      </c>
      <c r="Q109" s="22">
        <f>I109*O109</f>
        <v/>
      </c>
      <c r="R109" s="16" t="inlineStr">
        <is>
          <t>nur Abholung</t>
        </is>
      </c>
      <c r="S109" s="16" t="inlineStr">
        <is>
          <t>F-076</t>
        </is>
      </c>
      <c r="T109" s="20" t="inlineStr">
        <is>
          <t>verfügbar</t>
        </is>
      </c>
      <c r="U109" s="20" t="inlineStr">
        <is>
          <t>Klinik</t>
        </is>
      </c>
      <c r="V109" s="20" t="n"/>
      <c r="W109" s="21" t="n"/>
      <c r="X109" s="22">
        <f>IF(H109="","",H109*W109)</f>
        <v/>
      </c>
      <c r="Y109" s="20" t="n"/>
      <c r="Z109" s="20" t="n"/>
      <c r="AA109" s="20" t="n"/>
      <c r="AB109" s="20" t="n"/>
      <c r="AC109" s="20" t="n"/>
      <c r="AD109" s="20" t="n"/>
      <c r="AE109" s="17" t="inlineStr">
        <is>
          <t>1 Bild im Bild</t>
        </is>
      </c>
      <c r="AF109" s="23" t="n"/>
    </row>
    <row r="110" ht="30" customHeight="1">
      <c r="A110" s="16" t="inlineStr">
        <is>
          <t>K-108</t>
        </is>
      </c>
      <c r="B110" s="16" t="inlineStr">
        <is>
          <t>Bilderrahmen schwarz mit Strichfigur</t>
        </is>
      </c>
      <c r="C110" s="17" t="inlineStr">
        <is>
          <t>Gerahmte Drucke mit Bollenhut-Strichfiguren, schwarze Rahmen</t>
        </is>
      </c>
      <c r="D110" s="16" t="inlineStr">
        <is>
          <t>Kunst</t>
        </is>
      </c>
      <c r="E110" s="16" t="inlineStr">
        <is>
          <t>Flur UG</t>
        </is>
      </c>
      <c r="F110" s="16" t="inlineStr">
        <is>
          <t>C</t>
        </is>
      </c>
      <c r="G110" s="18" t="n">
        <v>4</v>
      </c>
      <c r="H110" s="18" t="n"/>
      <c r="I110" s="19">
        <f>G110-IF(H110="",0,H110)</f>
        <v/>
      </c>
      <c r="J110" s="16" t="inlineStr">
        <is>
          <t>Stück</t>
        </is>
      </c>
      <c r="K110" s="16" t="inlineStr">
        <is>
          <t>gut</t>
        </is>
      </c>
      <c r="L110" s="20" t="n"/>
      <c r="M110" s="20" t="n"/>
      <c r="N110" s="21" t="n"/>
      <c r="O110" s="21" t="n">
        <v>15</v>
      </c>
      <c r="P110" s="20" t="inlineStr">
        <is>
          <t>VHB</t>
        </is>
      </c>
      <c r="Q110" s="22">
        <f>I110*O110</f>
        <v/>
      </c>
      <c r="R110" s="16" t="inlineStr">
        <is>
          <t>Versand möglich</t>
        </is>
      </c>
      <c r="S110" s="16" t="inlineStr">
        <is>
          <t>F-077</t>
        </is>
      </c>
      <c r="T110" s="20" t="inlineStr">
        <is>
          <t>verfügbar</t>
        </is>
      </c>
      <c r="U110" s="20" t="inlineStr">
        <is>
          <t>Klinik</t>
        </is>
      </c>
      <c r="V110" s="20" t="n"/>
      <c r="W110" s="21" t="n"/>
      <c r="X110" s="22">
        <f>IF(H110="","",H110*W110)</f>
        <v/>
      </c>
      <c r="Y110" s="20" t="n"/>
      <c r="Z110" s="20" t="n"/>
      <c r="AA110" s="20" t="n"/>
      <c r="AB110" s="20" t="n"/>
      <c r="AC110" s="20" t="n"/>
      <c r="AD110" s="20" t="n"/>
      <c r="AE110" s="17" t="inlineStr">
        <is>
          <t>4 Rahmen erkennbar</t>
        </is>
      </c>
      <c r="AF110" s="23" t="n"/>
    </row>
    <row r="111" ht="30" customHeight="1">
      <c r="A111" s="16" t="inlineStr">
        <is>
          <t>K-109</t>
        </is>
      </c>
      <c r="B111" s="16" t="inlineStr">
        <is>
          <t>Vase Keramik gestreift</t>
        </is>
      </c>
      <c r="C111" s="17" t="inlineStr">
        <is>
          <t>Vase schwarz-weiß gestreift, hoch</t>
        </is>
      </c>
      <c r="D111" s="16" t="inlineStr">
        <is>
          <t>Deko</t>
        </is>
      </c>
      <c r="E111" s="16" t="inlineStr">
        <is>
          <t>UG</t>
        </is>
      </c>
      <c r="F111" s="16" t="inlineStr">
        <is>
          <t>C</t>
        </is>
      </c>
      <c r="G111" s="18" t="n">
        <v>1</v>
      </c>
      <c r="H111" s="18" t="n"/>
      <c r="I111" s="19">
        <f>G111-IF(H111="",0,H111)</f>
        <v/>
      </c>
      <c r="J111" s="16" t="inlineStr">
        <is>
          <t>Stück</t>
        </is>
      </c>
      <c r="K111" s="16" t="inlineStr">
        <is>
          <t>gut</t>
        </is>
      </c>
      <c r="L111" s="20" t="n"/>
      <c r="M111" s="20" t="n"/>
      <c r="N111" s="21" t="n"/>
      <c r="O111" s="21" t="n">
        <v>20</v>
      </c>
      <c r="P111" s="20" t="inlineStr">
        <is>
          <t>VHB</t>
        </is>
      </c>
      <c r="Q111" s="22">
        <f>I111*O111</f>
        <v/>
      </c>
      <c r="R111" s="16" t="inlineStr">
        <is>
          <t>Versand möglich</t>
        </is>
      </c>
      <c r="S111" s="16" t="inlineStr">
        <is>
          <t>F-078</t>
        </is>
      </c>
      <c r="T111" s="20" t="inlineStr">
        <is>
          <t>verfügbar</t>
        </is>
      </c>
      <c r="U111" s="20" t="inlineStr">
        <is>
          <t>Klinik</t>
        </is>
      </c>
      <c r="V111" s="20" t="n"/>
      <c r="W111" s="21" t="n"/>
      <c r="X111" s="22">
        <f>IF(H111="","",H111*W111)</f>
        <v/>
      </c>
      <c r="Y111" s="20" t="n"/>
      <c r="Z111" s="20" t="n"/>
      <c r="AA111" s="20" t="n"/>
      <c r="AB111" s="20" t="n"/>
      <c r="AC111" s="20" t="n"/>
      <c r="AD111" s="20" t="n"/>
      <c r="AE111" s="17" t="inlineStr">
        <is>
          <t>1 Stück im Bild</t>
        </is>
      </c>
      <c r="AF111" s="23" t="n"/>
    </row>
    <row r="112" ht="30" customHeight="1">
      <c r="A112" s="16" t="inlineStr">
        <is>
          <t>K-110</t>
        </is>
      </c>
      <c r="B112" s="16" t="inlineStr">
        <is>
          <t>Crassula im Topf</t>
        </is>
      </c>
      <c r="C112" s="17" t="inlineStr">
        <is>
          <t>Geldbaum, Zimmerpflanze im weißen Topf</t>
        </is>
      </c>
      <c r="D112" s="16" t="inlineStr">
        <is>
          <t>Pflanzen</t>
        </is>
      </c>
      <c r="E112" s="16" t="inlineStr">
        <is>
          <t>UG</t>
        </is>
      </c>
      <c r="F112" s="16" t="inlineStr">
        <is>
          <t>C</t>
        </is>
      </c>
      <c r="G112" s="18" t="n">
        <v>1</v>
      </c>
      <c r="H112" s="18" t="n"/>
      <c r="I112" s="19">
        <f>G112-IF(H112="",0,H112)</f>
        <v/>
      </c>
      <c r="J112" s="16" t="inlineStr">
        <is>
          <t>Stück</t>
        </is>
      </c>
      <c r="K112" s="16" t="inlineStr">
        <is>
          <t>gut</t>
        </is>
      </c>
      <c r="L112" s="20" t="n"/>
      <c r="M112" s="20" t="n"/>
      <c r="N112" s="21" t="n"/>
      <c r="O112" s="21" t="n">
        <v>30</v>
      </c>
      <c r="P112" s="20" t="inlineStr">
        <is>
          <t>VHB</t>
        </is>
      </c>
      <c r="Q112" s="22">
        <f>I112*O112</f>
        <v/>
      </c>
      <c r="R112" s="16" t="inlineStr">
        <is>
          <t>nur Abholung</t>
        </is>
      </c>
      <c r="S112" s="16" t="inlineStr">
        <is>
          <t>F-078</t>
        </is>
      </c>
      <c r="T112" s="20" t="inlineStr">
        <is>
          <t>verfügbar</t>
        </is>
      </c>
      <c r="U112" s="20" t="inlineStr">
        <is>
          <t>Klinik</t>
        </is>
      </c>
      <c r="V112" s="20" t="n"/>
      <c r="W112" s="21" t="n"/>
      <c r="X112" s="22">
        <f>IF(H112="","",H112*W112)</f>
        <v/>
      </c>
      <c r="Y112" s="20" t="n"/>
      <c r="Z112" s="20" t="n"/>
      <c r="AA112" s="20" t="n"/>
      <c r="AB112" s="20" t="n"/>
      <c r="AC112" s="20" t="n"/>
      <c r="AD112" s="20" t="n"/>
      <c r="AE112" s="17" t="inlineStr">
        <is>
          <t>1 Pflanze im Bild</t>
        </is>
      </c>
      <c r="AF112" s="23" t="n"/>
    </row>
    <row r="113" ht="30" customHeight="1">
      <c r="A113" s="16" t="inlineStr">
        <is>
          <t>K-111</t>
        </is>
      </c>
      <c r="B113" s="16" t="inlineStr">
        <is>
          <t>Holz-LKW Spielzeug</t>
        </is>
      </c>
      <c r="C113" s="17" t="inlineStr">
        <is>
          <t>Großer Spielzeug-LKW aus Holz, Kipper</t>
        </is>
      </c>
      <c r="D113" s="16" t="inlineStr">
        <is>
          <t>Kita-Ausstattung</t>
        </is>
      </c>
      <c r="E113" s="16" t="inlineStr">
        <is>
          <t>UG</t>
        </is>
      </c>
      <c r="F113" s="16" t="inlineStr">
        <is>
          <t>C</t>
        </is>
      </c>
      <c r="G113" s="18" t="n">
        <v>1</v>
      </c>
      <c r="H113" s="18" t="n"/>
      <c r="I113" s="19">
        <f>G113-IF(H113="",0,H113)</f>
        <v/>
      </c>
      <c r="J113" s="16" t="inlineStr">
        <is>
          <t>Stück</t>
        </is>
      </c>
      <c r="K113" s="16" t="inlineStr">
        <is>
          <t>gut</t>
        </is>
      </c>
      <c r="L113" s="20" t="n"/>
      <c r="M113" s="20" t="n"/>
      <c r="N113" s="21" t="n"/>
      <c r="O113" s="21" t="n">
        <v>25</v>
      </c>
      <c r="P113" s="20" t="inlineStr">
        <is>
          <t>VHB</t>
        </is>
      </c>
      <c r="Q113" s="22">
        <f>I113*O113</f>
        <v/>
      </c>
      <c r="R113" s="16" t="inlineStr">
        <is>
          <t>Versand möglich</t>
        </is>
      </c>
      <c r="S113" s="16" t="inlineStr">
        <is>
          <t>F-078</t>
        </is>
      </c>
      <c r="T113" s="20" t="inlineStr">
        <is>
          <t>verfügbar</t>
        </is>
      </c>
      <c r="U113" s="20" t="inlineStr">
        <is>
          <t>Klinik</t>
        </is>
      </c>
      <c r="V113" s="20" t="n"/>
      <c r="W113" s="21" t="n"/>
      <c r="X113" s="22">
        <f>IF(H113="","",H113*W113)</f>
        <v/>
      </c>
      <c r="Y113" s="20" t="n"/>
      <c r="Z113" s="20" t="n"/>
      <c r="AA113" s="20" t="n"/>
      <c r="AB113" s="20" t="n"/>
      <c r="AC113" s="20" t="n"/>
      <c r="AD113" s="20" t="n"/>
      <c r="AE113" s="17" t="inlineStr">
        <is>
          <t>1 Stück im Bild</t>
        </is>
      </c>
      <c r="AF113" s="23" t="n"/>
    </row>
    <row r="114" ht="30" customHeight="1">
      <c r="A114" s="16" t="inlineStr">
        <is>
          <t>K-112</t>
        </is>
      </c>
      <c r="B114" s="16" t="inlineStr">
        <is>
          <t>Deko-Haus Metall mit Pompons</t>
        </is>
      </c>
      <c r="C114" s="17" t="inlineStr">
        <is>
          <t>Hausform aus Metalldraht mit roten Wollbommeln</t>
        </is>
      </c>
      <c r="D114" s="16" t="inlineStr">
        <is>
          <t>Deko</t>
        </is>
      </c>
      <c r="E114" s="16" t="inlineStr">
        <is>
          <t>UG</t>
        </is>
      </c>
      <c r="F114" s="16" t="inlineStr">
        <is>
          <t>C</t>
        </is>
      </c>
      <c r="G114" s="18" t="n">
        <v>1</v>
      </c>
      <c r="H114" s="18" t="n"/>
      <c r="I114" s="19">
        <f>G114-IF(H114="",0,H114)</f>
        <v/>
      </c>
      <c r="J114" s="16" t="inlineStr">
        <is>
          <t>Stück</t>
        </is>
      </c>
      <c r="K114" s="16" t="inlineStr">
        <is>
          <t>gut</t>
        </is>
      </c>
      <c r="L114" s="20" t="n"/>
      <c r="M114" s="20" t="n"/>
      <c r="N114" s="21" t="n"/>
      <c r="O114" s="21" t="n">
        <v>20</v>
      </c>
      <c r="P114" s="20" t="inlineStr">
        <is>
          <t>VHB</t>
        </is>
      </c>
      <c r="Q114" s="22">
        <f>I114*O114</f>
        <v/>
      </c>
      <c r="R114" s="16" t="inlineStr">
        <is>
          <t>Versand möglich</t>
        </is>
      </c>
      <c r="S114" s="16" t="inlineStr">
        <is>
          <t>F-078</t>
        </is>
      </c>
      <c r="T114" s="20" t="inlineStr">
        <is>
          <t>verfügbar</t>
        </is>
      </c>
      <c r="U114" s="20" t="inlineStr">
        <is>
          <t>Klinik</t>
        </is>
      </c>
      <c r="V114" s="20" t="n"/>
      <c r="W114" s="21" t="n"/>
      <c r="X114" s="22">
        <f>IF(H114="","",H114*W114)</f>
        <v/>
      </c>
      <c r="Y114" s="20" t="n"/>
      <c r="Z114" s="20" t="n"/>
      <c r="AA114" s="20" t="n"/>
      <c r="AB114" s="20" t="n"/>
      <c r="AC114" s="20" t="n"/>
      <c r="AD114" s="20" t="n"/>
      <c r="AE114" s="17" t="inlineStr">
        <is>
          <t>1 Stück im Bild</t>
        </is>
      </c>
      <c r="AF114" s="23" t="n"/>
    </row>
    <row r="115" ht="30" customHeight="1">
      <c r="A115" s="16" t="inlineStr">
        <is>
          <t>K-113</t>
        </is>
      </c>
      <c r="B115" s="16" t="inlineStr">
        <is>
          <t>Pflanzkübel Raumteiler weiß Hochglanz</t>
        </is>
      </c>
      <c r="C115" s="17" t="inlineStr">
        <is>
          <t>Rechteckiger Pflanzkübel als Raumteiler, weiß hochglanz, ca. 80 x 30 x 80 cm</t>
        </is>
      </c>
      <c r="D115" s="16" t="inlineStr">
        <is>
          <t>Pflanzen</t>
        </is>
      </c>
      <c r="E115" s="16" t="inlineStr">
        <is>
          <t>UG</t>
        </is>
      </c>
      <c r="F115" s="16" t="inlineStr">
        <is>
          <t>B</t>
        </is>
      </c>
      <c r="G115" s="18" t="n">
        <v>1</v>
      </c>
      <c r="H115" s="18" t="n"/>
      <c r="I115" s="19">
        <f>G115-IF(H115="",0,H115)</f>
        <v/>
      </c>
      <c r="J115" s="16" t="inlineStr">
        <is>
          <t>Stück</t>
        </is>
      </c>
      <c r="K115" s="16" t="inlineStr">
        <is>
          <t>gut</t>
        </is>
      </c>
      <c r="L115" s="20" t="n"/>
      <c r="M115" s="20" t="n"/>
      <c r="N115" s="21" t="n"/>
      <c r="O115" s="21" t="n">
        <v>220</v>
      </c>
      <c r="P115" s="20" t="inlineStr">
        <is>
          <t>VHB</t>
        </is>
      </c>
      <c r="Q115" s="22">
        <f>I115*O115</f>
        <v/>
      </c>
      <c r="R115" s="16" t="inlineStr">
        <is>
          <t>nur Abholung</t>
        </is>
      </c>
      <c r="S115" s="16" t="inlineStr">
        <is>
          <t>F-079</t>
        </is>
      </c>
      <c r="T115" s="20" t="inlineStr">
        <is>
          <t>verfügbar</t>
        </is>
      </c>
      <c r="U115" s="20" t="inlineStr">
        <is>
          <t>Klinik</t>
        </is>
      </c>
      <c r="V115" s="20" t="n"/>
      <c r="W115" s="21" t="n"/>
      <c r="X115" s="22">
        <f>IF(H115="","",H115*W115)</f>
        <v/>
      </c>
      <c r="Y115" s="20" t="n"/>
      <c r="Z115" s="20" t="n"/>
      <c r="AA115" s="20" t="n"/>
      <c r="AB115" s="20" t="n"/>
      <c r="AC115" s="20" t="n"/>
      <c r="AD115" s="20" t="n"/>
      <c r="AE115" s="17" t="inlineStr">
        <is>
          <t>1 Kübel im Bild (Bepflanzung enthalten)</t>
        </is>
      </c>
      <c r="AF115" s="23" t="n"/>
    </row>
    <row r="116" ht="30" customHeight="1">
      <c r="A116" s="16" t="inlineStr">
        <is>
          <t>K-114</t>
        </is>
      </c>
      <c r="B116" s="16" t="inlineStr">
        <is>
          <t>Schülerstuhl grau</t>
        </is>
      </c>
      <c r="C116" s="17" t="inlineStr">
        <is>
          <t>Kunststoffschale grau, Metallgestell, höhenverstellbar</t>
        </is>
      </c>
      <c r="D116" s="16" t="inlineStr">
        <is>
          <t>Kita-Ausstattung</t>
        </is>
      </c>
      <c r="E116" s="16" t="inlineStr">
        <is>
          <t>UG</t>
        </is>
      </c>
      <c r="F116" s="16" t="inlineStr">
        <is>
          <t>C</t>
        </is>
      </c>
      <c r="G116" s="18" t="n">
        <v>1</v>
      </c>
      <c r="H116" s="18" t="n"/>
      <c r="I116" s="19">
        <f>G116-IF(H116="",0,H116)</f>
        <v/>
      </c>
      <c r="J116" s="16" t="inlineStr">
        <is>
          <t>Stück</t>
        </is>
      </c>
      <c r="K116" s="16" t="inlineStr">
        <is>
          <t>gebraucht</t>
        </is>
      </c>
      <c r="L116" s="20" t="n"/>
      <c r="M116" s="20" t="n"/>
      <c r="N116" s="21" t="n"/>
      <c r="O116" s="21" t="n">
        <v>25</v>
      </c>
      <c r="P116" s="20" t="inlineStr">
        <is>
          <t>VHB</t>
        </is>
      </c>
      <c r="Q116" s="22">
        <f>I116*O116</f>
        <v/>
      </c>
      <c r="R116" s="16" t="inlineStr">
        <is>
          <t>Versand möglich</t>
        </is>
      </c>
      <c r="S116" s="16" t="inlineStr">
        <is>
          <t>F-079</t>
        </is>
      </c>
      <c r="T116" s="20" t="inlineStr">
        <is>
          <t>verfügbar</t>
        </is>
      </c>
      <c r="U116" s="20" t="inlineStr">
        <is>
          <t>Klinik</t>
        </is>
      </c>
      <c r="V116" s="20" t="n"/>
      <c r="W116" s="21" t="n"/>
      <c r="X116" s="22">
        <f>IF(H116="","",H116*W116)</f>
        <v/>
      </c>
      <c r="Y116" s="20" t="n"/>
      <c r="Z116" s="20" t="n"/>
      <c r="AA116" s="20" t="n"/>
      <c r="AB116" s="20" t="n"/>
      <c r="AC116" s="20" t="n"/>
      <c r="AD116" s="20" t="n"/>
      <c r="AE116" s="17" t="inlineStr">
        <is>
          <t>1 Stuhl im Bild - vermutlich mehrere vorhanden</t>
        </is>
      </c>
      <c r="AF116" s="23" t="n"/>
    </row>
    <row r="117" ht="30" customHeight="1">
      <c r="A117" s="16" t="inlineStr">
        <is>
          <t>K-115</t>
        </is>
      </c>
      <c r="B117" s="16" t="inlineStr">
        <is>
          <t>Hochflorteppich beige, rund</t>
        </is>
      </c>
      <c r="C117" s="17" t="inlineStr">
        <is>
          <t>Shaggy, beige, rund, Durchmesser ca. 200 cm</t>
        </is>
      </c>
      <c r="D117" s="16" t="inlineStr">
        <is>
          <t>Textilien</t>
        </is>
      </c>
      <c r="E117" s="16" t="inlineStr">
        <is>
          <t>UG</t>
        </is>
      </c>
      <c r="F117" s="16" t="inlineStr">
        <is>
          <t>C</t>
        </is>
      </c>
      <c r="G117" s="18" t="n">
        <v>1</v>
      </c>
      <c r="H117" s="18" t="n"/>
      <c r="I117" s="19">
        <f>G117-IF(H117="",0,H117)</f>
        <v/>
      </c>
      <c r="J117" s="16" t="inlineStr">
        <is>
          <t>Stück</t>
        </is>
      </c>
      <c r="K117" s="16" t="inlineStr">
        <is>
          <t>gebraucht</t>
        </is>
      </c>
      <c r="L117" s="20" t="n"/>
      <c r="M117" s="20" t="n"/>
      <c r="N117" s="21" t="n"/>
      <c r="O117" s="21" t="n">
        <v>40</v>
      </c>
      <c r="P117" s="20" t="inlineStr">
        <is>
          <t>VHB</t>
        </is>
      </c>
      <c r="Q117" s="22">
        <f>I117*O117</f>
        <v/>
      </c>
      <c r="R117" s="16" t="inlineStr">
        <is>
          <t>Versand möglich</t>
        </is>
      </c>
      <c r="S117" s="16" t="inlineStr">
        <is>
          <t>F-080</t>
        </is>
      </c>
      <c r="T117" s="20" t="inlineStr">
        <is>
          <t>verfügbar</t>
        </is>
      </c>
      <c r="U117" s="20" t="inlineStr">
        <is>
          <t>Klinik</t>
        </is>
      </c>
      <c r="V117" s="20" t="n"/>
      <c r="W117" s="21" t="n"/>
      <c r="X117" s="22">
        <f>IF(H117="","",H117*W117)</f>
        <v/>
      </c>
      <c r="Y117" s="20" t="n"/>
      <c r="Z117" s="20" t="n"/>
      <c r="AA117" s="20" t="n"/>
      <c r="AB117" s="20" t="n"/>
      <c r="AC117" s="20" t="n"/>
      <c r="AD117" s="20" t="n"/>
      <c r="AE117" s="17" t="inlineStr">
        <is>
          <t>1 Teppich im Bild</t>
        </is>
      </c>
      <c r="AF117" s="23" t="n"/>
    </row>
    <row r="118" ht="30" customHeight="1">
      <c r="A118" s="16" t="inlineStr">
        <is>
          <t>K-116</t>
        </is>
      </c>
      <c r="B118" s="16" t="inlineStr">
        <is>
          <t>Regal weiß 2x2</t>
        </is>
      </c>
      <c r="C118" s="17" t="inlineStr">
        <is>
          <t>IKEA Kallax, weiß, 4 Fächer</t>
        </is>
      </c>
      <c r="D118" s="16" t="inlineStr">
        <is>
          <t>Möbel</t>
        </is>
      </c>
      <c r="E118" s="16" t="inlineStr">
        <is>
          <t>UG</t>
        </is>
      </c>
      <c r="F118" s="16" t="inlineStr">
        <is>
          <t>C</t>
        </is>
      </c>
      <c r="G118" s="18" t="n">
        <v>2</v>
      </c>
      <c r="H118" s="18" t="n"/>
      <c r="I118" s="19">
        <f>G118-IF(H118="",0,H118)</f>
        <v/>
      </c>
      <c r="J118" s="16" t="inlineStr">
        <is>
          <t>Stück</t>
        </is>
      </c>
      <c r="K118" s="16" t="inlineStr">
        <is>
          <t>gut</t>
        </is>
      </c>
      <c r="L118" s="20" t="n"/>
      <c r="M118" s="20" t="n"/>
      <c r="N118" s="21" t="n"/>
      <c r="O118" s="21" t="n">
        <v>45</v>
      </c>
      <c r="P118" s="20" t="inlineStr">
        <is>
          <t>VHB</t>
        </is>
      </c>
      <c r="Q118" s="22">
        <f>I118*O118</f>
        <v/>
      </c>
      <c r="R118" s="16" t="inlineStr">
        <is>
          <t>nur Abholung</t>
        </is>
      </c>
      <c r="S118" s="16" t="inlineStr">
        <is>
          <t>F-080</t>
        </is>
      </c>
      <c r="T118" s="20" t="inlineStr">
        <is>
          <t>verfügbar</t>
        </is>
      </c>
      <c r="U118" s="20" t="inlineStr">
        <is>
          <t>Klinik</t>
        </is>
      </c>
      <c r="V118" s="20" t="n"/>
      <c r="W118" s="21" t="n"/>
      <c r="X118" s="22">
        <f>IF(H118="","",H118*W118)</f>
        <v/>
      </c>
      <c r="Y118" s="20" t="n"/>
      <c r="Z118" s="20" t="n"/>
      <c r="AA118" s="20" t="n"/>
      <c r="AB118" s="20" t="n"/>
      <c r="AC118" s="20" t="n"/>
      <c r="AD118" s="20" t="n"/>
      <c r="AE118" s="17" t="inlineStr">
        <is>
          <t>2 Regale im Bild</t>
        </is>
      </c>
      <c r="AF118" s="23" t="n"/>
    </row>
    <row r="119" ht="30" customHeight="1">
      <c r="A119" s="16" t="inlineStr">
        <is>
          <t>K-117</t>
        </is>
      </c>
      <c r="B119" s="16" t="inlineStr">
        <is>
          <t>Wanddeko Fadenbilder mit Spiegelpunkten</t>
        </is>
      </c>
      <c r="C119" s="17" t="inlineStr">
        <is>
          <t>Fadenbilder auf Holzreifen, dazu runde Spiegelelemente</t>
        </is>
      </c>
      <c r="D119" s="16" t="inlineStr">
        <is>
          <t>Deko</t>
        </is>
      </c>
      <c r="E119" s="16" t="inlineStr">
        <is>
          <t>UG</t>
        </is>
      </c>
      <c r="F119" s="16" t="inlineStr">
        <is>
          <t>C</t>
        </is>
      </c>
      <c r="G119" s="18" t="n">
        <v>1</v>
      </c>
      <c r="H119" s="18" t="n"/>
      <c r="I119" s="19">
        <f>G119-IF(H119="",0,H119)</f>
        <v/>
      </c>
      <c r="J119" s="16" t="inlineStr">
        <is>
          <t>Set</t>
        </is>
      </c>
      <c r="K119" s="16" t="inlineStr">
        <is>
          <t>gut</t>
        </is>
      </c>
      <c r="L119" s="20" t="n"/>
      <c r="M119" s="20" t="n"/>
      <c r="N119" s="21" t="n"/>
      <c r="O119" s="21" t="n">
        <v>40</v>
      </c>
      <c r="P119" s="20" t="inlineStr">
        <is>
          <t>VHB</t>
        </is>
      </c>
      <c r="Q119" s="22">
        <f>I119*O119</f>
        <v/>
      </c>
      <c r="R119" s="16" t="inlineStr">
        <is>
          <t>nur Abholung</t>
        </is>
      </c>
      <c r="S119" s="16" t="inlineStr">
        <is>
          <t>F-081</t>
        </is>
      </c>
      <c r="T119" s="20" t="inlineStr">
        <is>
          <t>verfügbar</t>
        </is>
      </c>
      <c r="U119" s="20" t="inlineStr">
        <is>
          <t>Klinik</t>
        </is>
      </c>
      <c r="V119" s="20" t="n"/>
      <c r="W119" s="21" t="n"/>
      <c r="X119" s="22">
        <f>IF(H119="","",H119*W119)</f>
        <v/>
      </c>
      <c r="Y119" s="20" t="n"/>
      <c r="Z119" s="20" t="n"/>
      <c r="AA119" s="20" t="n"/>
      <c r="AB119" s="20" t="n"/>
      <c r="AC119" s="20" t="n"/>
      <c r="AD119" s="20" t="n"/>
      <c r="AE119" s="17" t="inlineStr">
        <is>
          <t>1 Set im Bild</t>
        </is>
      </c>
      <c r="AF119" s="23" t="n"/>
    </row>
    <row r="120" ht="30" customHeight="1">
      <c r="A120" s="16" t="inlineStr">
        <is>
          <t>K-118</t>
        </is>
      </c>
      <c r="B120" s="16" t="inlineStr">
        <is>
          <t>Wurzelholz-Schale groß</t>
        </is>
      </c>
      <c r="C120" s="17" t="inlineStr">
        <is>
          <t>Dekoschale aus einem Wurzelstück, Teak, ca. 50-60 cm</t>
        </is>
      </c>
      <c r="D120" s="16" t="inlineStr">
        <is>
          <t>Deko</t>
        </is>
      </c>
      <c r="E120" s="16" t="inlineStr">
        <is>
          <t>Werkstatt</t>
        </is>
      </c>
      <c r="F120" s="16" t="inlineStr">
        <is>
          <t>B</t>
        </is>
      </c>
      <c r="G120" s="18" t="n">
        <v>1</v>
      </c>
      <c r="H120" s="18" t="n"/>
      <c r="I120" s="19">
        <f>G120-IF(H120="",0,H120)</f>
        <v/>
      </c>
      <c r="J120" s="16" t="inlineStr">
        <is>
          <t>Stück</t>
        </is>
      </c>
      <c r="K120" s="16" t="inlineStr">
        <is>
          <t>gut</t>
        </is>
      </c>
      <c r="L120" s="20" t="n"/>
      <c r="M120" s="20" t="n"/>
      <c r="N120" s="21" t="n"/>
      <c r="O120" s="21" t="n">
        <v>90</v>
      </c>
      <c r="P120" s="20" t="inlineStr">
        <is>
          <t>VHB</t>
        </is>
      </c>
      <c r="Q120" s="22">
        <f>I120*O120</f>
        <v/>
      </c>
      <c r="R120" s="16" t="inlineStr">
        <is>
          <t>nur Abholung</t>
        </is>
      </c>
      <c r="S120" s="16" t="inlineStr">
        <is>
          <t>F-082</t>
        </is>
      </c>
      <c r="T120" s="20" t="inlineStr">
        <is>
          <t>verfügbar</t>
        </is>
      </c>
      <c r="U120" s="20" t="inlineStr">
        <is>
          <t>Klinik</t>
        </is>
      </c>
      <c r="V120" s="20" t="n"/>
      <c r="W120" s="21" t="n"/>
      <c r="X120" s="22">
        <f>IF(H120="","",H120*W120)</f>
        <v/>
      </c>
      <c r="Y120" s="20" t="n"/>
      <c r="Z120" s="20" t="n"/>
      <c r="AA120" s="20" t="n"/>
      <c r="AB120" s="20" t="n"/>
      <c r="AC120" s="20" t="n"/>
      <c r="AD120" s="20" t="n"/>
      <c r="AE120" s="17" t="inlineStr">
        <is>
          <t>1 Stück im Bild</t>
        </is>
      </c>
      <c r="AF120" s="23" t="n"/>
    </row>
    <row r="121" ht="30" customHeight="1">
      <c r="A121" s="16" t="inlineStr">
        <is>
          <t>K-119</t>
        </is>
      </c>
      <c r="B121" s="16" t="inlineStr">
        <is>
          <t>Konvolut Baumscheiben und Holzscheiben</t>
        </is>
      </c>
      <c r="C121" s="17" t="inlineStr">
        <is>
          <t>Baumscheiben verschiedener Größen und Holzarten, Bastelmaterial</t>
        </is>
      </c>
      <c r="D121" s="16" t="inlineStr">
        <is>
          <t>Verbrauchsmaterial</t>
        </is>
      </c>
      <c r="E121" s="16" t="inlineStr">
        <is>
          <t>Werkstatt</t>
        </is>
      </c>
      <c r="F121" s="16" t="inlineStr">
        <is>
          <t>C</t>
        </is>
      </c>
      <c r="G121" s="18" t="n">
        <v>1</v>
      </c>
      <c r="H121" s="18" t="n"/>
      <c r="I121" s="19">
        <f>G121-IF(H121="",0,H121)</f>
        <v/>
      </c>
      <c r="J121" s="16" t="inlineStr">
        <is>
          <t>Konvolut</t>
        </is>
      </c>
      <c r="K121" s="16" t="inlineStr">
        <is>
          <t>gut</t>
        </is>
      </c>
      <c r="L121" s="20" t="n"/>
      <c r="M121" s="20" t="n"/>
      <c r="N121" s="21" t="n"/>
      <c r="O121" s="21" t="n">
        <v>40</v>
      </c>
      <c r="P121" s="20" t="inlineStr">
        <is>
          <t>VHB</t>
        </is>
      </c>
      <c r="Q121" s="22">
        <f>I121*O121</f>
        <v/>
      </c>
      <c r="R121" s="16" t="inlineStr">
        <is>
          <t>nur Abholung</t>
        </is>
      </c>
      <c r="S121" s="16" t="inlineStr">
        <is>
          <t>F-085</t>
        </is>
      </c>
      <c r="T121" s="20" t="inlineStr">
        <is>
          <t>verfügbar</t>
        </is>
      </c>
      <c r="U121" s="20" t="inlineStr">
        <is>
          <t>Klinik</t>
        </is>
      </c>
      <c r="V121" s="20" t="n"/>
      <c r="W121" s="21" t="n"/>
      <c r="X121" s="22">
        <f>IF(H121="","",H121*W121)</f>
        <v/>
      </c>
      <c r="Y121" s="20" t="n"/>
      <c r="Z121" s="20" t="n"/>
      <c r="AA121" s="20" t="n"/>
      <c r="AB121" s="20" t="n"/>
      <c r="AC121" s="20" t="n"/>
      <c r="AD121" s="20" t="n"/>
      <c r="AE121" s="17" t="inlineStr">
        <is>
          <t>mehrere Kisten im Bild</t>
        </is>
      </c>
      <c r="AF121" s="23" t="n"/>
    </row>
    <row r="122" ht="30" customHeight="1">
      <c r="A122" s="16" t="inlineStr">
        <is>
          <t>K-120</t>
        </is>
      </c>
      <c r="B122" s="16" t="inlineStr">
        <is>
          <t>Kreidetafel in Hausform</t>
        </is>
      </c>
      <c r="C122" s="17" t="inlineStr">
        <is>
          <t>Tafelfolie/Kreidetafel in Hausform, beschriftbar</t>
        </is>
      </c>
      <c r="D122" s="16" t="inlineStr">
        <is>
          <t>Kita-Ausstattung</t>
        </is>
      </c>
      <c r="E122" s="16" t="inlineStr">
        <is>
          <t>Werkstatt</t>
        </is>
      </c>
      <c r="F122" s="16" t="inlineStr">
        <is>
          <t>C</t>
        </is>
      </c>
      <c r="G122" s="18" t="n">
        <v>1</v>
      </c>
      <c r="H122" s="18" t="n"/>
      <c r="I122" s="19">
        <f>G122-IF(H122="",0,H122)</f>
        <v/>
      </c>
      <c r="J122" s="16" t="inlineStr">
        <is>
          <t>Stück</t>
        </is>
      </c>
      <c r="K122" s="16" t="inlineStr">
        <is>
          <t>gut</t>
        </is>
      </c>
      <c r="L122" s="20" t="n"/>
      <c r="M122" s="20" t="n"/>
      <c r="N122" s="21" t="n"/>
      <c r="O122" s="21" t="n">
        <v>25</v>
      </c>
      <c r="P122" s="20" t="inlineStr">
        <is>
          <t>VHB</t>
        </is>
      </c>
      <c r="Q122" s="22">
        <f>I122*O122</f>
        <v/>
      </c>
      <c r="R122" s="16" t="inlineStr">
        <is>
          <t>Versand möglich</t>
        </is>
      </c>
      <c r="S122" s="16" t="inlineStr">
        <is>
          <t>F-089</t>
        </is>
      </c>
      <c r="T122" s="20" t="inlineStr">
        <is>
          <t>verfügbar</t>
        </is>
      </c>
      <c r="U122" s="20" t="inlineStr">
        <is>
          <t>Klinik</t>
        </is>
      </c>
      <c r="V122" s="20" t="n"/>
      <c r="W122" s="21" t="n"/>
      <c r="X122" s="22">
        <f>IF(H122="","",H122*W122)</f>
        <v/>
      </c>
      <c r="Y122" s="20" t="n"/>
      <c r="Z122" s="20" t="n"/>
      <c r="AA122" s="20" t="n"/>
      <c r="AB122" s="20" t="n"/>
      <c r="AC122" s="20" t="n"/>
      <c r="AD122" s="20" t="n"/>
      <c r="AE122" s="17" t="inlineStr">
        <is>
          <t>1 Stück im Bild</t>
        </is>
      </c>
      <c r="AF122" s="23" t="n"/>
    </row>
    <row r="123" ht="30" customHeight="1">
      <c r="A123" s="16" t="inlineStr">
        <is>
          <t>K-121</t>
        </is>
      </c>
      <c r="B123" s="16" t="inlineStr">
        <is>
          <t>Biohort Freizeitbox weiß (Terrasse)</t>
        </is>
      </c>
      <c r="C123" s="17" t="inlineStr">
        <is>
          <t>Metall-Auflagenbox, weiß, abschließbar, wetterfest, Made in Austria</t>
        </is>
      </c>
      <c r="D123" s="16" t="inlineStr">
        <is>
          <t>Garten</t>
        </is>
      </c>
      <c r="E123" s="16" t="inlineStr">
        <is>
          <t>Terrasse</t>
        </is>
      </c>
      <c r="F123" s="16" t="inlineStr">
        <is>
          <t>A</t>
        </is>
      </c>
      <c r="G123" s="18" t="n">
        <v>1</v>
      </c>
      <c r="H123" s="18" t="n"/>
      <c r="I123" s="19">
        <f>G123-IF(H123="",0,H123)</f>
        <v/>
      </c>
      <c r="J123" s="16" t="inlineStr">
        <is>
          <t>Stück</t>
        </is>
      </c>
      <c r="K123" s="16" t="inlineStr">
        <is>
          <t>gut</t>
        </is>
      </c>
      <c r="L123" s="20" t="n"/>
      <c r="M123" s="20" t="n"/>
      <c r="N123" s="21" t="n"/>
      <c r="O123" s="21" t="n">
        <v>220</v>
      </c>
      <c r="P123" s="20" t="inlineStr">
        <is>
          <t>VHB</t>
        </is>
      </c>
      <c r="Q123" s="22">
        <f>I123*O123</f>
        <v/>
      </c>
      <c r="R123" s="16" t="inlineStr">
        <is>
          <t>nur Abholung</t>
        </is>
      </c>
      <c r="S123" s="16" t="inlineStr">
        <is>
          <t>F-094</t>
        </is>
      </c>
      <c r="T123" s="20" t="inlineStr">
        <is>
          <t>verfügbar</t>
        </is>
      </c>
      <c r="U123" s="20" t="inlineStr">
        <is>
          <t>Klinik</t>
        </is>
      </c>
      <c r="V123" s="20" t="n"/>
      <c r="W123" s="21" t="n"/>
      <c r="X123" s="22">
        <f>IF(H123="","",H123*W123)</f>
        <v/>
      </c>
      <c r="Y123" s="20" t="n"/>
      <c r="Z123" s="20" t="n"/>
      <c r="AA123" s="20" t="n"/>
      <c r="AB123" s="20" t="n"/>
      <c r="AC123" s="20" t="n"/>
      <c r="AD123" s="20" t="n"/>
      <c r="AE123" s="17" t="inlineStr">
        <is>
          <t>1 Box im Bild</t>
        </is>
      </c>
      <c r="AF123" s="23" t="n"/>
    </row>
    <row r="124" ht="30" customHeight="1">
      <c r="A124" s="16" t="inlineStr">
        <is>
          <t>K-122</t>
        </is>
      </c>
      <c r="B124" s="16" t="inlineStr">
        <is>
          <t>Biohort Freizeitbox weiß (Dachterrasse)</t>
        </is>
      </c>
      <c r="C124" s="17" t="inlineStr">
        <is>
          <t>Metall-Auflagenbox, weiß, abschließbar, wetterfest, Made in Austria</t>
        </is>
      </c>
      <c r="D124" s="16" t="inlineStr">
        <is>
          <t>Garten</t>
        </is>
      </c>
      <c r="E124" s="16" t="inlineStr">
        <is>
          <t>Dachterrasse</t>
        </is>
      </c>
      <c r="F124" s="16" t="inlineStr">
        <is>
          <t>A</t>
        </is>
      </c>
      <c r="G124" s="18" t="n">
        <v>1</v>
      </c>
      <c r="H124" s="18" t="n"/>
      <c r="I124" s="19">
        <f>G124-IF(H124="",0,H124)</f>
        <v/>
      </c>
      <c r="J124" s="16" t="inlineStr">
        <is>
          <t>Stück</t>
        </is>
      </c>
      <c r="K124" s="16" t="inlineStr">
        <is>
          <t>gut</t>
        </is>
      </c>
      <c r="L124" s="20" t="n"/>
      <c r="M124" s="20" t="n"/>
      <c r="N124" s="21" t="n"/>
      <c r="O124" s="21" t="n">
        <v>220</v>
      </c>
      <c r="P124" s="20" t="inlineStr">
        <is>
          <t>VHB</t>
        </is>
      </c>
      <c r="Q124" s="22">
        <f>I124*O124</f>
        <v/>
      </c>
      <c r="R124" s="16" t="inlineStr">
        <is>
          <t>nur Abholung</t>
        </is>
      </c>
      <c r="S124" s="16" t="inlineStr">
        <is>
          <t>F-108</t>
        </is>
      </c>
      <c r="T124" s="20" t="inlineStr">
        <is>
          <t>verfügbar</t>
        </is>
      </c>
      <c r="U124" s="20" t="inlineStr">
        <is>
          <t>Klinik</t>
        </is>
      </c>
      <c r="V124" s="20" t="n"/>
      <c r="W124" s="21" t="n"/>
      <c r="X124" s="22">
        <f>IF(H124="","",H124*W124)</f>
        <v/>
      </c>
      <c r="Y124" s="20" t="n"/>
      <c r="Z124" s="20" t="n"/>
      <c r="AA124" s="20" t="n"/>
      <c r="AB124" s="20" t="n"/>
      <c r="AC124" s="20" t="n"/>
      <c r="AD124" s="20" t="n"/>
      <c r="AE124" s="17" t="inlineStr">
        <is>
          <t>1 Box im Bild - bitte prüfen ob 2 oder 3 Boxen gesamt</t>
        </is>
      </c>
      <c r="AF124" s="23" t="n"/>
    </row>
    <row r="125" ht="30" customHeight="1">
      <c r="A125" s="16" t="inlineStr">
        <is>
          <t>K-123</t>
        </is>
      </c>
      <c r="B125" s="16" t="inlineStr">
        <is>
          <t>Gartentisch mit Granitplatte</t>
        </is>
      </c>
      <c r="C125" s="17" t="inlineStr">
        <is>
          <t>Granitplatte auf Aluminiumgestell, ca. 160 x 90 cm</t>
        </is>
      </c>
      <c r="D125" s="16" t="inlineStr">
        <is>
          <t>Garten</t>
        </is>
      </c>
      <c r="E125" s="16" t="inlineStr">
        <is>
          <t>Terrasse</t>
        </is>
      </c>
      <c r="F125" s="16" t="inlineStr">
        <is>
          <t>A</t>
        </is>
      </c>
      <c r="G125" s="18" t="n">
        <v>1</v>
      </c>
      <c r="H125" s="18" t="n"/>
      <c r="I125" s="19">
        <f>G125-IF(H125="",0,H125)</f>
        <v/>
      </c>
      <c r="J125" s="16" t="inlineStr">
        <is>
          <t>Stück</t>
        </is>
      </c>
      <c r="K125" s="16" t="inlineStr">
        <is>
          <t>gut</t>
        </is>
      </c>
      <c r="L125" s="20" t="n"/>
      <c r="M125" s="20" t="n"/>
      <c r="N125" s="21" t="n"/>
      <c r="O125" s="21" t="n">
        <v>280</v>
      </c>
      <c r="P125" s="20" t="inlineStr">
        <is>
          <t>VHB</t>
        </is>
      </c>
      <c r="Q125" s="22">
        <f>I125*O125</f>
        <v/>
      </c>
      <c r="R125" s="16" t="inlineStr">
        <is>
          <t>nur Abholung</t>
        </is>
      </c>
      <c r="S125" s="16" t="inlineStr">
        <is>
          <t>F-095</t>
        </is>
      </c>
      <c r="T125" s="20" t="inlineStr">
        <is>
          <t>verfügbar</t>
        </is>
      </c>
      <c r="U125" s="20" t="inlineStr">
        <is>
          <t>Klinik</t>
        </is>
      </c>
      <c r="V125" s="20" t="n"/>
      <c r="W125" s="21" t="n"/>
      <c r="X125" s="22">
        <f>IF(H125="","",H125*W125)</f>
        <v/>
      </c>
      <c r="Y125" s="20" t="n"/>
      <c r="Z125" s="20" t="n"/>
      <c r="AA125" s="20" t="n"/>
      <c r="AB125" s="20" t="n"/>
      <c r="AC125" s="20" t="n"/>
      <c r="AD125" s="20" t="n"/>
      <c r="AE125" s="17" t="inlineStr">
        <is>
          <t>1 Tisch im Bild</t>
        </is>
      </c>
      <c r="AF125" s="23" t="n"/>
    </row>
    <row r="126" ht="30" customHeight="1">
      <c r="A126" s="16" t="inlineStr">
        <is>
          <t>K-124</t>
        </is>
      </c>
      <c r="B126" s="16" t="inlineStr">
        <is>
          <t>Schutzhülle für Gartentisch</t>
        </is>
      </c>
      <c r="C126" s="17" t="inlineStr">
        <is>
          <t>Abdeckhaube schwarz, wetterfest</t>
        </is>
      </c>
      <c r="D126" s="16" t="inlineStr">
        <is>
          <t>Garten</t>
        </is>
      </c>
      <c r="E126" s="16" t="inlineStr">
        <is>
          <t>Terrasse</t>
        </is>
      </c>
      <c r="F126" s="16" t="inlineStr">
        <is>
          <t>C</t>
        </is>
      </c>
      <c r="G126" s="18" t="n">
        <v>1</v>
      </c>
      <c r="H126" s="18" t="n"/>
      <c r="I126" s="19">
        <f>G126-IF(H126="",0,H126)</f>
        <v/>
      </c>
      <c r="J126" s="16" t="inlineStr">
        <is>
          <t>Stück</t>
        </is>
      </c>
      <c r="K126" s="16" t="inlineStr">
        <is>
          <t>gebraucht</t>
        </is>
      </c>
      <c r="L126" s="20" t="n"/>
      <c r="M126" s="20" t="n"/>
      <c r="N126" s="21" t="n"/>
      <c r="O126" s="21" t="n">
        <v>20</v>
      </c>
      <c r="P126" s="20" t="inlineStr">
        <is>
          <t>VHB</t>
        </is>
      </c>
      <c r="Q126" s="22">
        <f>I126*O126</f>
        <v/>
      </c>
      <c r="R126" s="16" t="inlineStr">
        <is>
          <t>Versand möglich</t>
        </is>
      </c>
      <c r="S126" s="16" t="inlineStr">
        <is>
          <t>F-095</t>
        </is>
      </c>
      <c r="T126" s="20" t="inlineStr">
        <is>
          <t>verfügbar</t>
        </is>
      </c>
      <c r="U126" s="20" t="inlineStr">
        <is>
          <t>Klinik</t>
        </is>
      </c>
      <c r="V126" s="20" t="n"/>
      <c r="W126" s="21" t="n"/>
      <c r="X126" s="22">
        <f>IF(H126="","",H126*W126)</f>
        <v/>
      </c>
      <c r="Y126" s="20" t="n"/>
      <c r="Z126" s="20" t="n"/>
      <c r="AA126" s="20" t="n"/>
      <c r="AB126" s="20" t="n"/>
      <c r="AC126" s="20" t="n"/>
      <c r="AD126" s="20" t="n"/>
      <c r="AE126" s="17" t="inlineStr">
        <is>
          <t>1 Stück im Bild</t>
        </is>
      </c>
      <c r="AF126" s="23" t="n"/>
    </row>
    <row r="127" ht="30" customHeight="1">
      <c r="A127" s="16" t="inlineStr">
        <is>
          <t>K-125</t>
        </is>
      </c>
      <c r="B127" s="16" t="inlineStr">
        <is>
          <t>Textilene-Stapelsessel anthrazit</t>
        </is>
      </c>
      <c r="C127" s="17" t="inlineStr">
        <is>
          <t>Hochlehner, Aluminiumrahmen mit Textilenbespannung, stapelbar</t>
        </is>
      </c>
      <c r="D127" s="16" t="inlineStr">
        <is>
          <t>Garten</t>
        </is>
      </c>
      <c r="E127" s="16" t="inlineStr">
        <is>
          <t>Terrasse</t>
        </is>
      </c>
      <c r="F127" s="16" t="inlineStr">
        <is>
          <t>B</t>
        </is>
      </c>
      <c r="G127" s="18" t="n">
        <v>4</v>
      </c>
      <c r="H127" s="18" t="n"/>
      <c r="I127" s="19">
        <f>G127-IF(H127="",0,H127)</f>
        <v/>
      </c>
      <c r="J127" s="16" t="inlineStr">
        <is>
          <t>Stück</t>
        </is>
      </c>
      <c r="K127" s="16" t="inlineStr">
        <is>
          <t>gut</t>
        </is>
      </c>
      <c r="L127" s="20" t="n"/>
      <c r="M127" s="20" t="n"/>
      <c r="N127" s="21" t="n"/>
      <c r="O127" s="21" t="n">
        <v>45</v>
      </c>
      <c r="P127" s="20" t="inlineStr">
        <is>
          <t>VHB</t>
        </is>
      </c>
      <c r="Q127" s="22">
        <f>I127*O127</f>
        <v/>
      </c>
      <c r="R127" s="16" t="inlineStr">
        <is>
          <t>nur Abholung</t>
        </is>
      </c>
      <c r="S127" s="16" t="inlineStr">
        <is>
          <t>F-096</t>
        </is>
      </c>
      <c r="T127" s="20" t="inlineStr">
        <is>
          <t>verfügbar</t>
        </is>
      </c>
      <c r="U127" s="20" t="inlineStr">
        <is>
          <t>Klinik</t>
        </is>
      </c>
      <c r="V127" s="20" t="n"/>
      <c r="W127" s="21" t="n"/>
      <c r="X127" s="22">
        <f>IF(H127="","",H127*W127)</f>
        <v/>
      </c>
      <c r="Y127" s="20" t="n"/>
      <c r="Z127" s="20" t="n"/>
      <c r="AA127" s="20" t="n"/>
      <c r="AB127" s="20" t="n"/>
      <c r="AC127" s="20" t="n"/>
      <c r="AD127" s="20" t="n"/>
      <c r="AE127" s="17" t="inlineStr">
        <is>
          <t>4 Stück im Bild</t>
        </is>
      </c>
      <c r="AF127" s="23" t="n"/>
    </row>
    <row r="128" ht="30" customHeight="1">
      <c r="A128" s="16" t="inlineStr">
        <is>
          <t>K-126</t>
        </is>
      </c>
      <c r="B128" s="16" t="inlineStr">
        <is>
          <t>Auflagenbox Rattanoptik</t>
        </is>
      </c>
      <c r="C128" s="17" t="inlineStr">
        <is>
          <t>Kunststoff-Auflagenbox in Rattanoptik, braun</t>
        </is>
      </c>
      <c r="D128" s="16" t="inlineStr">
        <is>
          <t>Garten</t>
        </is>
      </c>
      <c r="E128" s="16" t="inlineStr">
        <is>
          <t>Terrasse</t>
        </is>
      </c>
      <c r="F128" s="16" t="inlineStr">
        <is>
          <t>C</t>
        </is>
      </c>
      <c r="G128" s="18" t="n">
        <v>1</v>
      </c>
      <c r="H128" s="18" t="n"/>
      <c r="I128" s="19">
        <f>G128-IF(H128="",0,H128)</f>
        <v/>
      </c>
      <c r="J128" s="16" t="inlineStr">
        <is>
          <t>Stück</t>
        </is>
      </c>
      <c r="K128" s="16" t="inlineStr">
        <is>
          <t>gebraucht</t>
        </is>
      </c>
      <c r="L128" s="20" t="n"/>
      <c r="M128" s="20" t="n"/>
      <c r="N128" s="21" t="n"/>
      <c r="O128" s="21" t="n">
        <v>60</v>
      </c>
      <c r="P128" s="20" t="inlineStr">
        <is>
          <t>VHB</t>
        </is>
      </c>
      <c r="Q128" s="22">
        <f>I128*O128</f>
        <v/>
      </c>
      <c r="R128" s="16" t="inlineStr">
        <is>
          <t>nur Abholung</t>
        </is>
      </c>
      <c r="S128" s="16" t="inlineStr">
        <is>
          <t>F-096</t>
        </is>
      </c>
      <c r="T128" s="20" t="inlineStr">
        <is>
          <t>verfügbar</t>
        </is>
      </c>
      <c r="U128" s="20" t="inlineStr">
        <is>
          <t>Klinik</t>
        </is>
      </c>
      <c r="V128" s="20" t="n"/>
      <c r="W128" s="21" t="n"/>
      <c r="X128" s="22">
        <f>IF(H128="","",H128*W128)</f>
        <v/>
      </c>
      <c r="Y128" s="20" t="n"/>
      <c r="Z128" s="20" t="n"/>
      <c r="AA128" s="20" t="n"/>
      <c r="AB128" s="20" t="n"/>
      <c r="AC128" s="20" t="n"/>
      <c r="AD128" s="20" t="n"/>
      <c r="AE128" s="17" t="inlineStr">
        <is>
          <t>1 Box im Bild</t>
        </is>
      </c>
      <c r="AF128" s="23" t="n"/>
    </row>
    <row r="129" ht="30" customHeight="1">
      <c r="A129" s="16" t="inlineStr">
        <is>
          <t>K-127</t>
        </is>
      </c>
      <c r="B129" s="16" t="inlineStr">
        <is>
          <t>Pflanzkübel Beton weiß</t>
        </is>
      </c>
      <c r="C129" s="17" t="inlineStr">
        <is>
          <t>Runder Pflanzkübel, Betonoptik weiß, Durchmesser ca. 50 cm</t>
        </is>
      </c>
      <c r="D129" s="16" t="inlineStr">
        <is>
          <t>Garten</t>
        </is>
      </c>
      <c r="E129" s="16" t="inlineStr">
        <is>
          <t>Dachterrasse</t>
        </is>
      </c>
      <c r="F129" s="16" t="inlineStr">
        <is>
          <t>C</t>
        </is>
      </c>
      <c r="G129" s="18" t="n">
        <v>3</v>
      </c>
      <c r="H129" s="18" t="n"/>
      <c r="I129" s="19">
        <f>G129-IF(H129="",0,H129)</f>
        <v/>
      </c>
      <c r="J129" s="16" t="inlineStr">
        <is>
          <t>Stück</t>
        </is>
      </c>
      <c r="K129" s="16" t="inlineStr">
        <is>
          <t>gebraucht</t>
        </is>
      </c>
      <c r="L129" s="20" t="n"/>
      <c r="M129" s="20" t="n"/>
      <c r="N129" s="21" t="n"/>
      <c r="O129" s="21" t="n">
        <v>60</v>
      </c>
      <c r="P129" s="20" t="inlineStr">
        <is>
          <t>VHB</t>
        </is>
      </c>
      <c r="Q129" s="22">
        <f>I129*O129</f>
        <v/>
      </c>
      <c r="R129" s="16" t="inlineStr">
        <is>
          <t>nur Abholung</t>
        </is>
      </c>
      <c r="S129" s="16" t="inlineStr">
        <is>
          <t>F-098</t>
        </is>
      </c>
      <c r="T129" s="20" t="inlineStr">
        <is>
          <t>verfügbar</t>
        </is>
      </c>
      <c r="U129" s="20" t="inlineStr">
        <is>
          <t>Klinik</t>
        </is>
      </c>
      <c r="V129" s="20" t="n"/>
      <c r="W129" s="21" t="n"/>
      <c r="X129" s="22">
        <f>IF(H129="","",H129*W129)</f>
        <v/>
      </c>
      <c r="Y129" s="20" t="n"/>
      <c r="Z129" s="20" t="n"/>
      <c r="AA129" s="20" t="n"/>
      <c r="AB129" s="20" t="n"/>
      <c r="AC129" s="20" t="n"/>
      <c r="AD129" s="20" t="n"/>
      <c r="AE129" s="17" t="inlineStr">
        <is>
          <t>3 Kübel im Bild</t>
        </is>
      </c>
      <c r="AF129" s="23" t="n"/>
    </row>
    <row r="130" ht="30" customHeight="1">
      <c r="A130" s="16" t="inlineStr">
        <is>
          <t>K-128</t>
        </is>
      </c>
      <c r="B130" s="16" t="inlineStr">
        <is>
          <t>Gartenstuhl Kunststoff anthrazit</t>
        </is>
      </c>
      <c r="C130" s="17" t="inlineStr">
        <is>
          <t>Stapelbarer Gartenstuhl mit Armlehnen, anthrazit</t>
        </is>
      </c>
      <c r="D130" s="16" t="inlineStr">
        <is>
          <t>Garten</t>
        </is>
      </c>
      <c r="E130" s="16" t="inlineStr">
        <is>
          <t>Dachterrasse</t>
        </is>
      </c>
      <c r="F130" s="16" t="inlineStr">
        <is>
          <t>C</t>
        </is>
      </c>
      <c r="G130" s="18" t="n">
        <v>4</v>
      </c>
      <c r="H130" s="18" t="n"/>
      <c r="I130" s="19">
        <f>G130-IF(H130="",0,H130)</f>
        <v/>
      </c>
      <c r="J130" s="16" t="inlineStr">
        <is>
          <t>Stück</t>
        </is>
      </c>
      <c r="K130" s="16" t="inlineStr">
        <is>
          <t>gebraucht</t>
        </is>
      </c>
      <c r="L130" s="20" t="n"/>
      <c r="M130" s="20" t="n"/>
      <c r="N130" s="21" t="n"/>
      <c r="O130" s="21" t="n">
        <v>20</v>
      </c>
      <c r="P130" s="20" t="inlineStr">
        <is>
          <t>VHB</t>
        </is>
      </c>
      <c r="Q130" s="22">
        <f>I130*O130</f>
        <v/>
      </c>
      <c r="R130" s="16" t="inlineStr">
        <is>
          <t>nur Abholung</t>
        </is>
      </c>
      <c r="S130" s="16" t="inlineStr">
        <is>
          <t>F-099</t>
        </is>
      </c>
      <c r="T130" s="20" t="inlineStr">
        <is>
          <t>verfügbar</t>
        </is>
      </c>
      <c r="U130" s="20" t="inlineStr">
        <is>
          <t>Klinik</t>
        </is>
      </c>
      <c r="V130" s="20" t="n"/>
      <c r="W130" s="21" t="n"/>
      <c r="X130" s="22">
        <f>IF(H130="","",H130*W130)</f>
        <v/>
      </c>
      <c r="Y130" s="20" t="n"/>
      <c r="Z130" s="20" t="n"/>
      <c r="AA130" s="20" t="n"/>
      <c r="AB130" s="20" t="n"/>
      <c r="AC130" s="20" t="n"/>
      <c r="AD130" s="20" t="n"/>
      <c r="AE130" s="17" t="inlineStr">
        <is>
          <t>4 Stück gestapelt im Bild</t>
        </is>
      </c>
      <c r="AF130" s="23" t="n"/>
    </row>
    <row r="131" ht="30" customHeight="1">
      <c r="A131" s="16" t="inlineStr">
        <is>
          <t>K-129</t>
        </is>
      </c>
      <c r="B131" s="16" t="inlineStr">
        <is>
          <t>Gardena Schlauchbox</t>
        </is>
      </c>
      <c r="C131" s="17" t="inlineStr">
        <is>
          <t>Wandschlauchbox mit automatischem Aufroller</t>
        </is>
      </c>
      <c r="D131" s="16" t="inlineStr">
        <is>
          <t>Garten</t>
        </is>
      </c>
      <c r="E131" s="16" t="inlineStr">
        <is>
          <t>Außen</t>
        </is>
      </c>
      <c r="F131" s="16" t="inlineStr">
        <is>
          <t>C</t>
        </is>
      </c>
      <c r="G131" s="18" t="n">
        <v>1</v>
      </c>
      <c r="H131" s="18" t="n"/>
      <c r="I131" s="19">
        <f>G131-IF(H131="",0,H131)</f>
        <v/>
      </c>
      <c r="J131" s="16" t="inlineStr">
        <is>
          <t>Stück</t>
        </is>
      </c>
      <c r="K131" s="16" t="inlineStr">
        <is>
          <t>gut</t>
        </is>
      </c>
      <c r="L131" s="20" t="n"/>
      <c r="M131" s="20" t="n"/>
      <c r="N131" s="21" t="n"/>
      <c r="O131" s="21" t="n">
        <v>60</v>
      </c>
      <c r="P131" s="20" t="inlineStr">
        <is>
          <t>VHB</t>
        </is>
      </c>
      <c r="Q131" s="22">
        <f>I131*O131</f>
        <v/>
      </c>
      <c r="R131" s="16" t="inlineStr">
        <is>
          <t>nur Abholung</t>
        </is>
      </c>
      <c r="S131" s="16" t="inlineStr">
        <is>
          <t>F-100</t>
        </is>
      </c>
      <c r="T131" s="20" t="inlineStr">
        <is>
          <t>verfügbar</t>
        </is>
      </c>
      <c r="U131" s="20" t="inlineStr">
        <is>
          <t>Klinik</t>
        </is>
      </c>
      <c r="V131" s="20" t="n"/>
      <c r="W131" s="21" t="n"/>
      <c r="X131" s="22">
        <f>IF(H131="","",H131*W131)</f>
        <v/>
      </c>
      <c r="Y131" s="20" t="n"/>
      <c r="Z131" s="20" t="n"/>
      <c r="AA131" s="20" t="n"/>
      <c r="AB131" s="20" t="n"/>
      <c r="AC131" s="20" t="n"/>
      <c r="AD131" s="20" t="n"/>
      <c r="AE131" s="17" t="inlineStr">
        <is>
          <t>1 Stück im Bild</t>
        </is>
      </c>
      <c r="AF131" s="23" t="n"/>
    </row>
    <row r="132" ht="30" customHeight="1">
      <c r="A132" s="16" t="inlineStr">
        <is>
          <t>K-130</t>
        </is>
      </c>
      <c r="B132" s="16" t="inlineStr">
        <is>
          <t>Gartentisch anthrazit</t>
        </is>
      </c>
      <c r="C132" s="17" t="inlineStr">
        <is>
          <t>Aluminiumrahmen mit Lamellenplatte in Holzoptik, anthrazit</t>
        </is>
      </c>
      <c r="D132" s="16" t="inlineStr">
        <is>
          <t>Garten</t>
        </is>
      </c>
      <c r="E132" s="16" t="inlineStr">
        <is>
          <t>Dachterrasse</t>
        </is>
      </c>
      <c r="F132" s="16" t="inlineStr">
        <is>
          <t>B</t>
        </is>
      </c>
      <c r="G132" s="18" t="n">
        <v>1</v>
      </c>
      <c r="H132" s="18" t="n"/>
      <c r="I132" s="19">
        <f>G132-IF(H132="",0,H132)</f>
        <v/>
      </c>
      <c r="J132" s="16" t="inlineStr">
        <is>
          <t>Stück</t>
        </is>
      </c>
      <c r="K132" s="16" t="inlineStr">
        <is>
          <t>gut</t>
        </is>
      </c>
      <c r="L132" s="20" t="n"/>
      <c r="M132" s="20" t="n"/>
      <c r="N132" s="21" t="n"/>
      <c r="O132" s="21" t="n">
        <v>150</v>
      </c>
      <c r="P132" s="20" t="inlineStr">
        <is>
          <t>VHB</t>
        </is>
      </c>
      <c r="Q132" s="22">
        <f>I132*O132</f>
        <v/>
      </c>
      <c r="R132" s="16" t="inlineStr">
        <is>
          <t>nur Abholung</t>
        </is>
      </c>
      <c r="S132" s="16" t="inlineStr">
        <is>
          <t>F-101</t>
        </is>
      </c>
      <c r="T132" s="20" t="inlineStr">
        <is>
          <t>verfügbar</t>
        </is>
      </c>
      <c r="U132" s="20" t="inlineStr">
        <is>
          <t>Klinik</t>
        </is>
      </c>
      <c r="V132" s="20" t="n"/>
      <c r="W132" s="21" t="n"/>
      <c r="X132" s="22">
        <f>IF(H132="","",H132*W132)</f>
        <v/>
      </c>
      <c r="Y132" s="20" t="n"/>
      <c r="Z132" s="20" t="n"/>
      <c r="AA132" s="20" t="n"/>
      <c r="AB132" s="20" t="n"/>
      <c r="AC132" s="20" t="n"/>
      <c r="AD132" s="20" t="n"/>
      <c r="AE132" s="17" t="inlineStr">
        <is>
          <t>1 Tisch im Bild</t>
        </is>
      </c>
      <c r="AF132" s="23" t="n"/>
    </row>
    <row r="133" ht="30" customHeight="1">
      <c r="A133" s="16" t="inlineStr">
        <is>
          <t>K-131</t>
        </is>
      </c>
      <c r="B133" s="16" t="inlineStr">
        <is>
          <t>Stapelstuhl anthrazit, Designform</t>
        </is>
      </c>
      <c r="C133" s="17" t="inlineStr">
        <is>
          <t>Kunststoff-Schalenstuhl mit Armlehnen, anthrazit, stapelbar</t>
        </is>
      </c>
      <c r="D133" s="16" t="inlineStr">
        <is>
          <t>Garten</t>
        </is>
      </c>
      <c r="E133" s="16" t="inlineStr">
        <is>
          <t>Dachterrasse</t>
        </is>
      </c>
      <c r="F133" s="16" t="inlineStr">
        <is>
          <t>B</t>
        </is>
      </c>
      <c r="G133" s="18" t="n">
        <v>4</v>
      </c>
      <c r="H133" s="18" t="n"/>
      <c r="I133" s="19">
        <f>G133-IF(H133="",0,H133)</f>
        <v/>
      </c>
      <c r="J133" s="16" t="inlineStr">
        <is>
          <t>Stück</t>
        </is>
      </c>
      <c r="K133" s="16" t="inlineStr">
        <is>
          <t>gut</t>
        </is>
      </c>
      <c r="L133" s="20" t="n"/>
      <c r="M133" s="20" t="n"/>
      <c r="N133" s="21" t="n"/>
      <c r="O133" s="21" t="n">
        <v>35</v>
      </c>
      <c r="P133" s="20" t="inlineStr">
        <is>
          <t>VHB</t>
        </is>
      </c>
      <c r="Q133" s="22">
        <f>I133*O133</f>
        <v/>
      </c>
      <c r="R133" s="16" t="inlineStr">
        <is>
          <t>nur Abholung</t>
        </is>
      </c>
      <c r="S133" s="16" t="inlineStr">
        <is>
          <t>F-101</t>
        </is>
      </c>
      <c r="T133" s="20" t="inlineStr">
        <is>
          <t>verfügbar</t>
        </is>
      </c>
      <c r="U133" s="20" t="inlineStr">
        <is>
          <t>Klinik</t>
        </is>
      </c>
      <c r="V133" s="20" t="n"/>
      <c r="W133" s="21" t="n"/>
      <c r="X133" s="22">
        <f>IF(H133="","",H133*W133)</f>
        <v/>
      </c>
      <c r="Y133" s="20" t="n"/>
      <c r="Z133" s="20" t="n"/>
      <c r="AA133" s="20" t="n"/>
      <c r="AB133" s="20" t="n"/>
      <c r="AC133" s="20" t="n"/>
      <c r="AD133" s="20" t="n"/>
      <c r="AE133" s="17" t="inlineStr">
        <is>
          <t>4 Stück im Bild</t>
        </is>
      </c>
      <c r="AF133" s="23" t="n"/>
    </row>
    <row r="134" ht="30" customHeight="1">
      <c r="A134" s="16" t="inlineStr">
        <is>
          <t>K-132</t>
        </is>
      </c>
      <c r="B134" s="16" t="inlineStr">
        <is>
          <t>Weber Genesis Gasgrill</t>
        </is>
      </c>
      <c r="C134" s="17" t="inlineStr">
        <is>
          <t>Weber Genesis, Kupfer/Edelstahl, 4 Brenner mit Sear Station, inkl. Gasflasche</t>
        </is>
      </c>
      <c r="D134" s="16" t="inlineStr">
        <is>
          <t>Garten</t>
        </is>
      </c>
      <c r="E134" s="16" t="inlineStr">
        <is>
          <t>Terrasse hinten</t>
        </is>
      </c>
      <c r="F134" s="16" t="inlineStr">
        <is>
          <t>A</t>
        </is>
      </c>
      <c r="G134" s="18" t="n">
        <v>1</v>
      </c>
      <c r="H134" s="18" t="n"/>
      <c r="I134" s="19">
        <f>G134-IF(H134="",0,H134)</f>
        <v/>
      </c>
      <c r="J134" s="16" t="inlineStr">
        <is>
          <t>Stück</t>
        </is>
      </c>
      <c r="K134" s="16" t="inlineStr">
        <is>
          <t>gebraucht</t>
        </is>
      </c>
      <c r="L134" s="20" t="n"/>
      <c r="M134" s="20" t="n"/>
      <c r="N134" s="21" t="n"/>
      <c r="O134" s="21" t="n">
        <v>450</v>
      </c>
      <c r="P134" s="20" t="inlineStr">
        <is>
          <t>VHB</t>
        </is>
      </c>
      <c r="Q134" s="22">
        <f>I134*O134</f>
        <v/>
      </c>
      <c r="R134" s="16" t="inlineStr">
        <is>
          <t>nur Abholung</t>
        </is>
      </c>
      <c r="S134" s="16" t="inlineStr">
        <is>
          <t>F-102</t>
        </is>
      </c>
      <c r="T134" s="20" t="inlineStr">
        <is>
          <t>verfügbar</t>
        </is>
      </c>
      <c r="U134" s="20" t="inlineStr">
        <is>
          <t>Klinik</t>
        </is>
      </c>
      <c r="V134" s="20" t="n"/>
      <c r="W134" s="21" t="n"/>
      <c r="X134" s="22">
        <f>IF(H134="","",H134*W134)</f>
        <v/>
      </c>
      <c r="Y134" s="20" t="n"/>
      <c r="Z134" s="20" t="n"/>
      <c r="AA134" s="20" t="n"/>
      <c r="AB134" s="20" t="n"/>
      <c r="AC134" s="20" t="n"/>
      <c r="AD134" s="20" t="n"/>
      <c r="AE134" s="17" t="inlineStr">
        <is>
          <t>1 Grill im Bild</t>
        </is>
      </c>
      <c r="AF134" s="23" t="n"/>
    </row>
    <row r="135" ht="30" customHeight="1">
      <c r="A135" s="16" t="inlineStr">
        <is>
          <t>K-133</t>
        </is>
      </c>
      <c r="B135" s="16" t="inlineStr">
        <is>
          <t>Sonnenschirm creme</t>
        </is>
      </c>
      <c r="C135" s="17" t="inlineStr">
        <is>
          <t>Marktschirm mit Holzstiel, creme, ca. 3 m Durchmesser</t>
        </is>
      </c>
      <c r="D135" s="16" t="inlineStr">
        <is>
          <t>Garten</t>
        </is>
      </c>
      <c r="E135" s="16" t="inlineStr">
        <is>
          <t>Terrasse hinten</t>
        </is>
      </c>
      <c r="F135" s="16" t="inlineStr">
        <is>
          <t>C</t>
        </is>
      </c>
      <c r="G135" s="18" t="n">
        <v>1</v>
      </c>
      <c r="H135" s="18" t="n"/>
      <c r="I135" s="19">
        <f>G135-IF(H135="",0,H135)</f>
        <v/>
      </c>
      <c r="J135" s="16" t="inlineStr">
        <is>
          <t>Stück</t>
        </is>
      </c>
      <c r="K135" s="16" t="inlineStr">
        <is>
          <t>gebraucht</t>
        </is>
      </c>
      <c r="L135" s="20" t="n"/>
      <c r="M135" s="20" t="n"/>
      <c r="N135" s="21" t="n"/>
      <c r="O135" s="21" t="n">
        <v>70</v>
      </c>
      <c r="P135" s="20" t="inlineStr">
        <is>
          <t>VHB</t>
        </is>
      </c>
      <c r="Q135" s="22">
        <f>I135*O135</f>
        <v/>
      </c>
      <c r="R135" s="16" t="inlineStr">
        <is>
          <t>nur Abholung</t>
        </is>
      </c>
      <c r="S135" s="16" t="inlineStr">
        <is>
          <t>F-103</t>
        </is>
      </c>
      <c r="T135" s="20" t="inlineStr">
        <is>
          <t>verfügbar</t>
        </is>
      </c>
      <c r="U135" s="20" t="inlineStr">
        <is>
          <t>Klinik</t>
        </is>
      </c>
      <c r="V135" s="20" t="n"/>
      <c r="W135" s="21" t="n"/>
      <c r="X135" s="22">
        <f>IF(H135="","",H135*W135)</f>
        <v/>
      </c>
      <c r="Y135" s="20" t="n"/>
      <c r="Z135" s="20" t="n"/>
      <c r="AA135" s="20" t="n"/>
      <c r="AB135" s="20" t="n"/>
      <c r="AC135" s="20" t="n"/>
      <c r="AD135" s="20" t="n"/>
      <c r="AE135" s="17" t="inlineStr">
        <is>
          <t>1 Schirm im Bild</t>
        </is>
      </c>
      <c r="AF135" s="23" t="n"/>
    </row>
    <row r="136" ht="30" customHeight="1">
      <c r="A136" s="16" t="inlineStr">
        <is>
          <t>K-134</t>
        </is>
      </c>
      <c r="B136" s="16" t="inlineStr">
        <is>
          <t>Loungesessel Kunststoff weiß</t>
        </is>
      </c>
      <c r="C136" s="17" t="inlineStr">
        <is>
          <t>Stapelbarer Loungesessel aus Kunststoff, weiß</t>
        </is>
      </c>
      <c r="D136" s="16" t="inlineStr">
        <is>
          <t>Garten</t>
        </is>
      </c>
      <c r="E136" s="16" t="inlineStr">
        <is>
          <t>Dachterrasse</t>
        </is>
      </c>
      <c r="F136" s="16" t="inlineStr">
        <is>
          <t>C</t>
        </is>
      </c>
      <c r="G136" s="18" t="n">
        <v>2</v>
      </c>
      <c r="H136" s="18" t="n"/>
      <c r="I136" s="19">
        <f>G136-IF(H136="",0,H136)</f>
        <v/>
      </c>
      <c r="J136" s="16" t="inlineStr">
        <is>
          <t>Stück</t>
        </is>
      </c>
      <c r="K136" s="16" t="inlineStr">
        <is>
          <t>gebraucht</t>
        </is>
      </c>
      <c r="L136" s="20" t="n"/>
      <c r="M136" s="20" t="n"/>
      <c r="N136" s="21" t="n"/>
      <c r="O136" s="21" t="n">
        <v>60</v>
      </c>
      <c r="P136" s="20" t="inlineStr">
        <is>
          <t>VHB</t>
        </is>
      </c>
      <c r="Q136" s="22">
        <f>I136*O136</f>
        <v/>
      </c>
      <c r="R136" s="16" t="inlineStr">
        <is>
          <t>nur Abholung</t>
        </is>
      </c>
      <c r="S136" s="16" t="inlineStr">
        <is>
          <t>F-104</t>
        </is>
      </c>
      <c r="T136" s="20" t="inlineStr">
        <is>
          <t>verfügbar</t>
        </is>
      </c>
      <c r="U136" s="20" t="inlineStr">
        <is>
          <t>Klinik</t>
        </is>
      </c>
      <c r="V136" s="20" t="n"/>
      <c r="W136" s="21" t="n"/>
      <c r="X136" s="22">
        <f>IF(H136="","",H136*W136)</f>
        <v/>
      </c>
      <c r="Y136" s="20" t="n"/>
      <c r="Z136" s="20" t="n"/>
      <c r="AA136" s="20" t="n"/>
      <c r="AB136" s="20" t="n"/>
      <c r="AC136" s="20" t="n"/>
      <c r="AD136" s="20" t="n"/>
      <c r="AE136" s="17" t="inlineStr">
        <is>
          <t>2 Stück gestapelt im Bild</t>
        </is>
      </c>
      <c r="AF136" s="23" t="n"/>
    </row>
    <row r="137" ht="30" customHeight="1">
      <c r="A137" s="16" t="inlineStr">
        <is>
          <t>K-135</t>
        </is>
      </c>
      <c r="B137" s="16" t="inlineStr">
        <is>
          <t>Rattansessel schwarz-weiß</t>
        </is>
      </c>
      <c r="C137" s="17" t="inlineStr">
        <is>
          <t>Polyrattan-Sessel, schwarz-weiß gestreift</t>
        </is>
      </c>
      <c r="D137" s="16" t="inlineStr">
        <is>
          <t>Garten</t>
        </is>
      </c>
      <c r="E137" s="16" t="inlineStr">
        <is>
          <t>Dachterrasse</t>
        </is>
      </c>
      <c r="F137" s="16" t="inlineStr">
        <is>
          <t>C</t>
        </is>
      </c>
      <c r="G137" s="18" t="n">
        <v>1</v>
      </c>
      <c r="H137" s="18" t="n"/>
      <c r="I137" s="19">
        <f>G137-IF(H137="",0,H137)</f>
        <v/>
      </c>
      <c r="J137" s="16" t="inlineStr">
        <is>
          <t>Stück</t>
        </is>
      </c>
      <c r="K137" s="16" t="inlineStr">
        <is>
          <t>gebraucht</t>
        </is>
      </c>
      <c r="L137" s="20" t="n"/>
      <c r="M137" s="20" t="n"/>
      <c r="N137" s="21" t="n"/>
      <c r="O137" s="21" t="n">
        <v>70</v>
      </c>
      <c r="P137" s="20" t="inlineStr">
        <is>
          <t>VHB</t>
        </is>
      </c>
      <c r="Q137" s="22">
        <f>I137*O137</f>
        <v/>
      </c>
      <c r="R137" s="16" t="inlineStr">
        <is>
          <t>nur Abholung</t>
        </is>
      </c>
      <c r="S137" s="16" t="inlineStr">
        <is>
          <t>F-104</t>
        </is>
      </c>
      <c r="T137" s="20" t="inlineStr">
        <is>
          <t>verfügbar</t>
        </is>
      </c>
      <c r="U137" s="20" t="inlineStr">
        <is>
          <t>Klinik</t>
        </is>
      </c>
      <c r="V137" s="20" t="n"/>
      <c r="W137" s="21" t="n"/>
      <c r="X137" s="22">
        <f>IF(H137="","",H137*W137)</f>
        <v/>
      </c>
      <c r="Y137" s="20" t="n"/>
      <c r="Z137" s="20" t="n"/>
      <c r="AA137" s="20" t="n"/>
      <c r="AB137" s="20" t="n"/>
      <c r="AC137" s="20" t="n"/>
      <c r="AD137" s="20" t="n"/>
      <c r="AE137" s="17" t="inlineStr">
        <is>
          <t>1 Sessel im Bild</t>
        </is>
      </c>
      <c r="AF137" s="23" t="n"/>
    </row>
    <row r="138" ht="30" customHeight="1">
      <c r="A138" s="16" t="inlineStr">
        <is>
          <t>K-136</t>
        </is>
      </c>
      <c r="B138" s="16" t="inlineStr">
        <is>
          <t>Kinder-Gartenstuhl rot</t>
        </is>
      </c>
      <c r="C138" s="17" t="inlineStr">
        <is>
          <t>Kunststoff-Gartenstuhl in Kindergröße, rot</t>
        </is>
      </c>
      <c r="D138" s="16" t="inlineStr">
        <is>
          <t>Garten</t>
        </is>
      </c>
      <c r="E138" s="16" t="inlineStr">
        <is>
          <t>Dachterrasse</t>
        </is>
      </c>
      <c r="F138" s="16" t="inlineStr">
        <is>
          <t>C</t>
        </is>
      </c>
      <c r="G138" s="18" t="n">
        <v>3</v>
      </c>
      <c r="H138" s="18" t="n"/>
      <c r="I138" s="19">
        <f>G138-IF(H138="",0,H138)</f>
        <v/>
      </c>
      <c r="J138" s="16" t="inlineStr">
        <is>
          <t>Stück</t>
        </is>
      </c>
      <c r="K138" s="16" t="inlineStr">
        <is>
          <t>gebraucht</t>
        </is>
      </c>
      <c r="L138" s="20" t="n"/>
      <c r="M138" s="20" t="n"/>
      <c r="N138" s="21" t="n"/>
      <c r="O138" s="21" t="n">
        <v>15</v>
      </c>
      <c r="P138" s="20" t="inlineStr">
        <is>
          <t>VHB</t>
        </is>
      </c>
      <c r="Q138" s="22">
        <f>I138*O138</f>
        <v/>
      </c>
      <c r="R138" s="16" t="inlineStr">
        <is>
          <t>Versand möglich</t>
        </is>
      </c>
      <c r="S138" s="16" t="inlineStr">
        <is>
          <t>F-104</t>
        </is>
      </c>
      <c r="T138" s="20" t="inlineStr">
        <is>
          <t>verfügbar</t>
        </is>
      </c>
      <c r="U138" s="20" t="inlineStr">
        <is>
          <t>Klinik</t>
        </is>
      </c>
      <c r="V138" s="20" t="n"/>
      <c r="W138" s="21" t="n"/>
      <c r="X138" s="22">
        <f>IF(H138="","",H138*W138)</f>
        <v/>
      </c>
      <c r="Y138" s="20" t="n"/>
      <c r="Z138" s="20" t="n"/>
      <c r="AA138" s="20" t="n"/>
      <c r="AB138" s="20" t="n"/>
      <c r="AC138" s="20" t="n"/>
      <c r="AD138" s="20" t="n"/>
      <c r="AE138" s="17" t="inlineStr">
        <is>
          <t>ca. 3 Stück im Bild - bitte nachzählen</t>
        </is>
      </c>
      <c r="AF138" s="23" t="n"/>
    </row>
    <row r="139" ht="30" customHeight="1">
      <c r="A139" s="16" t="inlineStr">
        <is>
          <t>K-137</t>
        </is>
      </c>
      <c r="B139" s="16" t="inlineStr">
        <is>
          <t>Teak-Klappstuhl</t>
        </is>
      </c>
      <c r="C139" s="17" t="inlineStr">
        <is>
          <t>Gartenklappstuhl aus Hartholz/Teak</t>
        </is>
      </c>
      <c r="D139" s="16" t="inlineStr">
        <is>
          <t>Garten</t>
        </is>
      </c>
      <c r="E139" s="16" t="inlineStr">
        <is>
          <t>Dachterrasse</t>
        </is>
      </c>
      <c r="F139" s="16" t="inlineStr">
        <is>
          <t>A</t>
        </is>
      </c>
      <c r="G139" s="18" t="n">
        <v>6</v>
      </c>
      <c r="H139" s="18" t="n"/>
      <c r="I139" s="19">
        <f>G139-IF(H139="",0,H139)</f>
        <v/>
      </c>
      <c r="J139" s="16" t="inlineStr">
        <is>
          <t>Stück</t>
        </is>
      </c>
      <c r="K139" s="16" t="inlineStr">
        <is>
          <t>gebraucht</t>
        </is>
      </c>
      <c r="L139" s="20" t="n"/>
      <c r="M139" s="20" t="n"/>
      <c r="N139" s="21" t="n"/>
      <c r="O139" s="21" t="n">
        <v>55</v>
      </c>
      <c r="P139" s="20" t="inlineStr">
        <is>
          <t>VHB</t>
        </is>
      </c>
      <c r="Q139" s="22">
        <f>I139*O139</f>
        <v/>
      </c>
      <c r="R139" s="16" t="inlineStr">
        <is>
          <t>nur Abholung</t>
        </is>
      </c>
      <c r="S139" s="16" t="inlineStr">
        <is>
          <t>F-105</t>
        </is>
      </c>
      <c r="T139" s="20" t="inlineStr">
        <is>
          <t>verfügbar</t>
        </is>
      </c>
      <c r="U139" s="20" t="inlineStr">
        <is>
          <t>Klinik</t>
        </is>
      </c>
      <c r="V139" s="20" t="n"/>
      <c r="W139" s="21" t="n"/>
      <c r="X139" s="22">
        <f>IF(H139="","",H139*W139)</f>
        <v/>
      </c>
      <c r="Y139" s="20" t="n"/>
      <c r="Z139" s="20" t="n"/>
      <c r="AA139" s="20" t="n"/>
      <c r="AB139" s="20" t="n"/>
      <c r="AC139" s="20" t="n"/>
      <c r="AD139" s="20" t="n"/>
      <c r="AE139" s="17" t="inlineStr">
        <is>
          <t>ca. 6 Stück im Bild - bitte nachzählen</t>
        </is>
      </c>
      <c r="AF139" s="23" t="n"/>
    </row>
    <row r="140" ht="30" customHeight="1">
      <c r="A140" s="16" t="inlineStr">
        <is>
          <t>K-138</t>
        </is>
      </c>
      <c r="B140" s="16" t="inlineStr">
        <is>
          <t>Teak-Klapptisch rund</t>
        </is>
      </c>
      <c r="C140" s="17" t="inlineStr">
        <is>
          <t>Runder Gartenklapptisch aus Hartholz/Teak</t>
        </is>
      </c>
      <c r="D140" s="16" t="inlineStr">
        <is>
          <t>Garten</t>
        </is>
      </c>
      <c r="E140" s="16" t="inlineStr">
        <is>
          <t>Dachterrasse</t>
        </is>
      </c>
      <c r="F140" s="16" t="inlineStr">
        <is>
          <t>A</t>
        </is>
      </c>
      <c r="G140" s="18" t="n">
        <v>1</v>
      </c>
      <c r="H140" s="18" t="n"/>
      <c r="I140" s="19">
        <f>G140-IF(H140="",0,H140)</f>
        <v/>
      </c>
      <c r="J140" s="16" t="inlineStr">
        <is>
          <t>Stück</t>
        </is>
      </c>
      <c r="K140" s="16" t="inlineStr">
        <is>
          <t>gebraucht</t>
        </is>
      </c>
      <c r="L140" s="20" t="n"/>
      <c r="M140" s="20" t="n"/>
      <c r="N140" s="21" t="n"/>
      <c r="O140" s="21" t="n">
        <v>150</v>
      </c>
      <c r="P140" s="20" t="inlineStr">
        <is>
          <t>VHB</t>
        </is>
      </c>
      <c r="Q140" s="22">
        <f>I140*O140</f>
        <v/>
      </c>
      <c r="R140" s="16" t="inlineStr">
        <is>
          <t>nur Abholung</t>
        </is>
      </c>
      <c r="S140" s="16" t="inlineStr">
        <is>
          <t>F-105</t>
        </is>
      </c>
      <c r="T140" s="20" t="inlineStr">
        <is>
          <t>verfügbar</t>
        </is>
      </c>
      <c r="U140" s="20" t="inlineStr">
        <is>
          <t>Klinik</t>
        </is>
      </c>
      <c r="V140" s="20" t="n"/>
      <c r="W140" s="21" t="n"/>
      <c r="X140" s="22">
        <f>IF(H140="","",H140*W140)</f>
        <v/>
      </c>
      <c r="Y140" s="20" t="n"/>
      <c r="Z140" s="20" t="n"/>
      <c r="AA140" s="20" t="n"/>
      <c r="AB140" s="20" t="n"/>
      <c r="AC140" s="20" t="n"/>
      <c r="AD140" s="20" t="n"/>
      <c r="AE140" s="17" t="inlineStr">
        <is>
          <t>1 Tisch im Bild</t>
        </is>
      </c>
      <c r="AF140" s="23" t="n"/>
    </row>
    <row r="141" ht="30" customHeight="1">
      <c r="A141" s="16" t="inlineStr">
        <is>
          <t>K-139</t>
        </is>
      </c>
      <c r="B141" s="16" t="inlineStr">
        <is>
          <t>Pflanzkübel grau, groß</t>
        </is>
      </c>
      <c r="C141" s="17" t="inlineStr">
        <is>
          <t>Kunststoff-Pflanzkübel grau, Durchmesser ca. 60 cm</t>
        </is>
      </c>
      <c r="D141" s="16" t="inlineStr">
        <is>
          <t>Garten</t>
        </is>
      </c>
      <c r="E141" s="16" t="inlineStr">
        <is>
          <t>Dachterrasse</t>
        </is>
      </c>
      <c r="F141" s="16" t="inlineStr">
        <is>
          <t>C</t>
        </is>
      </c>
      <c r="G141" s="18" t="n">
        <v>1</v>
      </c>
      <c r="H141" s="18" t="n"/>
      <c r="I141" s="19">
        <f>G141-IF(H141="",0,H141)</f>
        <v/>
      </c>
      <c r="J141" s="16" t="inlineStr">
        <is>
          <t>Stück</t>
        </is>
      </c>
      <c r="K141" s="16" t="inlineStr">
        <is>
          <t>gut</t>
        </is>
      </c>
      <c r="L141" s="20" t="n"/>
      <c r="M141" s="20" t="n"/>
      <c r="N141" s="21" t="n"/>
      <c r="O141" s="21" t="n">
        <v>45</v>
      </c>
      <c r="P141" s="20" t="inlineStr">
        <is>
          <t>VHB</t>
        </is>
      </c>
      <c r="Q141" s="22">
        <f>I141*O141</f>
        <v/>
      </c>
      <c r="R141" s="16" t="inlineStr">
        <is>
          <t>nur Abholung</t>
        </is>
      </c>
      <c r="S141" s="16" t="inlineStr">
        <is>
          <t>F-106</t>
        </is>
      </c>
      <c r="T141" s="20" t="inlineStr">
        <is>
          <t>verfügbar</t>
        </is>
      </c>
      <c r="U141" s="20" t="inlineStr">
        <is>
          <t>Klinik</t>
        </is>
      </c>
      <c r="V141" s="20" t="n"/>
      <c r="W141" s="21" t="n"/>
      <c r="X141" s="22">
        <f>IF(H141="","",H141*W141)</f>
        <v/>
      </c>
      <c r="Y141" s="20" t="n"/>
      <c r="Z141" s="20" t="n"/>
      <c r="AA141" s="20" t="n"/>
      <c r="AB141" s="20" t="n"/>
      <c r="AC141" s="20" t="n"/>
      <c r="AD141" s="20" t="n"/>
      <c r="AE141" s="17" t="inlineStr">
        <is>
          <t>1 Kübel im Bild</t>
        </is>
      </c>
      <c r="AF141" s="23" t="n"/>
    </row>
    <row r="142" ht="30" customHeight="1">
      <c r="A142" s="16" t="inlineStr">
        <is>
          <t>K-140</t>
        </is>
      </c>
      <c r="B142" s="16" t="inlineStr">
        <is>
          <t>Holzstern mit Lichterkette</t>
        </is>
      </c>
      <c r="C142" s="17" t="inlineStr">
        <is>
          <t>Großer Dekostern aus Holzlatten mit Lichterkette, ca. 2 m</t>
        </is>
      </c>
      <c r="D142" s="16" t="inlineStr">
        <is>
          <t>Deko</t>
        </is>
      </c>
      <c r="E142" s="16" t="inlineStr">
        <is>
          <t>Dachterrasse</t>
        </is>
      </c>
      <c r="F142" s="16" t="inlineStr">
        <is>
          <t>B</t>
        </is>
      </c>
      <c r="G142" s="18" t="n">
        <v>1</v>
      </c>
      <c r="H142" s="18" t="n"/>
      <c r="I142" s="19">
        <f>G142-IF(H142="",0,H142)</f>
        <v/>
      </c>
      <c r="J142" s="16" t="inlineStr">
        <is>
          <t>Stück</t>
        </is>
      </c>
      <c r="K142" s="16" t="inlineStr">
        <is>
          <t>gebraucht</t>
        </is>
      </c>
      <c r="L142" s="20" t="n"/>
      <c r="M142" s="20" t="n"/>
      <c r="N142" s="21" t="n"/>
      <c r="O142" s="21" t="n">
        <v>120</v>
      </c>
      <c r="P142" s="20" t="inlineStr">
        <is>
          <t>VHB</t>
        </is>
      </c>
      <c r="Q142" s="22">
        <f>I142*O142</f>
        <v/>
      </c>
      <c r="R142" s="16" t="inlineStr">
        <is>
          <t>nur Abholung</t>
        </is>
      </c>
      <c r="S142" s="16" t="inlineStr">
        <is>
          <t>F-107</t>
        </is>
      </c>
      <c r="T142" s="20" t="inlineStr">
        <is>
          <t>verfügbar</t>
        </is>
      </c>
      <c r="U142" s="20" t="inlineStr">
        <is>
          <t>Klinik</t>
        </is>
      </c>
      <c r="V142" s="20" t="n"/>
      <c r="W142" s="21" t="n"/>
      <c r="X142" s="22">
        <f>IF(H142="","",H142*W142)</f>
        <v/>
      </c>
      <c r="Y142" s="20" t="n"/>
      <c r="Z142" s="20" t="n"/>
      <c r="AA142" s="20" t="n"/>
      <c r="AB142" s="20" t="n"/>
      <c r="AC142" s="20" t="n"/>
      <c r="AD142" s="20" t="n"/>
      <c r="AE142" s="17" t="inlineStr">
        <is>
          <t>1 Stern im Bild</t>
        </is>
      </c>
      <c r="AF142" s="23" t="n"/>
    </row>
    <row r="143" ht="30" customHeight="1">
      <c r="A143" s="16" t="inlineStr">
        <is>
          <t>K-141</t>
        </is>
      </c>
      <c r="B143" s="16" t="inlineStr">
        <is>
          <t>Bistro-Set schwarz Metall</t>
        </is>
      </c>
      <c r="C143" s="17" t="inlineStr">
        <is>
          <t>Gartentisch mit 2 Stühlen, schwarzes Metall, klappbar</t>
        </is>
      </c>
      <c r="D143" s="16" t="inlineStr">
        <is>
          <t>Garten</t>
        </is>
      </c>
      <c r="E143" s="16" t="inlineStr">
        <is>
          <t>Dachterrasse</t>
        </is>
      </c>
      <c r="F143" s="16" t="inlineStr">
        <is>
          <t>C</t>
        </is>
      </c>
      <c r="G143" s="18" t="n">
        <v>1</v>
      </c>
      <c r="H143" s="18" t="n"/>
      <c r="I143" s="19">
        <f>G143-IF(H143="",0,H143)</f>
        <v/>
      </c>
      <c r="J143" s="16" t="inlineStr">
        <is>
          <t>Set</t>
        </is>
      </c>
      <c r="K143" s="16" t="inlineStr">
        <is>
          <t>gebraucht</t>
        </is>
      </c>
      <c r="L143" s="20" t="n"/>
      <c r="M143" s="20" t="n"/>
      <c r="N143" s="21" t="n"/>
      <c r="O143" s="21" t="n">
        <v>90</v>
      </c>
      <c r="P143" s="20" t="inlineStr">
        <is>
          <t>VHB</t>
        </is>
      </c>
      <c r="Q143" s="22">
        <f>I143*O143</f>
        <v/>
      </c>
      <c r="R143" s="16" t="inlineStr">
        <is>
          <t>nur Abholung</t>
        </is>
      </c>
      <c r="S143" s="16" t="inlineStr">
        <is>
          <t>F-107</t>
        </is>
      </c>
      <c r="T143" s="20" t="inlineStr">
        <is>
          <t>verfügbar</t>
        </is>
      </c>
      <c r="U143" s="20" t="inlineStr">
        <is>
          <t>Klinik</t>
        </is>
      </c>
      <c r="V143" s="20" t="n"/>
      <c r="W143" s="21" t="n"/>
      <c r="X143" s="22">
        <f>IF(H143="","",H143*W143)</f>
        <v/>
      </c>
      <c r="Y143" s="20" t="n"/>
      <c r="Z143" s="20" t="n"/>
      <c r="AA143" s="20" t="n"/>
      <c r="AB143" s="20" t="n"/>
      <c r="AC143" s="20" t="n"/>
      <c r="AD143" s="20" t="n"/>
      <c r="AE143" s="17" t="inlineStr">
        <is>
          <t>1 Tisch mit 2 Stühlen im Bild</t>
        </is>
      </c>
      <c r="AF143" s="23" t="n"/>
    </row>
    <row r="144" ht="30" customHeight="1">
      <c r="A144" s="16" t="inlineStr">
        <is>
          <t>K-142</t>
        </is>
      </c>
      <c r="B144" s="16" t="inlineStr">
        <is>
          <t>Holz-Wellenliege, Doppelliege</t>
        </is>
      </c>
      <c r="C144" s="17" t="inlineStr">
        <is>
          <t>Geschwungene Doppelliege aus Holzlatten, ca. 200 cm breit, mit Sponsorenplakette</t>
        </is>
      </c>
      <c r="D144" s="16" t="inlineStr">
        <is>
          <t>Garten</t>
        </is>
      </c>
      <c r="E144" s="16" t="inlineStr">
        <is>
          <t>Außen</t>
        </is>
      </c>
      <c r="F144" s="16" t="inlineStr">
        <is>
          <t>A</t>
        </is>
      </c>
      <c r="G144" s="18" t="n">
        <v>1</v>
      </c>
      <c r="H144" s="18" t="n"/>
      <c r="I144" s="19">
        <f>G144-IF(H144="",0,H144)</f>
        <v/>
      </c>
      <c r="J144" s="16" t="inlineStr">
        <is>
          <t>Stück</t>
        </is>
      </c>
      <c r="K144" s="16" t="inlineStr">
        <is>
          <t>gebraucht</t>
        </is>
      </c>
      <c r="L144" s="20" t="n"/>
      <c r="M144" s="20" t="n"/>
      <c r="N144" s="21" t="n"/>
      <c r="O144" s="21" t="n">
        <v>350</v>
      </c>
      <c r="P144" s="20" t="inlineStr">
        <is>
          <t>VHB</t>
        </is>
      </c>
      <c r="Q144" s="22">
        <f>I144*O144</f>
        <v/>
      </c>
      <c r="R144" s="16" t="inlineStr">
        <is>
          <t>nur Abholung</t>
        </is>
      </c>
      <c r="S144" s="16" t="inlineStr">
        <is>
          <t>F-112</t>
        </is>
      </c>
      <c r="T144" s="20" t="inlineStr">
        <is>
          <t>verfügbar</t>
        </is>
      </c>
      <c r="U144" s="20" t="inlineStr">
        <is>
          <t>Klinik</t>
        </is>
      </c>
      <c r="V144" s="20" t="n"/>
      <c r="W144" s="21" t="n"/>
      <c r="X144" s="22">
        <f>IF(H144="","",H144*W144)</f>
        <v/>
      </c>
      <c r="Y144" s="20" t="n"/>
      <c r="Z144" s="20" t="n"/>
      <c r="AA144" s="20" t="n"/>
      <c r="AB144" s="20" t="n"/>
      <c r="AC144" s="20" t="n"/>
      <c r="AD144" s="20" t="n"/>
      <c r="AE144" s="17" t="inlineStr">
        <is>
          <t>1 Liege im Bild</t>
        </is>
      </c>
      <c r="AF144" s="23" t="n"/>
    </row>
  </sheetData>
  <autoFilter ref="A2:AF144"/>
  <mergeCells count="7">
    <mergeCell ref="R1:V1"/>
    <mergeCell ref="O1:Q1"/>
    <mergeCell ref="A1:L1"/>
    <mergeCell ref="AE1:AF1"/>
    <mergeCell ref="M1:N1"/>
    <mergeCell ref="W1:Z1"/>
    <mergeCell ref="AA1:AD1"/>
  </mergeCells>
  <conditionalFormatting sqref="T3:T144">
    <cfRule type="cellIs" priority="1" operator="equal" dxfId="0">
      <formula>"verfügbar"</formula>
    </cfRule>
    <cfRule type="cellIs" priority="2" operator="equal" dxfId="1">
      <formula>"reserviert"</formula>
    </cfRule>
    <cfRule type="cellIs" priority="3" operator="equal" dxfId="2">
      <formula>"verkauft"</formula>
    </cfRule>
  </conditionalFormatting>
  <conditionalFormatting sqref="F3:F144">
    <cfRule type="cellIs" priority="4" operator="equal" dxfId="3">
      <formula>"A"</formula>
    </cfRule>
  </conditionalFormatting>
  <dataValidations count="9">
    <dataValidation sqref="F3:F803" showDropDown="0" showInputMessage="0" showErrorMessage="0" allowBlank="1" type="list">
      <formula1>"A,B,C"</formula1>
    </dataValidation>
    <dataValidation sqref="J3:J803" showDropDown="0" showInputMessage="0" showErrorMessage="0" allowBlank="1" type="list">
      <formula1>"Stück,Karton,Set,Palette,Konvolut"</formula1>
    </dataValidation>
    <dataValidation sqref="K3:K803" showDropDown="0" showInputMessage="0" showErrorMessage="0" allowBlank="1" type="list">
      <formula1>"neuwertig,gut,gebraucht,stark gebraucht,defekt"</formula1>
    </dataValidation>
    <dataValidation sqref="P3:P803" showDropDown="0" showInputMessage="0" showErrorMessage="0" allowBlank="1" type="list">
      <formula1>"Fix,VHB"</formula1>
    </dataValidation>
    <dataValidation sqref="R3:R803" showDropDown="0" showInputMessage="0" showErrorMessage="0" allowBlank="1" type="list">
      <formula1>"nur Abholung,Versand möglich,Spedition"</formula1>
    </dataValidation>
    <dataValidation sqref="T3:T803" showDropDown="0" showInputMessage="0" showErrorMessage="0" allowBlank="1" type="list">
      <formula1>"verfügbar,reserviert,verkauft,gespendet,entsorgt"</formula1>
    </dataValidation>
    <dataValidation sqref="U3:U803" showDropDown="0" showInputMessage="0" showErrorMessage="0" allowBlank="1" type="list">
      <formula1>"Klinik,Kleinanzeigen,eBay,Direkt,Händler,Verkaufstag"</formula1>
    </dataValidation>
    <dataValidation sqref="AB3:AB803" showDropDown="0" showInputMessage="0" showErrorMessage="0" allowBlank="1" type="list">
      <formula1>"offen,bezahlt,teilbezahlt"</formula1>
    </dataValidation>
    <dataValidation sqref="AC3:AC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COUNTA(Artikelstamm!$A$3:$A$144)</f>
        <v/>
      </c>
    </row>
    <row r="6">
      <c r="A6" s="27" t="inlineStr">
        <is>
          <t>davon verfügbar</t>
        </is>
      </c>
      <c r="B6" s="28">
        <f>COUNTIF(Artikelstamm!$T$3:$T$144,"verfügbar")</f>
        <v/>
      </c>
    </row>
    <row r="7">
      <c r="A7" s="27" t="inlineStr">
        <is>
          <t>davon reserviert</t>
        </is>
      </c>
      <c r="B7" s="28">
        <f>COUNTIF(Artikelstamm!$T$3:$T$144,"reserviert")</f>
        <v/>
      </c>
    </row>
    <row r="8">
      <c r="A8" s="27" t="inlineStr">
        <is>
          <t>davon verkauft</t>
        </is>
      </c>
      <c r="B8" s="28">
        <f>COUNTIF(Artikelstamm!$T$3:$T$144,"verkauft")</f>
        <v/>
      </c>
    </row>
    <row r="9">
      <c r="A9" s="27" t="inlineStr">
        <is>
          <t>Einheiten noch im Bestand</t>
        </is>
      </c>
      <c r="B9" s="28">
        <f>SUM(Artikelstamm!$I$3:$I$144)</f>
        <v/>
      </c>
    </row>
    <row r="10">
      <c r="A10" s="29" t="inlineStr">
        <is>
          <t>Restbestand zu Wunschpreisen (netto)</t>
        </is>
      </c>
      <c r="B10" s="30">
        <f>SUM(Artikelstamm!$Q$3:$Q$144)</f>
        <v/>
      </c>
    </row>
    <row r="12">
      <c r="A12" s="26" t="inlineStr">
        <is>
          <t>Erlöse</t>
        </is>
      </c>
    </row>
    <row r="13">
      <c r="A13" s="27" t="inlineStr">
        <is>
          <t>Verkaufte Einheiten</t>
        </is>
      </c>
      <c r="B13" s="28">
        <f>SUM(Artikelstamm!$H$3:$H$144)</f>
        <v/>
      </c>
    </row>
    <row r="14">
      <c r="A14" s="27" t="inlineStr">
        <is>
          <t>Umsatz netto</t>
        </is>
      </c>
      <c r="B14" s="31">
        <f>SUMPRODUCT(Artikelstamm!$H$3:$H$144,Artikelstamm!$W$3:$W$144)</f>
        <v/>
      </c>
    </row>
    <row r="15">
      <c r="A15" s="27" t="inlineStr">
        <is>
          <t>zzgl. Umsatzsteuer 19 %</t>
        </is>
      </c>
      <c r="B15" s="31">
        <f>B14*0.19</f>
        <v/>
      </c>
    </row>
    <row r="16">
      <c r="A16" s="29" t="inlineStr">
        <is>
          <t>Umsatz brutto</t>
        </is>
      </c>
      <c r="B16" s="30">
        <f>B14+B15</f>
        <v/>
      </c>
    </row>
    <row r="17">
      <c r="A17" s="27" t="inlineStr">
        <is>
          <t>davon bereits bezahlt (netto)</t>
        </is>
      </c>
      <c r="B17" s="31">
        <f>SUMPRODUCT((Artikelstamm!$AB$3:$AB$144="bezahlt")*Artikelstamm!$H$3:$H$144*Artikelstamm!$W$3:$W$144)</f>
        <v/>
      </c>
    </row>
    <row r="18">
      <c r="A18" s="27" t="inlineStr">
        <is>
          <t>noch offen (netto)</t>
        </is>
      </c>
      <c r="B18" s="31">
        <f>B14-B17</f>
        <v/>
      </c>
    </row>
    <row r="20">
      <c r="A20" s="26" t="inlineStr">
        <is>
          <t>To-do</t>
        </is>
      </c>
    </row>
    <row r="21">
      <c r="A21" s="29" t="inlineStr">
        <is>
          <t>Rechnungen noch zu schreiben</t>
        </is>
      </c>
      <c r="B21" s="32">
        <f>COUNTIFS(Artikelstamm!$T$3:$T$144,"verkauft",Artikelstamm!$AA$3:$AA$144,"")</f>
        <v/>
      </c>
    </row>
    <row r="22">
      <c r="A22" s="29" t="inlineStr">
        <is>
          <t>Rechnungen offen (unbezahlt)</t>
        </is>
      </c>
      <c r="B22" s="32">
        <f>COUNTIFS(Artikelstamm!$T$3:$T$144,"verkauft",Artikelstamm!$AB$3:$AB$144,"offen")</f>
        <v/>
      </c>
    </row>
    <row r="23">
      <c r="A23" s="27" t="inlineStr">
        <is>
          <t>Reservierungen ohne Abholtermin</t>
        </is>
      </c>
      <c r="B23" s="28">
        <f>COUNTIFS(Artikelstamm!$T$3:$T$144,"reserviert",Artikelstamm!$AD$3:$AD$144,"")</f>
        <v/>
      </c>
    </row>
    <row r="24">
      <c r="A24" s="27" t="inlineStr">
        <is>
          <t>Artikel ohne Preis</t>
        </is>
      </c>
      <c r="B24" s="28">
        <f>COUNTIFS(Artikelstamm!$O$3:$O$144,"")</f>
        <v/>
      </c>
    </row>
    <row r="25">
      <c r="A25" s="27" t="inlineStr">
        <is>
          <t>Artikel ohne Maßangabe</t>
        </is>
      </c>
      <c r="B25" s="28">
        <f>COUNTIFS(Artikelstamm!$L$3:$L$144,"")</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COUNTIF(Artikelstamm!$F$3:$F$144,$A30)</f>
        <v/>
      </c>
      <c r="C30" s="35">
        <f>SUMPRODUCT((Artikelstamm!$F$3:$F$144=$A30)*Artikelstamm!$H$3:$H$144*Artikelstamm!$W$3:$W$144)</f>
        <v/>
      </c>
      <c r="D30" s="35">
        <f>SUMIF(Artikelstamm!$F$3:$F$144,$A30,Artikelstamm!$Q$3:$Q$144)</f>
        <v/>
      </c>
    </row>
    <row r="31">
      <c r="A31" s="27" t="inlineStr">
        <is>
          <t>B</t>
        </is>
      </c>
      <c r="B31" s="34">
        <f>COUNTIF(Artikelstamm!$F$3:$F$144,$A31)</f>
        <v/>
      </c>
      <c r="C31" s="35">
        <f>SUMPRODUCT((Artikelstamm!$F$3:$F$144=$A31)*Artikelstamm!$H$3:$H$144*Artikelstamm!$W$3:$W$144)</f>
        <v/>
      </c>
      <c r="D31" s="35">
        <f>SUMIF(Artikelstamm!$F$3:$F$144,$A31,Artikelstamm!$Q$3:$Q$144)</f>
        <v/>
      </c>
    </row>
    <row r="32">
      <c r="A32" s="27" t="inlineStr">
        <is>
          <t>C</t>
        </is>
      </c>
      <c r="B32" s="34">
        <f>COUNTIF(Artikelstamm!$F$3:$F$144,$A32)</f>
        <v/>
      </c>
      <c r="C32" s="35">
        <f>SUMPRODUCT((Artikelstamm!$F$3:$F$144=$A32)*Artikelstamm!$H$3:$H$144*Artikelstamm!$W$3:$W$144)</f>
        <v/>
      </c>
      <c r="D32" s="35">
        <f>SUMIF(Artikelstamm!$F$3:$F$144,$A32,Artikelstamm!$Q$3:$Q$144)</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COUNTIF(Artikelstamm!$D$3:$D$144,$A37)</f>
        <v/>
      </c>
      <c r="C37" s="35">
        <f>SUMPRODUCT((Artikelstamm!$D$3:$D$144=$A37)*Artikelstamm!$H$3:$H$144*Artikelstamm!$W$3:$W$144)</f>
        <v/>
      </c>
      <c r="D37" s="35">
        <f>SUMIF(Artikelstamm!$D$3:$D$144,$A37,Artikelstamm!$Q$3:$Q$144)</f>
        <v/>
      </c>
    </row>
    <row r="38">
      <c r="A38" s="27" t="inlineStr">
        <is>
          <t>Deko</t>
        </is>
      </c>
      <c r="B38" s="34">
        <f>COUNTIF(Artikelstamm!$D$3:$D$144,$A38)</f>
        <v/>
      </c>
      <c r="C38" s="35">
        <f>SUMPRODUCT((Artikelstamm!$D$3:$D$144=$A38)*Artikelstamm!$H$3:$H$144*Artikelstamm!$W$3:$W$144)</f>
        <v/>
      </c>
      <c r="D38" s="35">
        <f>SUMIF(Artikelstamm!$D$3:$D$144,$A38,Artikelstamm!$Q$3:$Q$144)</f>
        <v/>
      </c>
    </row>
    <row r="39">
      <c r="A39" s="27" t="inlineStr">
        <is>
          <t>Designmöbel</t>
        </is>
      </c>
      <c r="B39" s="34">
        <f>COUNTIF(Artikelstamm!$D$3:$D$144,$A39)</f>
        <v/>
      </c>
      <c r="C39" s="35">
        <f>SUMPRODUCT((Artikelstamm!$D$3:$D$144=$A39)*Artikelstamm!$H$3:$H$144*Artikelstamm!$W$3:$W$144)</f>
        <v/>
      </c>
      <c r="D39" s="35">
        <f>SUMIF(Artikelstamm!$D$3:$D$144,$A39,Artikelstamm!$Q$3:$Q$144)</f>
        <v/>
      </c>
    </row>
    <row r="40">
      <c r="A40" s="27" t="inlineStr">
        <is>
          <t>Garten</t>
        </is>
      </c>
      <c r="B40" s="34">
        <f>COUNTIF(Artikelstamm!$D$3:$D$144,$A40)</f>
        <v/>
      </c>
      <c r="C40" s="35">
        <f>SUMPRODUCT((Artikelstamm!$D$3:$D$144=$A40)*Artikelstamm!$H$3:$H$144*Artikelstamm!$W$3:$W$144)</f>
        <v/>
      </c>
      <c r="D40" s="35">
        <f>SUMIF(Artikelstamm!$D$3:$D$144,$A40,Artikelstamm!$Q$3:$Q$144)</f>
        <v/>
      </c>
    </row>
    <row r="41">
      <c r="A41" s="27" t="inlineStr">
        <is>
          <t>Kita-Ausstattung</t>
        </is>
      </c>
      <c r="B41" s="34">
        <f>COUNTIF(Artikelstamm!$D$3:$D$144,$A41)</f>
        <v/>
      </c>
      <c r="C41" s="35">
        <f>SUMPRODUCT((Artikelstamm!$D$3:$D$144=$A41)*Artikelstamm!$H$3:$H$144*Artikelstamm!$W$3:$W$144)</f>
        <v/>
      </c>
      <c r="D41" s="35">
        <f>SUMIF(Artikelstamm!$D$3:$D$144,$A41,Artikelstamm!$Q$3:$Q$144)</f>
        <v/>
      </c>
    </row>
    <row r="42">
      <c r="A42" s="27" t="inlineStr">
        <is>
          <t>Kunst</t>
        </is>
      </c>
      <c r="B42" s="34">
        <f>COUNTIF(Artikelstamm!$D$3:$D$144,$A42)</f>
        <v/>
      </c>
      <c r="C42" s="35">
        <f>SUMPRODUCT((Artikelstamm!$D$3:$D$144=$A42)*Artikelstamm!$H$3:$H$144*Artikelstamm!$W$3:$W$144)</f>
        <v/>
      </c>
      <c r="D42" s="35">
        <f>SUMIF(Artikelstamm!$D$3:$D$144,$A42,Artikelstamm!$Q$3:$Q$144)</f>
        <v/>
      </c>
    </row>
    <row r="43">
      <c r="A43" s="27" t="inlineStr">
        <is>
          <t>Leuchten</t>
        </is>
      </c>
      <c r="B43" s="34">
        <f>COUNTIF(Artikelstamm!$D$3:$D$144,$A43)</f>
        <v/>
      </c>
      <c r="C43" s="35">
        <f>SUMPRODUCT((Artikelstamm!$D$3:$D$144=$A43)*Artikelstamm!$H$3:$H$144*Artikelstamm!$W$3:$W$144)</f>
        <v/>
      </c>
      <c r="D43" s="35">
        <f>SUMIF(Artikelstamm!$D$3:$D$144,$A43,Artikelstamm!$Q$3:$Q$144)</f>
        <v/>
      </c>
    </row>
    <row r="44">
      <c r="A44" s="27" t="inlineStr">
        <is>
          <t>Möbel</t>
        </is>
      </c>
      <c r="B44" s="34">
        <f>COUNTIF(Artikelstamm!$D$3:$D$144,$A44)</f>
        <v/>
      </c>
      <c r="C44" s="35">
        <f>SUMPRODUCT((Artikelstamm!$D$3:$D$144=$A44)*Artikelstamm!$H$3:$H$144*Artikelstamm!$W$3:$W$144)</f>
        <v/>
      </c>
      <c r="D44" s="35">
        <f>SUMIF(Artikelstamm!$D$3:$D$144,$A44,Artikelstamm!$Q$3:$Q$144)</f>
        <v/>
      </c>
    </row>
    <row r="45">
      <c r="A45" s="27" t="inlineStr">
        <is>
          <t>Pflanzen</t>
        </is>
      </c>
      <c r="B45" s="34">
        <f>COUNTIF(Artikelstamm!$D$3:$D$144,$A45)</f>
        <v/>
      </c>
      <c r="C45" s="35">
        <f>SUMPRODUCT((Artikelstamm!$D$3:$D$144=$A45)*Artikelstamm!$H$3:$H$144*Artikelstamm!$W$3:$W$144)</f>
        <v/>
      </c>
      <c r="D45" s="35">
        <f>SUMIF(Artikelstamm!$D$3:$D$144,$A45,Artikelstamm!$Q$3:$Q$144)</f>
        <v/>
      </c>
    </row>
    <row r="46">
      <c r="A46" s="27" t="inlineStr">
        <is>
          <t>Sonstiges</t>
        </is>
      </c>
      <c r="B46" s="34">
        <f>COUNTIF(Artikelstamm!$D$3:$D$144,$A46)</f>
        <v/>
      </c>
      <c r="C46" s="35">
        <f>SUMPRODUCT((Artikelstamm!$D$3:$D$144=$A46)*Artikelstamm!$H$3:$H$144*Artikelstamm!$W$3:$W$144)</f>
        <v/>
      </c>
      <c r="D46" s="35">
        <f>SUMIF(Artikelstamm!$D$3:$D$144,$A46,Artikelstamm!$Q$3:$Q$144)</f>
        <v/>
      </c>
    </row>
    <row r="47">
      <c r="A47" s="27" t="inlineStr">
        <is>
          <t>Technik</t>
        </is>
      </c>
      <c r="B47" s="34">
        <f>COUNTIF(Artikelstamm!$D$3:$D$144,$A47)</f>
        <v/>
      </c>
      <c r="C47" s="35">
        <f>SUMPRODUCT((Artikelstamm!$D$3:$D$144=$A47)*Artikelstamm!$H$3:$H$144*Artikelstamm!$W$3:$W$144)</f>
        <v/>
      </c>
      <c r="D47" s="35">
        <f>SUMIF(Artikelstamm!$D$3:$D$144,$A47,Artikelstamm!$Q$3:$Q$144)</f>
        <v/>
      </c>
    </row>
    <row r="48">
      <c r="A48" s="27" t="inlineStr">
        <is>
          <t>Textilien</t>
        </is>
      </c>
      <c r="B48" s="34">
        <f>COUNTIF(Artikelstamm!$D$3:$D$144,$A48)</f>
        <v/>
      </c>
      <c r="C48" s="35">
        <f>SUMPRODUCT((Artikelstamm!$D$3:$D$144=$A48)*Artikelstamm!$H$3:$H$144*Artikelstamm!$W$3:$W$144)</f>
        <v/>
      </c>
      <c r="D48" s="35">
        <f>SUMIF(Artikelstamm!$D$3:$D$144,$A48,Artikelstamm!$Q$3:$Q$144)</f>
        <v/>
      </c>
    </row>
    <row r="49">
      <c r="A49" s="27" t="inlineStr">
        <is>
          <t>Uhren</t>
        </is>
      </c>
      <c r="B49" s="34">
        <f>COUNTIF(Artikelstamm!$D$3:$D$144,$A49)</f>
        <v/>
      </c>
      <c r="C49" s="35">
        <f>SUMPRODUCT((Artikelstamm!$D$3:$D$144=$A49)*Artikelstamm!$H$3:$H$144*Artikelstamm!$W$3:$W$144)</f>
        <v/>
      </c>
      <c r="D49" s="35">
        <f>SUMIF(Artikelstamm!$D$3:$D$144,$A49,Artikelstamm!$Q$3:$Q$144)</f>
        <v/>
      </c>
    </row>
    <row r="50">
      <c r="A50" s="27" t="inlineStr">
        <is>
          <t>Verbrauchsmaterial</t>
        </is>
      </c>
      <c r="B50" s="34">
        <f>COUNTIF(Artikelstamm!$D$3:$D$144,$A50)</f>
        <v/>
      </c>
      <c r="C50" s="35">
        <f>SUMPRODUCT((Artikelstamm!$D$3:$D$144=$A50)*Artikelstamm!$H$3:$H$144*Artikelstamm!$W$3:$W$144)</f>
        <v/>
      </c>
      <c r="D50" s="35">
        <f>SUMIF(Artikelstamm!$D$3:$D$144,$A50,Artikelstamm!$Q$3:$Q$144)</f>
        <v/>
      </c>
    </row>
    <row r="51">
      <c r="A51" s="29" t="inlineStr">
        <is>
          <t>Summe</t>
        </is>
      </c>
      <c r="B51" s="36">
        <f>SUM(B37:B50)</f>
        <v/>
      </c>
      <c r="C51" s="37">
        <f>SUM(C37:C50)</f>
        <v/>
      </c>
      <c r="D51" s="37">
        <f>SUM(D37:D50)</f>
        <v/>
      </c>
    </row>
    <row r="53">
      <c r="A53" s="26" t="inlineStr">
        <is>
          <t>Nach Raum</t>
        </is>
      </c>
    </row>
    <row r="54">
      <c r="A54" s="33" t="inlineStr">
        <is>
          <t>Raum</t>
        </is>
      </c>
      <c r="B54" s="33" t="inlineStr">
        <is>
          <t>Positionen</t>
        </is>
      </c>
      <c r="C54" s="33" t="inlineStr">
        <is>
          <t>Umsatz netto</t>
        </is>
      </c>
      <c r="D54" s="33" t="inlineStr">
        <is>
          <t>Restwert netto</t>
        </is>
      </c>
    </row>
    <row r="55">
      <c r="A55" s="27" t="inlineStr">
        <is>
          <t>Atelier</t>
        </is>
      </c>
      <c r="B55" s="34">
        <f>COUNTIF(Artikelstamm!$E$3:$E$144,$A55)</f>
        <v/>
      </c>
      <c r="C55" s="35">
        <f>SUMPRODUCT((Artikelstamm!$E$3:$E$144=$A55)*Artikelstamm!$H$3:$H$144*Artikelstamm!$W$3:$W$144)</f>
        <v/>
      </c>
      <c r="D55" s="35">
        <f>SUMIF(Artikelstamm!$E$3:$E$144,$A55,Artikelstamm!$Q$3:$Q$144)</f>
        <v/>
      </c>
    </row>
    <row r="56">
      <c r="A56" s="27" t="inlineStr">
        <is>
          <t>Außen</t>
        </is>
      </c>
      <c r="B56" s="34">
        <f>COUNTIF(Artikelstamm!$E$3:$E$144,$A56)</f>
        <v/>
      </c>
      <c r="C56" s="35">
        <f>SUMPRODUCT((Artikelstamm!$E$3:$E$144=$A56)*Artikelstamm!$H$3:$H$144*Artikelstamm!$W$3:$W$144)</f>
        <v/>
      </c>
      <c r="D56" s="35">
        <f>SUMIF(Artikelstamm!$E$3:$E$144,$A56,Artikelstamm!$Q$3:$Q$144)</f>
        <v/>
      </c>
    </row>
    <row r="57">
      <c r="A57" s="27" t="inlineStr">
        <is>
          <t>Besprechung</t>
        </is>
      </c>
      <c r="B57" s="34">
        <f>COUNTIF(Artikelstamm!$E$3:$E$144,$A57)</f>
        <v/>
      </c>
      <c r="C57" s="35">
        <f>SUMPRODUCT((Artikelstamm!$E$3:$E$144=$A57)*Artikelstamm!$H$3:$H$144*Artikelstamm!$W$3:$W$144)</f>
        <v/>
      </c>
      <c r="D57" s="35">
        <f>SUMIF(Artikelstamm!$E$3:$E$144,$A57,Artikelstamm!$Q$3:$Q$144)</f>
        <v/>
      </c>
    </row>
    <row r="58">
      <c r="A58" s="27" t="inlineStr">
        <is>
          <t>Büro</t>
        </is>
      </c>
      <c r="B58" s="34">
        <f>COUNTIF(Artikelstamm!$E$3:$E$144,$A58)</f>
        <v/>
      </c>
      <c r="C58" s="35">
        <f>SUMPRODUCT((Artikelstamm!$E$3:$E$144=$A58)*Artikelstamm!$H$3:$H$144*Artikelstamm!$W$3:$W$144)</f>
        <v/>
      </c>
      <c r="D58" s="35">
        <f>SUMIF(Artikelstamm!$E$3:$E$144,$A58,Artikelstamm!$Q$3:$Q$144)</f>
        <v/>
      </c>
    </row>
    <row r="59">
      <c r="A59" s="27" t="inlineStr">
        <is>
          <t>Dachgeschoss</t>
        </is>
      </c>
      <c r="B59" s="34">
        <f>COUNTIF(Artikelstamm!$E$3:$E$144,$A59)</f>
        <v/>
      </c>
      <c r="C59" s="35">
        <f>SUMPRODUCT((Artikelstamm!$E$3:$E$144=$A59)*Artikelstamm!$H$3:$H$144*Artikelstamm!$W$3:$W$144)</f>
        <v/>
      </c>
      <c r="D59" s="35">
        <f>SUMIF(Artikelstamm!$E$3:$E$144,$A59,Artikelstamm!$Q$3:$Q$144)</f>
        <v/>
      </c>
    </row>
    <row r="60">
      <c r="A60" s="27" t="inlineStr">
        <is>
          <t>Dachterrasse</t>
        </is>
      </c>
      <c r="B60" s="34">
        <f>COUNTIF(Artikelstamm!$E$3:$E$144,$A60)</f>
        <v/>
      </c>
      <c r="C60" s="35">
        <f>SUMPRODUCT((Artikelstamm!$E$3:$E$144=$A60)*Artikelstamm!$H$3:$H$144*Artikelstamm!$W$3:$W$144)</f>
        <v/>
      </c>
      <c r="D60" s="35">
        <f>SUMIF(Artikelstamm!$E$3:$E$144,$A60,Artikelstamm!$Q$3:$Q$144)</f>
        <v/>
      </c>
    </row>
    <row r="61">
      <c r="A61" s="27" t="inlineStr">
        <is>
          <t>Eingang</t>
        </is>
      </c>
      <c r="B61" s="34">
        <f>COUNTIF(Artikelstamm!$E$3:$E$144,$A61)</f>
        <v/>
      </c>
      <c r="C61" s="35">
        <f>SUMPRODUCT((Artikelstamm!$E$3:$E$144=$A61)*Artikelstamm!$H$3:$H$144*Artikelstamm!$W$3:$W$144)</f>
        <v/>
      </c>
      <c r="D61" s="35">
        <f>SUMIF(Artikelstamm!$E$3:$E$144,$A61,Artikelstamm!$Q$3:$Q$144)</f>
        <v/>
      </c>
    </row>
    <row r="62">
      <c r="A62" s="27" t="inlineStr">
        <is>
          <t>Flur</t>
        </is>
      </c>
      <c r="B62" s="34">
        <f>COUNTIF(Artikelstamm!$E$3:$E$144,$A62)</f>
        <v/>
      </c>
      <c r="C62" s="35">
        <f>SUMPRODUCT((Artikelstamm!$E$3:$E$144=$A62)*Artikelstamm!$H$3:$H$144*Artikelstamm!$W$3:$W$144)</f>
        <v/>
      </c>
      <c r="D62" s="35">
        <f>SUMIF(Artikelstamm!$E$3:$E$144,$A62,Artikelstamm!$Q$3:$Q$144)</f>
        <v/>
      </c>
    </row>
    <row r="63">
      <c r="A63" s="27" t="inlineStr">
        <is>
          <t>Flur UG</t>
        </is>
      </c>
      <c r="B63" s="34">
        <f>COUNTIF(Artikelstamm!$E$3:$E$144,$A63)</f>
        <v/>
      </c>
      <c r="C63" s="35">
        <f>SUMPRODUCT((Artikelstamm!$E$3:$E$144=$A63)*Artikelstamm!$H$3:$H$144*Artikelstamm!$W$3:$W$144)</f>
        <v/>
      </c>
      <c r="D63" s="35">
        <f>SUMIF(Artikelstamm!$E$3:$E$144,$A63,Artikelstamm!$Q$3:$Q$144)</f>
        <v/>
      </c>
    </row>
    <row r="64">
      <c r="A64" s="27" t="inlineStr">
        <is>
          <t>Mitarbeiter-Ruheraum</t>
        </is>
      </c>
      <c r="B64" s="34">
        <f>COUNTIF(Artikelstamm!$E$3:$E$144,$A64)</f>
        <v/>
      </c>
      <c r="C64" s="35">
        <f>SUMPRODUCT((Artikelstamm!$E$3:$E$144=$A64)*Artikelstamm!$H$3:$H$144*Artikelstamm!$W$3:$W$144)</f>
        <v/>
      </c>
      <c r="D64" s="35">
        <f>SUMIF(Artikelstamm!$E$3:$E$144,$A64,Artikelstamm!$Q$3:$Q$144)</f>
        <v/>
      </c>
    </row>
    <row r="65">
      <c r="A65" s="27" t="inlineStr">
        <is>
          <t>Mitarbeiterraum</t>
        </is>
      </c>
      <c r="B65" s="34">
        <f>COUNTIF(Artikelstamm!$E$3:$E$144,$A65)</f>
        <v/>
      </c>
      <c r="C65" s="35">
        <f>SUMPRODUCT((Artikelstamm!$E$3:$E$144=$A65)*Artikelstamm!$H$3:$H$144*Artikelstamm!$W$3:$W$144)</f>
        <v/>
      </c>
      <c r="D65" s="35">
        <f>SUMIF(Artikelstamm!$E$3:$E$144,$A65,Artikelstamm!$Q$3:$Q$144)</f>
        <v/>
      </c>
    </row>
    <row r="66">
      <c r="A66" s="27" t="inlineStr">
        <is>
          <t>Neubau Eingang</t>
        </is>
      </c>
      <c r="B66" s="34">
        <f>COUNTIF(Artikelstamm!$E$3:$E$144,$A66)</f>
        <v/>
      </c>
      <c r="C66" s="35">
        <f>SUMPRODUCT((Artikelstamm!$E$3:$E$144=$A66)*Artikelstamm!$H$3:$H$144*Artikelstamm!$W$3:$W$144)</f>
        <v/>
      </c>
      <c r="D66" s="35">
        <f>SUMIF(Artikelstamm!$E$3:$E$144,$A66,Artikelstamm!$Q$3:$Q$144)</f>
        <v/>
      </c>
    </row>
    <row r="67">
      <c r="A67" s="27" t="inlineStr">
        <is>
          <t>Neubau Elternlounge</t>
        </is>
      </c>
      <c r="B67" s="34">
        <f>COUNTIF(Artikelstamm!$E$3:$E$144,$A67)</f>
        <v/>
      </c>
      <c r="C67" s="35">
        <f>SUMPRODUCT((Artikelstamm!$E$3:$E$144=$A67)*Artikelstamm!$H$3:$H$144*Artikelstamm!$W$3:$W$144)</f>
        <v/>
      </c>
      <c r="D67" s="35">
        <f>SUMIF(Artikelstamm!$E$3:$E$144,$A67,Artikelstamm!$Q$3:$Q$144)</f>
        <v/>
      </c>
    </row>
    <row r="68">
      <c r="A68" s="27" t="inlineStr">
        <is>
          <t>Neubau Flur</t>
        </is>
      </c>
      <c r="B68" s="34">
        <f>COUNTIF(Artikelstamm!$E$3:$E$144,$A68)</f>
        <v/>
      </c>
      <c r="C68" s="35">
        <f>SUMPRODUCT((Artikelstamm!$E$3:$E$144=$A68)*Artikelstamm!$H$3:$H$144*Artikelstamm!$W$3:$W$144)</f>
        <v/>
      </c>
      <c r="D68" s="35">
        <f>SUMIF(Artikelstamm!$E$3:$E$144,$A68,Artikelstamm!$Q$3:$Q$144)</f>
        <v/>
      </c>
    </row>
    <row r="69">
      <c r="A69" s="27" t="inlineStr">
        <is>
          <t>Neubau Küche</t>
        </is>
      </c>
      <c r="B69" s="34">
        <f>COUNTIF(Artikelstamm!$E$3:$E$144,$A69)</f>
        <v/>
      </c>
      <c r="C69" s="35">
        <f>SUMPRODUCT((Artikelstamm!$E$3:$E$144=$A69)*Artikelstamm!$H$3:$H$144*Artikelstamm!$W$3:$W$144)</f>
        <v/>
      </c>
      <c r="D69" s="35">
        <f>SUMIF(Artikelstamm!$E$3:$E$144,$A69,Artikelstamm!$Q$3:$Q$144)</f>
        <v/>
      </c>
    </row>
    <row r="70">
      <c r="A70" s="27" t="inlineStr">
        <is>
          <t>Neubau Raum 1</t>
        </is>
      </c>
      <c r="B70" s="34">
        <f>COUNTIF(Artikelstamm!$E$3:$E$144,$A70)</f>
        <v/>
      </c>
      <c r="C70" s="35">
        <f>SUMPRODUCT((Artikelstamm!$E$3:$E$144=$A70)*Artikelstamm!$H$3:$H$144*Artikelstamm!$W$3:$W$144)</f>
        <v/>
      </c>
      <c r="D70" s="35">
        <f>SUMIF(Artikelstamm!$E$3:$E$144,$A70,Artikelstamm!$Q$3:$Q$144)</f>
        <v/>
      </c>
    </row>
    <row r="71">
      <c r="A71" s="27" t="inlineStr">
        <is>
          <t>Neubau Raum 2</t>
        </is>
      </c>
      <c r="B71" s="34">
        <f>COUNTIF(Artikelstamm!$E$3:$E$144,$A71)</f>
        <v/>
      </c>
      <c r="C71" s="35">
        <f>SUMPRODUCT((Artikelstamm!$E$3:$E$144=$A71)*Artikelstamm!$H$3:$H$144*Artikelstamm!$W$3:$W$144)</f>
        <v/>
      </c>
      <c r="D71" s="35">
        <f>SUMIF(Artikelstamm!$E$3:$E$144,$A71,Artikelstamm!$Q$3:$Q$144)</f>
        <v/>
      </c>
    </row>
    <row r="72">
      <c r="A72" s="27" t="inlineStr">
        <is>
          <t>Neubau Raum 3</t>
        </is>
      </c>
      <c r="B72" s="34">
        <f>COUNTIF(Artikelstamm!$E$3:$E$144,$A72)</f>
        <v/>
      </c>
      <c r="C72" s="35">
        <f>SUMPRODUCT((Artikelstamm!$E$3:$E$144=$A72)*Artikelstamm!$H$3:$H$144*Artikelstamm!$W$3:$W$144)</f>
        <v/>
      </c>
      <c r="D72" s="35">
        <f>SUMIF(Artikelstamm!$E$3:$E$144,$A72,Artikelstamm!$Q$3:$Q$144)</f>
        <v/>
      </c>
    </row>
    <row r="73">
      <c r="A73" s="27" t="inlineStr">
        <is>
          <t>Raum 2</t>
        </is>
      </c>
      <c r="B73" s="34">
        <f>COUNTIF(Artikelstamm!$E$3:$E$144,$A73)</f>
        <v/>
      </c>
      <c r="C73" s="35">
        <f>SUMPRODUCT((Artikelstamm!$E$3:$E$144=$A73)*Artikelstamm!$H$3:$H$144*Artikelstamm!$W$3:$W$144)</f>
        <v/>
      </c>
      <c r="D73" s="35">
        <f>SUMIF(Artikelstamm!$E$3:$E$144,$A73,Artikelstamm!$Q$3:$Q$144)</f>
        <v/>
      </c>
    </row>
    <row r="74">
      <c r="A74" s="27" t="inlineStr">
        <is>
          <t>Terrasse</t>
        </is>
      </c>
      <c r="B74" s="34">
        <f>COUNTIF(Artikelstamm!$E$3:$E$144,$A74)</f>
        <v/>
      </c>
      <c r="C74" s="35">
        <f>SUMPRODUCT((Artikelstamm!$E$3:$E$144=$A74)*Artikelstamm!$H$3:$H$144*Artikelstamm!$W$3:$W$144)</f>
        <v/>
      </c>
      <c r="D74" s="35">
        <f>SUMIF(Artikelstamm!$E$3:$E$144,$A74,Artikelstamm!$Q$3:$Q$144)</f>
        <v/>
      </c>
    </row>
    <row r="75">
      <c r="A75" s="27" t="inlineStr">
        <is>
          <t>Terrasse hinten</t>
        </is>
      </c>
      <c r="B75" s="34">
        <f>COUNTIF(Artikelstamm!$E$3:$E$144,$A75)</f>
        <v/>
      </c>
      <c r="C75" s="35">
        <f>SUMPRODUCT((Artikelstamm!$E$3:$E$144=$A75)*Artikelstamm!$H$3:$H$144*Artikelstamm!$W$3:$W$144)</f>
        <v/>
      </c>
      <c r="D75" s="35">
        <f>SUMIF(Artikelstamm!$E$3:$E$144,$A75,Artikelstamm!$Q$3:$Q$144)</f>
        <v/>
      </c>
    </row>
    <row r="76">
      <c r="A76" s="27" t="inlineStr">
        <is>
          <t>UG</t>
        </is>
      </c>
      <c r="B76" s="34">
        <f>COUNTIF(Artikelstamm!$E$3:$E$144,$A76)</f>
        <v/>
      </c>
      <c r="C76" s="35">
        <f>SUMPRODUCT((Artikelstamm!$E$3:$E$144=$A76)*Artikelstamm!$H$3:$H$144*Artikelstamm!$W$3:$W$144)</f>
        <v/>
      </c>
      <c r="D76" s="35">
        <f>SUMIF(Artikelstamm!$E$3:$E$144,$A76,Artikelstamm!$Q$3:$Q$144)</f>
        <v/>
      </c>
    </row>
    <row r="77">
      <c r="A77" s="27" t="inlineStr">
        <is>
          <t>WC</t>
        </is>
      </c>
      <c r="B77" s="34">
        <f>COUNTIF(Artikelstamm!$E$3:$E$144,$A77)</f>
        <v/>
      </c>
      <c r="C77" s="35">
        <f>SUMPRODUCT((Artikelstamm!$E$3:$E$144=$A77)*Artikelstamm!$H$3:$H$144*Artikelstamm!$W$3:$W$144)</f>
        <v/>
      </c>
      <c r="D77" s="35">
        <f>SUMIF(Artikelstamm!$E$3:$E$144,$A77,Artikelstamm!$Q$3:$Q$144)</f>
        <v/>
      </c>
    </row>
    <row r="78">
      <c r="A78" s="27" t="inlineStr">
        <is>
          <t>Werkstatt</t>
        </is>
      </c>
      <c r="B78" s="34">
        <f>COUNTIF(Artikelstamm!$E$3:$E$144,$A78)</f>
        <v/>
      </c>
      <c r="C78" s="35">
        <f>SUMPRODUCT((Artikelstamm!$E$3:$E$144=$A78)*Artikelstamm!$H$3:$H$144*Artikelstamm!$W$3:$W$144)</f>
        <v/>
      </c>
      <c r="D78" s="35">
        <f>SUMIF(Artikelstamm!$E$3:$E$144,$A78,Artikelstamm!$Q$3:$Q$144)</f>
        <v/>
      </c>
    </row>
    <row r="79">
      <c r="A79" s="29" t="inlineStr">
        <is>
          <t>Summe</t>
        </is>
      </c>
      <c r="B79" s="36">
        <f>SUM(B55:B78)</f>
        <v/>
      </c>
      <c r="C79" s="37">
        <f>SUM(C55:C78)</f>
        <v/>
      </c>
      <c r="D79" s="37">
        <f>SUM(D55:D78)</f>
        <v/>
      </c>
    </row>
    <row r="81">
      <c r="A81" s="26" t="inlineStr">
        <is>
          <t>Nach Verkaufskanal</t>
        </is>
      </c>
    </row>
    <row r="82">
      <c r="A82" s="33" t="inlineStr">
        <is>
          <t>Verkaufskanal</t>
        </is>
      </c>
      <c r="B82" s="33" t="inlineStr">
        <is>
          <t>Positionen</t>
        </is>
      </c>
      <c r="C82" s="33" t="inlineStr">
        <is>
          <t>Umsatz netto</t>
        </is>
      </c>
    </row>
    <row r="83">
      <c r="A83" s="27" t="inlineStr">
        <is>
          <t>Klinik</t>
        </is>
      </c>
      <c r="B83" s="34">
        <f>COUNTIF(Artikelstamm!$U$3:$U$144,$A83)</f>
        <v/>
      </c>
      <c r="C83" s="35">
        <f>SUMPRODUCT((Artikelstamm!$U$3:$U$144=$A83)*Artikelstamm!$H$3:$H$144*Artikelstamm!$W$3:$W$144)</f>
        <v/>
      </c>
    </row>
    <row r="84">
      <c r="A84" s="27" t="inlineStr">
        <is>
          <t>Kleinanzeigen</t>
        </is>
      </c>
      <c r="B84" s="34">
        <f>COUNTIF(Artikelstamm!$U$3:$U$144,$A84)</f>
        <v/>
      </c>
      <c r="C84" s="35">
        <f>SUMPRODUCT((Artikelstamm!$U$3:$U$144=$A84)*Artikelstamm!$H$3:$H$144*Artikelstamm!$W$3:$W$144)</f>
        <v/>
      </c>
    </row>
    <row r="85">
      <c r="A85" s="27" t="inlineStr">
        <is>
          <t>eBay</t>
        </is>
      </c>
      <c r="B85" s="34">
        <f>COUNTIF(Artikelstamm!$U$3:$U$144,$A85)</f>
        <v/>
      </c>
      <c r="C85" s="35">
        <f>SUMPRODUCT((Artikelstamm!$U$3:$U$144=$A85)*Artikelstamm!$H$3:$H$144*Artikelstamm!$W$3:$W$144)</f>
        <v/>
      </c>
    </row>
    <row r="86">
      <c r="A86" s="27" t="inlineStr">
        <is>
          <t>Direkt</t>
        </is>
      </c>
      <c r="B86" s="34">
        <f>COUNTIF(Artikelstamm!$U$3:$U$144,$A86)</f>
        <v/>
      </c>
      <c r="C86" s="35">
        <f>SUMPRODUCT((Artikelstamm!$U$3:$U$144=$A86)*Artikelstamm!$H$3:$H$144*Artikelstamm!$W$3:$W$144)</f>
        <v/>
      </c>
    </row>
    <row r="87">
      <c r="A87" s="27" t="inlineStr">
        <is>
          <t>Händler</t>
        </is>
      </c>
      <c r="B87" s="34">
        <f>COUNTIF(Artikelstamm!$U$3:$U$144,$A87)</f>
        <v/>
      </c>
      <c r="C87" s="35">
        <f>SUMPRODUCT((Artikelstamm!$U$3:$U$144=$A87)*Artikelstamm!$H$3:$H$144*Artikelstamm!$W$3:$W$144)</f>
        <v/>
      </c>
    </row>
    <row r="88">
      <c r="A88" s="27" t="inlineStr">
        <is>
          <t>Verkaufstag</t>
        </is>
      </c>
      <c r="B88" s="34">
        <f>COUNTIF(Artikelstamm!$U$3:$U$144,$A88)</f>
        <v/>
      </c>
      <c r="C88" s="35">
        <f>SUMPRODUCT((Artikelstamm!$U$3:$U$144=$A88)*Artikelstamm!$H$3:$H$144*Artikelstamm!$W$3:$W$144)</f>
        <v/>
      </c>
    </row>
    <row r="89">
      <c r="A89" s="29" t="inlineStr">
        <is>
          <t>Summe</t>
        </is>
      </c>
      <c r="B89" s="36">
        <f>SUM(B83:B88)</f>
        <v/>
      </c>
      <c r="C89" s="37">
        <f>SUM(C83:C88)</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14" t="inlineStr">
        <is>
          <t>lfd.</t>
        </is>
      </c>
      <c r="B4" s="14" t="inlineStr">
        <is>
          <t>Käufer / Firma</t>
        </is>
      </c>
      <c r="C4" s="14" t="inlineStr">
        <is>
          <t>Anschrift</t>
        </is>
      </c>
      <c r="D4" s="14" t="inlineStr">
        <is>
          <t>Artikel (ArtNr)</t>
        </is>
      </c>
      <c r="E4" s="14" t="inlineStr">
        <is>
          <t>Leistungsdatum</t>
        </is>
      </c>
      <c r="F4" s="14" t="inlineStr">
        <is>
          <t>Netto</t>
        </is>
      </c>
      <c r="G4" s="14" t="inlineStr">
        <is>
          <t>USt 19 %</t>
        </is>
      </c>
      <c r="H4" s="14" t="inlineStr">
        <is>
          <t>Brutto</t>
        </is>
      </c>
      <c r="I4" s="14" t="inlineStr">
        <is>
          <t>Zahlart</t>
        </is>
      </c>
      <c r="J4" s="14" t="inlineStr">
        <is>
          <t>DATEV-Rechnungsnr</t>
        </is>
      </c>
      <c r="K4" s="14" t="inlineStr">
        <is>
          <t>geschrieben am</t>
        </is>
      </c>
      <c r="L4" s="14"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14" t="inlineStr">
        <is>
          <t>Datum</t>
        </is>
      </c>
      <c r="B4" s="14" t="inlineStr">
        <is>
          <t>Beleg-Nr</t>
        </is>
      </c>
      <c r="C4" s="14" t="inlineStr">
        <is>
          <t>Vorgang / Käufer</t>
        </is>
      </c>
      <c r="D4" s="14" t="inlineStr">
        <is>
          <t>Einnahme brutto</t>
        </is>
      </c>
      <c r="E4" s="14" t="inlineStr">
        <is>
          <t>davon USt 19 %</t>
        </is>
      </c>
      <c r="F4" s="14" t="inlineStr">
        <is>
          <t>netto</t>
        </is>
      </c>
      <c r="G4" s="14" t="inlineStr">
        <is>
          <t>Ausgabe brutto</t>
        </is>
      </c>
      <c r="H4" s="14"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2026-09-15T12:14:30Z</dcterms:created>
  <dcterms:modified xsi:type="dcterms:W3CDTF">2026-09-15T12:14:30Z</dcterms:modified>
</cp:coreProperties>
</file>