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'Artikelstamm'!$A$2:$AM$185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18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ja</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n"/>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Shaggy/Hochflor, beige, ca. 200 x 300 cm,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n"/>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n"/>
      <c r="AB133" s="19" t="n"/>
      <c r="AC133" s="19" t="n"/>
      <c r="AD133" s="20" t="n"/>
      <c r="AE133" s="21">
        <f>IF(K133="","",K133*AD133)</f>
        <v/>
      </c>
      <c r="AF133" s="19" t="n"/>
      <c r="AG133" s="19" t="n"/>
      <c r="AH133" s="19" t="n"/>
      <c r="AI133" s="19" t="n"/>
      <c r="AJ133" s="19" t="n"/>
      <c r="AK133" s="19" t="n"/>
      <c r="AL133" s="16" t="inlineStr">
        <is>
          <t>2 Stück (zwei Einzelfotos)</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Flachgewebe, Rautenmuster schwarz/weiß, ca. 200 x 300 cm</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n"/>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n"/>
      <c r="AB134" s="19" t="n"/>
      <c r="AC134" s="19" t="n"/>
      <c r="AD134" s="20" t="n"/>
      <c r="AE134" s="21">
        <f>IF(K134="","",K134*AD134)</f>
        <v/>
      </c>
      <c r="AF134" s="19" t="n"/>
      <c r="AG134" s="19" t="n"/>
      <c r="AH134" s="19" t="n"/>
      <c r="AI134" s="19" t="n"/>
      <c r="AJ134" s="19" t="n"/>
      <c r="AK134" s="19" t="n"/>
      <c r="AL134" s="16" t="inlineStr">
        <is>
          <t>2 Stück im Bild</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n"/>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10 Stück – abgebildet ist einer davon.</t>
        </is>
      </c>
      <c r="AM156" s="22" t="inlineStr">
        <is>
          <t>Gesamtstückzahl über Gruppenraum 5 und den Nachbarraum NU02/NU03 hinweg, so vom Haus gezählt.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Bisher erfasst: zwei rosa und einer grün. Es gibt sie in weiteren Farben, auch in den Außenanlagen – Stückzahl wird am Ende des Rundgangs zusammengezählt.</t>
        </is>
      </c>
      <c r="AM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2 Elefanten, weiß und schwarz. Abgebildet ist der weiße; der schwarze wird nachfotografiert. Ein kleinerer schwarzer folgt als eigene Position.</t>
        </is>
      </c>
      <c r="AM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aus vier Segmenten.</t>
        </is>
      </c>
      <c r="AM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20" t="n"/>
      <c r="AE177" s="21">
        <f>IF(K177="","",K177*AD177)</f>
        <v/>
      </c>
      <c r="AF177" s="19" t="n"/>
      <c r="AG177" s="19" t="n"/>
      <c r="AH177" s="19" t="n"/>
      <c r="AI177" s="19" t="n"/>
      <c r="AJ177" s="19" t="n"/>
      <c r="AK177" s="19" t="n"/>
      <c r="AL177" s="16" t="inlineStr">
        <is>
          <t>4 Betten, alle aufgebaut: 2 im Schlafraum 4 und 2 in einem weiteren Schlafraum.</t>
        </is>
      </c>
      <c r="AM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20" t="n"/>
      <c r="AE178" s="21">
        <f>IF(K178="","",K178*AD178)</f>
        <v/>
      </c>
      <c r="AF178" s="19" t="n"/>
      <c r="AG178" s="19" t="n"/>
      <c r="AH178" s="19" t="n"/>
      <c r="AI178" s="19" t="n"/>
      <c r="AJ178" s="19" t="n"/>
      <c r="AK178" s="19" t="n"/>
      <c r="AL178" s="16" t="inlineStr">
        <is>
          <t>1 Küche aus 5 Modulen, vom Haus bestätigt.</t>
        </is>
      </c>
      <c r="AM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20" t="n"/>
      <c r="AE179" s="21">
        <f>IF(K179="","",K179*AD179)</f>
        <v/>
      </c>
      <c r="AF179" s="19" t="n"/>
      <c r="AG179" s="19" t="n"/>
      <c r="AH179" s="19" t="n"/>
      <c r="AI179" s="19" t="n"/>
      <c r="AJ179" s="19" t="n"/>
      <c r="AK179" s="19" t="n"/>
      <c r="AL179" s="16" t="inlineStr">
        <is>
          <t>2 Teile: ein Bügelbrett und ein Wäscheständer, beide auf Foto F-178 zu sehen.</t>
        </is>
      </c>
      <c r="AM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20" t="n"/>
      <c r="AE180" s="21">
        <f>IF(K180="","",K180*AD180)</f>
        <v/>
      </c>
      <c r="AF180" s="19" t="n"/>
      <c r="AG180" s="19" t="n"/>
      <c r="AH180" s="19" t="n"/>
      <c r="AI180" s="19" t="n"/>
      <c r="AJ180" s="19" t="n"/>
      <c r="AK180" s="19" t="n"/>
      <c r="AL180" s="16" t="inlineStr">
        <is>
          <t>1 Sessel.</t>
        </is>
      </c>
      <c r="AM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20" t="n"/>
      <c r="AE181" s="21">
        <f>IF(K181="","",K181*AD181)</f>
        <v/>
      </c>
      <c r="AF181" s="19" t="n"/>
      <c r="AG181" s="19" t="n"/>
      <c r="AH181" s="19" t="n"/>
      <c r="AI181" s="19" t="n"/>
      <c r="AJ181" s="19" t="n"/>
      <c r="AK181" s="19" t="n"/>
      <c r="AL181" s="16" t="inlineStr">
        <is>
          <t>2 Regale – abgebildet ist eines davon.</t>
        </is>
      </c>
      <c r="AM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20" t="n"/>
      <c r="AE182" s="21">
        <f>IF(K182="","",K182*AD182)</f>
        <v/>
      </c>
      <c r="AF182" s="19" t="n"/>
      <c r="AG182" s="19" t="n"/>
      <c r="AH182" s="19" t="n"/>
      <c r="AI182" s="19" t="n"/>
      <c r="AJ182" s="19" t="n"/>
      <c r="AK182" s="19" t="n"/>
      <c r="AL182" s="16" t="inlineStr">
        <is>
          <t>1 Regal. Der Inhalt gehört nicht dazu.</t>
        </is>
      </c>
      <c r="AM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20" t="n"/>
      <c r="AE183" s="21">
        <f>IF(K183="","",K183*AD183)</f>
        <v/>
      </c>
      <c r="AF183" s="19" t="n"/>
      <c r="AG183" s="19" t="n"/>
      <c r="AH183" s="19" t="n"/>
      <c r="AI183" s="19" t="n"/>
      <c r="AJ183" s="19" t="n"/>
      <c r="AK183" s="19" t="n"/>
      <c r="AL183" s="16" t="inlineStr">
        <is>
          <t>2 Kommoden – abgebildet ist eine davon, die zweite steht rechts daneben.</t>
        </is>
      </c>
      <c r="AM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20" t="n"/>
      <c r="AE184" s="21">
        <f>IF(K184="","",K184*AD184)</f>
        <v/>
      </c>
      <c r="AF184" s="19" t="n"/>
      <c r="AG184" s="19" t="n"/>
      <c r="AH184" s="19" t="n"/>
      <c r="AI184" s="19" t="n"/>
      <c r="AJ184" s="19" t="n"/>
      <c r="AK184" s="19" t="n"/>
      <c r="AL184" s="16" t="inlineStr">
        <is>
          <t>2 Regale einschließlich der eingehängten Wannen – abgebildet ist eines davon. Der Inhalt der Wannen gehört nicht dazu.</t>
        </is>
      </c>
      <c r="AM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20" t="n"/>
      <c r="AE185" s="21">
        <f>IF(K185="","",K185*AD185)</f>
        <v/>
      </c>
      <c r="AF185" s="19" t="n"/>
      <c r="AG185" s="19" t="n"/>
      <c r="AH185" s="19" t="n"/>
      <c r="AI185" s="19" t="n"/>
      <c r="AJ185" s="19" t="n"/>
      <c r="AK185" s="19" t="n"/>
      <c r="AL185" s="16" t="inlineStr">
        <is>
          <t>9 Stühle – abgebildet ist einer davon.</t>
        </is>
      </c>
      <c r="AM185" s="22" t="inlineStr">
        <is>
          <t>OFFEN: waechst noch. Aus weiteren Raeumen kommen zusaetzliche Hochstuehle dazu - am Ende des Rundgangs auf die Gesamtzahl bringen und die Post-it-Nummern der anderen Raeume in Weitere_ArtNr.</t>
        </is>
      </c>
    </row>
  </sheetData>
  <autoFilter ref="A2:AM185"/>
  <mergeCells count="7">
    <mergeCell ref="AH1:AK1"/>
    <mergeCell ref="S1:U1"/>
    <mergeCell ref="Q1:R1"/>
    <mergeCell ref="A1:P1"/>
    <mergeCell ref="V1:AC1"/>
    <mergeCell ref="AL1:AM1"/>
    <mergeCell ref="AD1:AG1"/>
  </mergeCells>
  <conditionalFormatting sqref="Z3:Z18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185">
    <cfRule type="cellIs" priority="4" operator="equal" dxfId="3">
      <formula>"A"</formula>
    </cfRule>
  </conditionalFormatting>
  <conditionalFormatting sqref="P3:P185">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COUNTA(Artikelstamm!$A$3:$A$185)</f>
        <v/>
      </c>
    </row>
    <row r="6">
      <c r="A6" s="26" t="inlineStr">
        <is>
          <t>davon verfügbar</t>
        </is>
      </c>
      <c r="B6" s="27">
        <f>COUNTIF(Artikelstamm!$Z$3:$Z$185,"verfügbar")</f>
        <v/>
      </c>
    </row>
    <row r="7">
      <c r="A7" s="26" t="inlineStr">
        <is>
          <t>davon reserviert</t>
        </is>
      </c>
      <c r="B7" s="27">
        <f>COUNTIF(Artikelstamm!$Z$3:$Z$185,"reserviert")</f>
        <v/>
      </c>
    </row>
    <row r="8">
      <c r="A8" s="26" t="inlineStr">
        <is>
          <t>davon teilverkauft</t>
        </is>
      </c>
      <c r="B8" s="27">
        <f>COUNTIF(Artikelstamm!$Z$3:$Z$185,"teilverkauft")</f>
        <v/>
      </c>
    </row>
    <row r="9">
      <c r="A9" s="26" t="inlineStr">
        <is>
          <t>davon verkauft</t>
        </is>
      </c>
      <c r="B9" s="27">
        <f>COUNTIF(Artikelstamm!$Z$3:$Z$185,"verkauft")</f>
        <v/>
      </c>
    </row>
    <row r="10">
      <c r="A10" s="26" t="inlineStr">
        <is>
          <t>Einheiten noch im Bestand</t>
        </is>
      </c>
      <c r="B10" s="27">
        <f>SUM(Artikelstamm!$L$3:$L$185)</f>
        <v/>
      </c>
    </row>
    <row r="11">
      <c r="A11" s="28" t="inlineStr">
        <is>
          <t>Restbestand zu Wunschpreisen (netto)</t>
        </is>
      </c>
      <c r="B11" s="29">
        <f>SUM(Artikelstamm!$U$3:$U$185)</f>
        <v/>
      </c>
    </row>
    <row r="12">
      <c r="A12" s="25" t="inlineStr">
        <is>
          <t>Erlöse</t>
        </is>
      </c>
    </row>
    <row r="13">
      <c r="A13" s="26" t="inlineStr">
        <is>
          <t>Verkaufte Einheiten</t>
        </is>
      </c>
      <c r="B13" s="27">
        <f>SUM(Artikelstamm!$K$3:$K$185)</f>
        <v/>
      </c>
    </row>
    <row r="14">
      <c r="A14" s="26" t="inlineStr">
        <is>
          <t>Umsatz netto</t>
        </is>
      </c>
      <c r="B14" s="30">
        <f>SUMPRODUCT(Artikelstamm!$K$3:$K$185,Artikelstamm!$AD$3:$AD$185)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SUMPRODUCT((Artikelstamm!$AI$3:$AI$185="bezahlt")*Artikelstamm!$K$3:$K$185*Artikelstamm!$AD$3:$AD$185)</f>
        <v/>
      </c>
    </row>
    <row r="18">
      <c r="A18" s="26" t="inlineStr">
        <is>
          <t>noch offen (netto)</t>
        </is>
      </c>
      <c r="B18" s="30">
        <f>B14-B17</f>
        <v/>
      </c>
    </row>
    <row r="20">
      <c r="A20" s="25" t="inlineStr">
        <is>
          <t>To-do</t>
        </is>
      </c>
    </row>
    <row r="21">
      <c r="A21" s="28" t="inlineStr">
        <is>
          <t>Rechnungen noch zu schreiben</t>
        </is>
      </c>
      <c r="B21" s="31">
        <f>COUNTIFS(Artikelstamm!$Z$3:$Z$185,"*verkauft",Artikelstamm!$AH$3:$AH$185,"")</f>
        <v/>
      </c>
    </row>
    <row r="22">
      <c r="A22" s="28" t="inlineStr">
        <is>
          <t>Rechnungen offen (unbezahlt)</t>
        </is>
      </c>
      <c r="B22" s="31">
        <f>COUNTIFS(Artikelstamm!$Z$3:$Z$185,"*verkauft",Artikelstamm!$AI$3:$AI$185,"offen")</f>
        <v/>
      </c>
    </row>
    <row r="23">
      <c r="A23" s="26" t="inlineStr">
        <is>
          <t>Reservierungen ohne Abholtermin</t>
        </is>
      </c>
      <c r="B23" s="27">
        <f>COUNTIFS(Artikelstamm!$Z$3:$Z$185,"reserviert",Artikelstamm!$AK$3:$AK$185,"")</f>
        <v/>
      </c>
    </row>
    <row r="24">
      <c r="A24" s="26" t="inlineStr">
        <is>
          <t>Artikel ohne Preis</t>
        </is>
      </c>
      <c r="B24" s="27">
        <f>COUNTIFS(Artikelstamm!$S$3:$S$185,"")</f>
        <v/>
      </c>
    </row>
    <row r="25">
      <c r="A25" s="26" t="inlineStr">
        <is>
          <t>Artikel ohne Maßangabe</t>
        </is>
      </c>
      <c r="B25" s="27">
        <f>COUNTIFS(Artikelstamm!$O$3:$O$185,"")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COUNTIF(Artikelstamm!$I$3:$I$185,$A30)</f>
        <v/>
      </c>
      <c r="C30" s="34">
        <f>SUMPRODUCT((Artikelstamm!$I$3:$I$185=$A30)*Artikelstamm!$K$3:$K$185*Artikelstamm!$AD$3:$AD$185)</f>
        <v/>
      </c>
      <c r="D30" s="34">
        <f>SUMIF(Artikelstamm!$I$3:$I$185,$A30,Artikelstamm!$U$3:$U$185)</f>
        <v/>
      </c>
    </row>
    <row r="31">
      <c r="A31" s="26" t="inlineStr">
        <is>
          <t>B</t>
        </is>
      </c>
      <c r="B31" s="33">
        <f>COUNTIF(Artikelstamm!$I$3:$I$185,$A31)</f>
        <v/>
      </c>
      <c r="C31" s="34">
        <f>SUMPRODUCT((Artikelstamm!$I$3:$I$185=$A31)*Artikelstamm!$K$3:$K$185*Artikelstamm!$AD$3:$AD$185)</f>
        <v/>
      </c>
      <c r="D31" s="34">
        <f>SUMIF(Artikelstamm!$I$3:$I$185,$A31,Artikelstamm!$U$3:$U$185)</f>
        <v/>
      </c>
    </row>
    <row r="32">
      <c r="A32" s="26" t="inlineStr">
        <is>
          <t>C</t>
        </is>
      </c>
      <c r="B32" s="33">
        <f>COUNTIF(Artikelstamm!$I$3:$I$185,$A32)</f>
        <v/>
      </c>
      <c r="C32" s="34">
        <f>SUMPRODUCT((Artikelstamm!$I$3:$I$185=$A32)*Artikelstamm!$K$3:$K$185*Artikelstamm!$AD$3:$AD$185)</f>
        <v/>
      </c>
      <c r="D32" s="34">
        <f>SUMIF(Artikelstamm!$I$3:$I$185,$A32,Artikelstamm!$U$3:$U$185)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COUNTIF(Artikelstamm!$G$3:$G$185,$A37)</f>
        <v/>
      </c>
      <c r="C37" s="34">
        <f>SUMPRODUCT((Artikelstamm!$G$3:$G$185=$A37)*Artikelstamm!$K$3:$K$185*Artikelstamm!$AD$3:$AD$185)</f>
        <v/>
      </c>
      <c r="D37" s="34">
        <f>SUMIF(Artikelstamm!$G$3:$G$185,$A37,Artikelstamm!$U$3:$U$185)</f>
        <v/>
      </c>
    </row>
    <row r="38">
      <c r="A38" s="26" t="inlineStr">
        <is>
          <t>Deko</t>
        </is>
      </c>
      <c r="B38" s="33">
        <f>COUNTIF(Artikelstamm!$G$3:$G$185,$A38)</f>
        <v/>
      </c>
      <c r="C38" s="34">
        <f>SUMPRODUCT((Artikelstamm!$G$3:$G$185=$A38)*Artikelstamm!$K$3:$K$185*Artikelstamm!$AD$3:$AD$185)</f>
        <v/>
      </c>
      <c r="D38" s="34">
        <f>SUMIF(Artikelstamm!$G$3:$G$185,$A38,Artikelstamm!$U$3:$U$185)</f>
        <v/>
      </c>
    </row>
    <row r="39">
      <c r="A39" s="26" t="inlineStr">
        <is>
          <t>Designmöbel</t>
        </is>
      </c>
      <c r="B39" s="33">
        <f>COUNTIF(Artikelstamm!$G$3:$G$185,$A39)</f>
        <v/>
      </c>
      <c r="C39" s="34">
        <f>SUMPRODUCT((Artikelstamm!$G$3:$G$185=$A39)*Artikelstamm!$K$3:$K$185*Artikelstamm!$AD$3:$AD$185)</f>
        <v/>
      </c>
      <c r="D39" s="34">
        <f>SUMIF(Artikelstamm!$G$3:$G$185,$A39,Artikelstamm!$U$3:$U$185)</f>
        <v/>
      </c>
    </row>
    <row r="40">
      <c r="A40" s="26" t="inlineStr">
        <is>
          <t>Garten</t>
        </is>
      </c>
      <c r="B40" s="33">
        <f>COUNTIF(Artikelstamm!$G$3:$G$185,$A40)</f>
        <v/>
      </c>
      <c r="C40" s="34">
        <f>SUMPRODUCT((Artikelstamm!$G$3:$G$185=$A40)*Artikelstamm!$K$3:$K$185*Artikelstamm!$AD$3:$AD$185)</f>
        <v/>
      </c>
      <c r="D40" s="34">
        <f>SUMIF(Artikelstamm!$G$3:$G$185,$A40,Artikelstamm!$U$3:$U$185)</f>
        <v/>
      </c>
    </row>
    <row r="41">
      <c r="A41" s="26" t="inlineStr">
        <is>
          <t>Kita-Ausstattung</t>
        </is>
      </c>
      <c r="B41" s="33">
        <f>COUNTIF(Artikelstamm!$G$3:$G$185,$A41)</f>
        <v/>
      </c>
      <c r="C41" s="34">
        <f>SUMPRODUCT((Artikelstamm!$G$3:$G$185=$A41)*Artikelstamm!$K$3:$K$185*Artikelstamm!$AD$3:$AD$185)</f>
        <v/>
      </c>
      <c r="D41" s="34">
        <f>SUMIF(Artikelstamm!$G$3:$G$185,$A41,Artikelstamm!$U$3:$U$185)</f>
        <v/>
      </c>
    </row>
    <row r="42">
      <c r="A42" s="26" t="inlineStr">
        <is>
          <t>Kunst</t>
        </is>
      </c>
      <c r="B42" s="33">
        <f>COUNTIF(Artikelstamm!$G$3:$G$185,$A42)</f>
        <v/>
      </c>
      <c r="C42" s="34">
        <f>SUMPRODUCT((Artikelstamm!$G$3:$G$185=$A42)*Artikelstamm!$K$3:$K$185*Artikelstamm!$AD$3:$AD$185)</f>
        <v/>
      </c>
      <c r="D42" s="34">
        <f>SUMIF(Artikelstamm!$G$3:$G$185,$A42,Artikelstamm!$U$3:$U$185)</f>
        <v/>
      </c>
    </row>
    <row r="43">
      <c r="A43" s="26" t="inlineStr">
        <is>
          <t>Leuchten</t>
        </is>
      </c>
      <c r="B43" s="33">
        <f>COUNTIF(Artikelstamm!$G$3:$G$185,$A43)</f>
        <v/>
      </c>
      <c r="C43" s="34">
        <f>SUMPRODUCT((Artikelstamm!$G$3:$G$185=$A43)*Artikelstamm!$K$3:$K$185*Artikelstamm!$AD$3:$AD$185)</f>
        <v/>
      </c>
      <c r="D43" s="34">
        <f>SUMIF(Artikelstamm!$G$3:$G$185,$A43,Artikelstamm!$U$3:$U$185)</f>
        <v/>
      </c>
    </row>
    <row r="44">
      <c r="A44" s="26" t="inlineStr">
        <is>
          <t>Möbel</t>
        </is>
      </c>
      <c r="B44" s="33">
        <f>COUNTIF(Artikelstamm!$G$3:$G$185,$A44)</f>
        <v/>
      </c>
      <c r="C44" s="34">
        <f>SUMPRODUCT((Artikelstamm!$G$3:$G$185=$A44)*Artikelstamm!$K$3:$K$185*Artikelstamm!$AD$3:$AD$185)</f>
        <v/>
      </c>
      <c r="D44" s="34">
        <f>SUMIF(Artikelstamm!$G$3:$G$185,$A44,Artikelstamm!$U$3:$U$185)</f>
        <v/>
      </c>
    </row>
    <row r="45">
      <c r="A45" s="26" t="inlineStr">
        <is>
          <t>Pflanzen</t>
        </is>
      </c>
      <c r="B45" s="33">
        <f>COUNTIF(Artikelstamm!$G$3:$G$185,$A45)</f>
        <v/>
      </c>
      <c r="C45" s="34">
        <f>SUMPRODUCT((Artikelstamm!$G$3:$G$185=$A45)*Artikelstamm!$K$3:$K$185*Artikelstamm!$AD$3:$AD$185)</f>
        <v/>
      </c>
      <c r="D45" s="34">
        <f>SUMIF(Artikelstamm!$G$3:$G$185,$A45,Artikelstamm!$U$3:$U$185)</f>
        <v/>
      </c>
    </row>
    <row r="46">
      <c r="A46" s="26" t="inlineStr">
        <is>
          <t>Sonstiges</t>
        </is>
      </c>
      <c r="B46" s="33">
        <f>COUNTIF(Artikelstamm!$G$3:$G$185,$A46)</f>
        <v/>
      </c>
      <c r="C46" s="34">
        <f>SUMPRODUCT((Artikelstamm!$G$3:$G$185=$A46)*Artikelstamm!$K$3:$K$185*Artikelstamm!$AD$3:$AD$185)</f>
        <v/>
      </c>
      <c r="D46" s="34">
        <f>SUMIF(Artikelstamm!$G$3:$G$185,$A46,Artikelstamm!$U$3:$U$185)</f>
        <v/>
      </c>
    </row>
    <row r="47">
      <c r="A47" s="26" t="inlineStr">
        <is>
          <t>Technik</t>
        </is>
      </c>
      <c r="B47" s="33">
        <f>COUNTIF(Artikelstamm!$G$3:$G$185,$A47)</f>
        <v/>
      </c>
      <c r="C47" s="34">
        <f>SUMPRODUCT((Artikelstamm!$G$3:$G$185=$A47)*Artikelstamm!$K$3:$K$185*Artikelstamm!$AD$3:$AD$185)</f>
        <v/>
      </c>
      <c r="D47" s="34">
        <f>SUMIF(Artikelstamm!$G$3:$G$185,$A47,Artikelstamm!$U$3:$U$185)</f>
        <v/>
      </c>
    </row>
    <row r="48">
      <c r="A48" s="26" t="inlineStr">
        <is>
          <t>Textilien</t>
        </is>
      </c>
      <c r="B48" s="33">
        <f>COUNTIF(Artikelstamm!$G$3:$G$185,$A48)</f>
        <v/>
      </c>
      <c r="C48" s="34">
        <f>SUMPRODUCT((Artikelstamm!$G$3:$G$185=$A48)*Artikelstamm!$K$3:$K$185*Artikelstamm!$AD$3:$AD$185)</f>
        <v/>
      </c>
      <c r="D48" s="34">
        <f>SUMIF(Artikelstamm!$G$3:$G$185,$A48,Artikelstamm!$U$3:$U$185)</f>
        <v/>
      </c>
    </row>
    <row r="49">
      <c r="A49" s="26" t="inlineStr">
        <is>
          <t>Uhren</t>
        </is>
      </c>
      <c r="B49" s="33">
        <f>COUNTIF(Artikelstamm!$G$3:$G$185,$A49)</f>
        <v/>
      </c>
      <c r="C49" s="34">
        <f>SUMPRODUCT((Artikelstamm!$G$3:$G$185=$A49)*Artikelstamm!$K$3:$K$185*Artikelstamm!$AD$3:$AD$185)</f>
        <v/>
      </c>
      <c r="D49" s="34">
        <f>SUMIF(Artikelstamm!$G$3:$G$185,$A49,Artikelstamm!$U$3:$U$185)</f>
        <v/>
      </c>
    </row>
    <row r="50">
      <c r="A50" s="26" t="inlineStr">
        <is>
          <t>Verbrauchsmaterial</t>
        </is>
      </c>
      <c r="B50" s="33">
        <f>COUNTIF(Artikelstamm!$G$3:$G$185,$A50)</f>
        <v/>
      </c>
      <c r="C50" s="34">
        <f>SUMPRODUCT((Artikelstamm!$G$3:$G$185=$A50)*Artikelstamm!$K$3:$K$185*Artikelstamm!$AD$3:$AD$185)</f>
        <v/>
      </c>
      <c r="D50" s="34">
        <f>SUMIF(Artikelstamm!$G$3:$G$185,$A50,Artikelstamm!$U$3:$U$185)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COUNTIF(Artikelstamm!$H$3:$H$185,$A55)</f>
        <v/>
      </c>
      <c r="C55" s="34">
        <f>SUMPRODUCT((Artikelstamm!$H$3:$H$185=$A55)*Artikelstamm!$K$3:$K$185*Artikelstamm!$AD$3:$AD$185)</f>
        <v/>
      </c>
      <c r="D55" s="34">
        <f>SUMIF(Artikelstamm!$H$3:$H$185,$A55,Artikelstamm!$U$3:$U$185)</f>
        <v/>
      </c>
    </row>
    <row r="56">
      <c r="A56" s="26" t="inlineStr">
        <is>
          <t>Büro</t>
        </is>
      </c>
      <c r="B56" s="33">
        <f>COUNTIF(Artikelstamm!$H$3:$H$185,$A56)</f>
        <v/>
      </c>
      <c r="C56" s="34">
        <f>SUMPRODUCT((Artikelstamm!$H$3:$H$185=$A56)*Artikelstamm!$K$3:$K$185*Artikelstamm!$AD$3:$AD$185)</f>
        <v/>
      </c>
      <c r="D56" s="34">
        <f>SUMIF(Artikelstamm!$H$3:$H$185,$A56,Artikelstamm!$U$3:$U$185)</f>
        <v/>
      </c>
    </row>
    <row r="57">
      <c r="A57" s="26" t="inlineStr">
        <is>
          <t>Büro / Besprechung</t>
        </is>
      </c>
      <c r="B57" s="33">
        <f>COUNTIF(Artikelstamm!$H$3:$H$185,$A57)</f>
        <v/>
      </c>
      <c r="C57" s="34">
        <f>SUMPRODUCT((Artikelstamm!$H$3:$H$185=$A57)*Artikelstamm!$K$3:$K$185*Artikelstamm!$AD$3:$AD$185)</f>
        <v/>
      </c>
      <c r="D57" s="34">
        <f>SUMIF(Artikelstamm!$H$3:$H$185,$A57,Artikelstamm!$U$3:$U$185)</f>
        <v/>
      </c>
    </row>
    <row r="58">
      <c r="A58" s="26" t="inlineStr">
        <is>
          <t>Dachterrasse</t>
        </is>
      </c>
      <c r="B58" s="33">
        <f>COUNTIF(Artikelstamm!$H$3:$H$185,$A58)</f>
        <v/>
      </c>
      <c r="C58" s="34">
        <f>SUMPRODUCT((Artikelstamm!$H$3:$H$185=$A58)*Artikelstamm!$K$3:$K$185*Artikelstamm!$AD$3:$AD$185)</f>
        <v/>
      </c>
      <c r="D58" s="34">
        <f>SUMIF(Artikelstamm!$H$3:$H$185,$A58,Artikelstamm!$U$3:$U$185)</f>
        <v/>
      </c>
    </row>
    <row r="59">
      <c r="A59" s="26" t="inlineStr">
        <is>
          <t>Flur</t>
        </is>
      </c>
      <c r="B59" s="33">
        <f>COUNTIF(Artikelstamm!$H$3:$H$185,$A59)</f>
        <v/>
      </c>
      <c r="C59" s="34">
        <f>SUMPRODUCT((Artikelstamm!$H$3:$H$185=$A59)*Artikelstamm!$K$3:$K$185*Artikelstamm!$AD$3:$AD$185)</f>
        <v/>
      </c>
      <c r="D59" s="34">
        <f>SUMIF(Artikelstamm!$H$3:$H$185,$A59,Artikelstamm!$U$3:$U$185)</f>
        <v/>
      </c>
    </row>
    <row r="60">
      <c r="A60" s="26" t="inlineStr">
        <is>
          <t>Flur 1</t>
        </is>
      </c>
      <c r="B60" s="33">
        <f>COUNTIF(Artikelstamm!$H$3:$H$185,$A60)</f>
        <v/>
      </c>
      <c r="C60" s="34">
        <f>SUMPRODUCT((Artikelstamm!$H$3:$H$185=$A60)*Artikelstamm!$K$3:$K$185*Artikelstamm!$AD$3:$AD$185)</f>
        <v/>
      </c>
      <c r="D60" s="34">
        <f>SUMIF(Artikelstamm!$H$3:$H$185,$A60,Artikelstamm!$U$3:$U$185)</f>
        <v/>
      </c>
    </row>
    <row r="61">
      <c r="A61" s="26" t="inlineStr">
        <is>
          <t>Gartenanlage</t>
        </is>
      </c>
      <c r="B61" s="33">
        <f>COUNTIF(Artikelstamm!$H$3:$H$185,$A61)</f>
        <v/>
      </c>
      <c r="C61" s="34">
        <f>SUMPRODUCT((Artikelstamm!$H$3:$H$185=$A61)*Artikelstamm!$K$3:$K$185*Artikelstamm!$AD$3:$AD$185)</f>
        <v/>
      </c>
      <c r="D61" s="34">
        <f>SUMIF(Artikelstamm!$H$3:$H$185,$A61,Artikelstamm!$U$3:$U$185)</f>
        <v/>
      </c>
    </row>
    <row r="62">
      <c r="A62" s="26" t="inlineStr">
        <is>
          <t>Gruppenraum</t>
        </is>
      </c>
      <c r="B62" s="33">
        <f>COUNTIF(Artikelstamm!$H$3:$H$185,$A62)</f>
        <v/>
      </c>
      <c r="C62" s="34">
        <f>SUMPRODUCT((Artikelstamm!$H$3:$H$185=$A62)*Artikelstamm!$K$3:$K$185*Artikelstamm!$AD$3:$AD$185)</f>
        <v/>
      </c>
      <c r="D62" s="34">
        <f>SUMIF(Artikelstamm!$H$3:$H$185,$A62,Artikelstamm!$U$3:$U$185)</f>
        <v/>
      </c>
    </row>
    <row r="63">
      <c r="A63" s="26" t="inlineStr">
        <is>
          <t>Gruppenraum 2</t>
        </is>
      </c>
      <c r="B63" s="33">
        <f>COUNTIF(Artikelstamm!$H$3:$H$185,$A63)</f>
        <v/>
      </c>
      <c r="C63" s="34">
        <f>SUMPRODUCT((Artikelstamm!$H$3:$H$185=$A63)*Artikelstamm!$K$3:$K$185*Artikelstamm!$AD$3:$AD$185)</f>
        <v/>
      </c>
      <c r="D63" s="34">
        <f>SUMIF(Artikelstamm!$H$3:$H$185,$A63,Artikelstamm!$U$3:$U$185)</f>
        <v/>
      </c>
    </row>
    <row r="64">
      <c r="A64" s="26" t="inlineStr">
        <is>
          <t>Gruppenraum 4</t>
        </is>
      </c>
      <c r="B64" s="33">
        <f>COUNTIF(Artikelstamm!$H$3:$H$185,$A64)</f>
        <v/>
      </c>
      <c r="C64" s="34">
        <f>SUMPRODUCT((Artikelstamm!$H$3:$H$185=$A64)*Artikelstamm!$K$3:$K$185*Artikelstamm!$AD$3:$AD$185)</f>
        <v/>
      </c>
      <c r="D64" s="34">
        <f>SUMIF(Artikelstamm!$H$3:$H$185,$A64,Artikelstamm!$U$3:$U$185)</f>
        <v/>
      </c>
    </row>
    <row r="65">
      <c r="A65" s="26" t="inlineStr">
        <is>
          <t>Gruppenraum 5</t>
        </is>
      </c>
      <c r="B65" s="33">
        <f>COUNTIF(Artikelstamm!$H$3:$H$185,$A65)</f>
        <v/>
      </c>
      <c r="C65" s="34">
        <f>SUMPRODUCT((Artikelstamm!$H$3:$H$185=$A65)*Artikelstamm!$K$3:$K$185*Artikelstamm!$AD$3:$AD$185)</f>
        <v/>
      </c>
      <c r="D65" s="34">
        <f>SUMIF(Artikelstamm!$H$3:$H$185,$A65,Artikelstamm!$U$3:$U$185)</f>
        <v/>
      </c>
    </row>
    <row r="66">
      <c r="A66" s="26" t="inlineStr">
        <is>
          <t>Personal</t>
        </is>
      </c>
      <c r="B66" s="33">
        <f>COUNTIF(Artikelstamm!$H$3:$H$185,$A66)</f>
        <v/>
      </c>
      <c r="C66" s="34">
        <f>SUMPRODUCT((Artikelstamm!$H$3:$H$185=$A66)*Artikelstamm!$K$3:$K$185*Artikelstamm!$AD$3:$AD$185)</f>
        <v/>
      </c>
      <c r="D66" s="34">
        <f>SUMIF(Artikelstamm!$H$3:$H$185,$A66,Artikelstamm!$U$3:$U$185)</f>
        <v/>
      </c>
    </row>
    <row r="67">
      <c r="A67" s="26" t="inlineStr">
        <is>
          <t>Ruhe- / Schlafraum</t>
        </is>
      </c>
      <c r="B67" s="33">
        <f>COUNTIF(Artikelstamm!$H$3:$H$185,$A67)</f>
        <v/>
      </c>
      <c r="C67" s="34">
        <f>SUMPRODUCT((Artikelstamm!$H$3:$H$185=$A67)*Artikelstamm!$K$3:$K$185*Artikelstamm!$AD$3:$AD$185)</f>
        <v/>
      </c>
      <c r="D67" s="34">
        <f>SUMIF(Artikelstamm!$H$3:$H$185,$A67,Artikelstamm!$U$3:$U$185)</f>
        <v/>
      </c>
    </row>
    <row r="68">
      <c r="A68" s="26" t="inlineStr">
        <is>
          <t>Schlafraum 4</t>
        </is>
      </c>
      <c r="B68" s="33">
        <f>COUNTIF(Artikelstamm!$H$3:$H$185,$A68)</f>
        <v/>
      </c>
      <c r="C68" s="34">
        <f>SUMPRODUCT((Artikelstamm!$H$3:$H$185=$A68)*Artikelstamm!$K$3:$K$185*Artikelstamm!$AD$3:$AD$185)</f>
        <v/>
      </c>
      <c r="D68" s="34">
        <f>SUMIF(Artikelstamm!$H$3:$H$185,$A68,Artikelstamm!$U$3:$U$185)</f>
        <v/>
      </c>
    </row>
    <row r="69">
      <c r="A69" s="26" t="inlineStr">
        <is>
          <t>Schlafraum 5</t>
        </is>
      </c>
      <c r="B69" s="33">
        <f>COUNTIF(Artikelstamm!$H$3:$H$185,$A69)</f>
        <v/>
      </c>
      <c r="C69" s="34">
        <f>SUMPRODUCT((Artikelstamm!$H$3:$H$185=$A69)*Artikelstamm!$K$3:$K$185*Artikelstamm!$AD$3:$AD$185)</f>
        <v/>
      </c>
      <c r="D69" s="34">
        <f>SUMIF(Artikelstamm!$H$3:$H$185,$A69,Artikelstamm!$U$3:$U$185)</f>
        <v/>
      </c>
    </row>
    <row r="70">
      <c r="A70" s="26" t="inlineStr">
        <is>
          <t>Speisesaal</t>
        </is>
      </c>
      <c r="B70" s="33">
        <f>COUNTIF(Artikelstamm!$H$3:$H$185,$A70)</f>
        <v/>
      </c>
      <c r="C70" s="34">
        <f>SUMPRODUCT((Artikelstamm!$H$3:$H$185=$A70)*Artikelstamm!$K$3:$K$185*Artikelstamm!$AD$3:$AD$185)</f>
        <v/>
      </c>
      <c r="D70" s="34">
        <f>SUMIF(Artikelstamm!$H$3:$H$185,$A70,Artikelstamm!$U$3:$U$185)</f>
        <v/>
      </c>
    </row>
    <row r="71">
      <c r="A71" s="26" t="inlineStr">
        <is>
          <t>Terrasse</t>
        </is>
      </c>
      <c r="B71" s="33">
        <f>COUNTIF(Artikelstamm!$H$3:$H$185,$A71)</f>
        <v/>
      </c>
      <c r="C71" s="34">
        <f>SUMPRODUCT((Artikelstamm!$H$3:$H$185=$A71)*Artikelstamm!$K$3:$K$185*Artikelstamm!$AD$3:$AD$185)</f>
        <v/>
      </c>
      <c r="D71" s="34">
        <f>SUMIF(Artikelstamm!$H$3:$H$185,$A71,Artikelstamm!$U$3:$U$185)</f>
        <v/>
      </c>
    </row>
    <row r="72">
      <c r="A72" s="26" t="inlineStr">
        <is>
          <t>WC Personal</t>
        </is>
      </c>
      <c r="B72" s="33">
        <f>COUNTIF(Artikelstamm!$H$3:$H$185,$A72)</f>
        <v/>
      </c>
      <c r="C72" s="34">
        <f>SUMPRODUCT((Artikelstamm!$H$3:$H$185=$A72)*Artikelstamm!$K$3:$K$185*Artikelstamm!$AD$3:$AD$185)</f>
        <v/>
      </c>
      <c r="D72" s="34">
        <f>SUMIF(Artikelstamm!$H$3:$H$185,$A72,Artikelstamm!$U$3:$U$185)</f>
        <v/>
      </c>
    </row>
    <row r="73">
      <c r="A73" s="26" t="inlineStr">
        <is>
          <t>Werkraum</t>
        </is>
      </c>
      <c r="B73" s="33">
        <f>COUNTIF(Artikelstamm!$H$3:$H$185,$A73)</f>
        <v/>
      </c>
      <c r="C73" s="34">
        <f>SUMPRODUCT((Artikelstamm!$H$3:$H$185=$A73)*Artikelstamm!$K$3:$K$185*Artikelstamm!$AD$3:$AD$185)</f>
        <v/>
      </c>
      <c r="D73" s="34">
        <f>SUMIF(Artikelstamm!$H$3:$H$185,$A73,Artikelstamm!$U$3:$U$185)</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COUNTIF(Artikelstamm!$AB$3:$AB$185,$A78)</f>
        <v/>
      </c>
      <c r="C78" s="34">
        <f>SUMPRODUCT((Artikelstamm!$AB$3:$AB$185=$A78)*Artikelstamm!$K$3:$K$185*Artikelstamm!$AD$3:$AD$185)</f>
        <v/>
      </c>
    </row>
    <row r="79">
      <c r="A79" s="26" t="inlineStr">
        <is>
          <t>Kleinanzeigen</t>
        </is>
      </c>
      <c r="B79" s="33">
        <f>COUNTIF(Artikelstamm!$AB$3:$AB$185,$A79)</f>
        <v/>
      </c>
      <c r="C79" s="34">
        <f>SUMPRODUCT((Artikelstamm!$AB$3:$AB$185=$A79)*Artikelstamm!$K$3:$K$185*Artikelstamm!$AD$3:$AD$185)</f>
        <v/>
      </c>
    </row>
    <row r="80">
      <c r="A80" s="26" t="inlineStr">
        <is>
          <t>eBay</t>
        </is>
      </c>
      <c r="B80" s="33">
        <f>COUNTIF(Artikelstamm!$AB$3:$AB$185,$A80)</f>
        <v/>
      </c>
      <c r="C80" s="34">
        <f>SUMPRODUCT((Artikelstamm!$AB$3:$AB$185=$A80)*Artikelstamm!$K$3:$K$185*Artikelstamm!$AD$3:$AD$185)</f>
        <v/>
      </c>
    </row>
    <row r="81">
      <c r="A81" s="26" t="inlineStr">
        <is>
          <t>Direkt</t>
        </is>
      </c>
      <c r="B81" s="33">
        <f>COUNTIF(Artikelstamm!$AB$3:$AB$185,$A81)</f>
        <v/>
      </c>
      <c r="C81" s="34">
        <f>SUMPRODUCT((Artikelstamm!$AB$3:$AB$185=$A81)*Artikelstamm!$K$3:$K$185*Artikelstamm!$AD$3:$AD$185)</f>
        <v/>
      </c>
    </row>
    <row r="82">
      <c r="A82" s="26" t="inlineStr">
        <is>
          <t>Händler</t>
        </is>
      </c>
      <c r="B82" s="33">
        <f>COUNTIF(Artikelstamm!$AB$3:$AB$185,$A82)</f>
        <v/>
      </c>
      <c r="C82" s="34">
        <f>SUMPRODUCT((Artikelstamm!$AB$3:$AB$185=$A82)*Artikelstamm!$K$3:$K$185*Artikelstamm!$AD$3:$AD$185)</f>
        <v/>
      </c>
    </row>
    <row r="83">
      <c r="A83" s="26" t="inlineStr">
        <is>
          <t>Verkaufstag</t>
        </is>
      </c>
      <c r="B83" s="33">
        <f>COUNTIF(Artikelstamm!$AB$3:$AB$185,$A83)</f>
        <v/>
      </c>
      <c r="C83" s="34">
        <f>SUMPRODUCT((Artikelstamm!$AB$3:$AB$185=$A83)*Artikelstamm!$K$3:$K$185*Artikelstamm!$AD$3:$AD$185)</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2026-09-22T12:39:03Z</dcterms:created>
  <dcterms:modified xmlns:dcterms="http://purl.org/dc/terms/" xmlns:xsi="http://www.w3.org/2001/XMLSchema-instance" xsi:type="dcterms:W3CDTF">2026-09-22T12:39:03Z</dcterms:modified>
</cp:coreProperties>
</file>