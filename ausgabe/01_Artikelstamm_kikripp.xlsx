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'Artikelstamm'!$A$2:$AM$207</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207"/>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ja</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n"/>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20" t="n"/>
      <c r="AE133" s="21">
        <f>IF(K133="","",K133*AD133)</f>
        <v/>
      </c>
      <c r="AF133" s="19" t="n"/>
      <c r="AG133" s="19" t="n"/>
      <c r="AH133" s="19" t="n"/>
      <c r="AI133" s="19" t="n"/>
      <c r="AJ133" s="19" t="n"/>
      <c r="AK133" s="19" t="n"/>
      <c r="AL133" s="16" t="inlineStr">
        <is>
          <t>2 Teppiche, Maße vom Erfassungsblatt.</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20" t="n"/>
      <c r="AE134" s="21">
        <f>IF(K134="","",K134*AD134)</f>
        <v/>
      </c>
      <c r="AF134" s="19" t="n"/>
      <c r="AG134" s="19" t="n"/>
      <c r="AH134" s="19" t="n"/>
      <c r="AI134" s="19" t="n"/>
      <c r="AJ134" s="19" t="n"/>
      <c r="AK134" s="19" t="n"/>
      <c r="AL134" s="16" t="inlineStr">
        <is>
          <t>2 Teppiche, Maße vom Erfassungsblatt.</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16 Stühle insgesamt: 10 im Gruppenraum 5 und im Nachbarraum NU03, 6 im Schlafraum 5 (dort mit NU04-12 beschriftet).</t>
        </is>
      </c>
      <c r="AM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20" t="n"/>
      <c r="AE177" s="21">
        <f>IF(K177="","",K177*AD177)</f>
        <v/>
      </c>
      <c r="AF177" s="19" t="n"/>
      <c r="AG177" s="19" t="n"/>
      <c r="AH177" s="19" t="n"/>
      <c r="AI177" s="19" t="n"/>
      <c r="AJ177" s="19" t="n"/>
      <c r="AK177" s="19" t="n"/>
      <c r="AL177" s="16" t="inlineStr">
        <is>
          <t>4 Betten, alle aufgebaut: 2 im Schlafraum 4 und 2 in einem weiteren Schlafraum.</t>
        </is>
      </c>
      <c r="AM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20" t="n"/>
      <c r="AE178" s="21">
        <f>IF(K178="","",K178*AD178)</f>
        <v/>
      </c>
      <c r="AF178" s="19" t="n"/>
      <c r="AG178" s="19" t="n"/>
      <c r="AH178" s="19" t="n"/>
      <c r="AI178" s="19" t="n"/>
      <c r="AJ178" s="19" t="n"/>
      <c r="AK178" s="19" t="n"/>
      <c r="AL178" s="16" t="inlineStr">
        <is>
          <t>1 Küche aus 5 Modulen, vom Haus bestätigt.</t>
        </is>
      </c>
      <c r="AM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20" t="n"/>
      <c r="AE179" s="21">
        <f>IF(K179="","",K179*AD179)</f>
        <v/>
      </c>
      <c r="AF179" s="19" t="n"/>
      <c r="AG179" s="19" t="n"/>
      <c r="AH179" s="19" t="n"/>
      <c r="AI179" s="19" t="n"/>
      <c r="AJ179" s="19" t="n"/>
      <c r="AK179" s="19" t="n"/>
      <c r="AL179" s="16" t="inlineStr">
        <is>
          <t>2 Teile: ein Bügelbrett und ein Wäscheständer, beide auf Foto F-178 zu sehen.</t>
        </is>
      </c>
      <c r="AM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20" t="n"/>
      <c r="AE180" s="21">
        <f>IF(K180="","",K180*AD180)</f>
        <v/>
      </c>
      <c r="AF180" s="19" t="n"/>
      <c r="AG180" s="19" t="n"/>
      <c r="AH180" s="19" t="n"/>
      <c r="AI180" s="19" t="n"/>
      <c r="AJ180" s="19" t="n"/>
      <c r="AK180" s="19" t="n"/>
      <c r="AL180" s="16" t="inlineStr">
        <is>
          <t>1 Sessel.</t>
        </is>
      </c>
      <c r="AM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20" t="n"/>
      <c r="AE181" s="21">
        <f>IF(K181="","",K181*AD181)</f>
        <v/>
      </c>
      <c r="AF181" s="19" t="n"/>
      <c r="AG181" s="19" t="n"/>
      <c r="AH181" s="19" t="n"/>
      <c r="AI181" s="19" t="n"/>
      <c r="AJ181" s="19" t="n"/>
      <c r="AK181" s="19" t="n"/>
      <c r="AL181" s="16" t="inlineStr">
        <is>
          <t>2 Regale – abgebildet ist eines davon.</t>
        </is>
      </c>
      <c r="AM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20" t="n"/>
      <c r="AE182" s="21">
        <f>IF(K182="","",K182*AD182)</f>
        <v/>
      </c>
      <c r="AF182" s="19" t="n"/>
      <c r="AG182" s="19" t="n"/>
      <c r="AH182" s="19" t="n"/>
      <c r="AI182" s="19" t="n"/>
      <c r="AJ182" s="19" t="n"/>
      <c r="AK182" s="19" t="n"/>
      <c r="AL182" s="16" t="inlineStr">
        <is>
          <t>1 Regal. Der Inhalt gehört nicht dazu.</t>
        </is>
      </c>
      <c r="AM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20" t="n"/>
      <c r="AE183" s="21">
        <f>IF(K183="","",K183*AD183)</f>
        <v/>
      </c>
      <c r="AF183" s="19" t="n"/>
      <c r="AG183" s="19" t="n"/>
      <c r="AH183" s="19" t="n"/>
      <c r="AI183" s="19" t="n"/>
      <c r="AJ183" s="19" t="n"/>
      <c r="AK183" s="19" t="n"/>
      <c r="AL183" s="16" t="inlineStr">
        <is>
          <t>2 Kommoden – abgebildet ist eine davon, die zweite steht rechts daneben.</t>
        </is>
      </c>
      <c r="AM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20" t="n"/>
      <c r="AE184" s="21">
        <f>IF(K184="","",K184*AD184)</f>
        <v/>
      </c>
      <c r="AF184" s="19" t="n"/>
      <c r="AG184" s="19" t="n"/>
      <c r="AH184" s="19" t="n"/>
      <c r="AI184" s="19" t="n"/>
      <c r="AJ184" s="19" t="n"/>
      <c r="AK184" s="19" t="n"/>
      <c r="AL184" s="16" t="inlineStr">
        <is>
          <t>2 Regale einschließlich der eingehängten Wannen – abgebildet ist eines davon. Der Inhalt der Wannen gehört nicht dazu.</t>
        </is>
      </c>
      <c r="AM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20" t="n"/>
      <c r="AE185" s="21">
        <f>IF(K185="","",K185*AD185)</f>
        <v/>
      </c>
      <c r="AF185" s="19" t="n"/>
      <c r="AG185" s="19" t="n"/>
      <c r="AH185" s="19" t="n"/>
      <c r="AI185" s="19" t="n"/>
      <c r="AJ185" s="19" t="n"/>
      <c r="AK185" s="19" t="n"/>
      <c r="AL185" s="16" t="inlineStr">
        <is>
          <t>9 Stühle – abgebildet ist einer davon.</t>
        </is>
      </c>
      <c r="AM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20" t="n"/>
      <c r="AE186" s="21">
        <f>IF(K186="","",K186*AD186)</f>
        <v/>
      </c>
      <c r="AF186" s="19" t="n"/>
      <c r="AG186" s="19" t="n"/>
      <c r="AH186" s="19" t="n"/>
      <c r="AI186" s="19" t="n"/>
      <c r="AJ186" s="19" t="n"/>
      <c r="AK186" s="19" t="n"/>
      <c r="AL186" s="16" t="inlineStr">
        <is>
          <t>13 Stühle – abgebildet ist einer davon, das Etikett auf Foto F-189.</t>
        </is>
      </c>
      <c r="AM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20" t="n"/>
      <c r="AE187" s="21">
        <f>IF(K187="","",K187*AD187)</f>
        <v/>
      </c>
      <c r="AF187" s="19" t="n"/>
      <c r="AG187" s="19" t="n"/>
      <c r="AH187" s="19" t="n"/>
      <c r="AI187" s="19" t="n"/>
      <c r="AJ187" s="19" t="n"/>
      <c r="AK187" s="19" t="n"/>
      <c r="AL187" s="16" t="inlineStr">
        <is>
          <t>7 Stühle – abgebildet ist einer davon, das Etikett auf Foto F-191.</t>
        </is>
      </c>
      <c r="AM187" s="22" t="inlineStr">
        <is>
          <t>Farbe klaeren: auf dem Erfassungsblatt steht weiss, das Foto wirkt hellgrau-gruen.</t>
        </is>
      </c>
    </row>
    <row r="188" ht="30" customHeight="1">
      <c r="A188" s="15" t="inlineStr">
        <is>
          <t>NU04-09</t>
        </is>
      </c>
      <c r="B188" s="15" t="n"/>
      <c r="C188" s="15" t="inlineStr">
        <is>
          <t>NU05-05</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4</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20" t="n"/>
      <c r="AE188" s="21">
        <f>IF(K188="","",K188*AD188)</f>
        <v/>
      </c>
      <c r="AF188" s="19" t="n"/>
      <c r="AG188" s="19" t="n"/>
      <c r="AH188" s="19" t="n"/>
      <c r="AI188" s="19" t="n"/>
      <c r="AJ188" s="19" t="n"/>
      <c r="AK188" s="19" t="n"/>
      <c r="AL188" s="16" t="inlineStr">
        <is>
          <t>4 Regale insgesamt: 3 im Schlafraum 5 und 1 im Treppenraum 1 (dort mit NU05-05 beschriftet).</t>
        </is>
      </c>
      <c r="AM188" s="22" t="inlineStr">
        <is>
          <t>Zusammengefasste Position – Post-it-Nummer im zweiten Raum: NU05-05.</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20" t="n"/>
      <c r="AE189" s="21">
        <f>IF(K189="","",K189*AD189)</f>
        <v/>
      </c>
      <c r="AF189" s="19" t="n"/>
      <c r="AG189" s="19" t="n"/>
      <c r="AH189" s="19" t="n"/>
      <c r="AI189" s="19" t="n"/>
      <c r="AJ189" s="19" t="n"/>
      <c r="AK189" s="19" t="n"/>
      <c r="AL189" s="16" t="inlineStr">
        <is>
          <t>4 Stühle – abgebildet ist einer davon.</t>
        </is>
      </c>
      <c r="AM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20" t="n"/>
      <c r="AE190" s="21">
        <f>IF(K190="","",K190*AD190)</f>
        <v/>
      </c>
      <c r="AF190" s="19" t="n"/>
      <c r="AG190" s="19" t="n"/>
      <c r="AH190" s="19" t="n"/>
      <c r="AI190" s="19" t="n"/>
      <c r="AJ190" s="19" t="n"/>
      <c r="AK190" s="19" t="n"/>
      <c r="AL190" s="16" t="inlineStr">
        <is>
          <t>2 Stück – abgebildet ist eines davon, das Etikett auf Foto F-195.</t>
        </is>
      </c>
      <c r="AM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20" t="n"/>
      <c r="AE191" s="21">
        <f>IF(K191="","",K191*AD191)</f>
        <v/>
      </c>
      <c r="AF191" s="19" t="n"/>
      <c r="AG191" s="19" t="n"/>
      <c r="AH191" s="19" t="n"/>
      <c r="AI191" s="19" t="n"/>
      <c r="AJ191" s="19" t="n"/>
      <c r="AK191" s="19" t="n"/>
      <c r="AL191" s="16" t="inlineStr">
        <is>
          <t>1 Tisch.</t>
        </is>
      </c>
      <c r="AM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20" t="n"/>
      <c r="AE192" s="21">
        <f>IF(K192="","",K192*AD192)</f>
        <v/>
      </c>
      <c r="AF192" s="19" t="n"/>
      <c r="AG192" s="19" t="n"/>
      <c r="AH192" s="19" t="n"/>
      <c r="AI192" s="19" t="n"/>
      <c r="AJ192" s="19" t="n"/>
      <c r="AK192" s="19" t="n"/>
      <c r="AL192" s="16" t="inlineStr">
        <is>
          <t>1 Raumteiler.</t>
        </is>
      </c>
      <c r="AM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20" t="n"/>
      <c r="AE193" s="21">
        <f>IF(K193="","",K193*AD193)</f>
        <v/>
      </c>
      <c r="AF193" s="19" t="n"/>
      <c r="AG193" s="19" t="n"/>
      <c r="AH193" s="19" t="n"/>
      <c r="AI193" s="19" t="n"/>
      <c r="AJ193" s="19" t="n"/>
      <c r="AK193" s="19" t="n"/>
      <c r="AL193" s="16" t="inlineStr">
        <is>
          <t>1 Regal. Die Bücher gehören nicht dazu.</t>
        </is>
      </c>
      <c r="AM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20" t="n"/>
      <c r="AE194" s="21">
        <f>IF(K194="","",K194*AD194)</f>
        <v/>
      </c>
      <c r="AF194" s="19" t="n"/>
      <c r="AG194" s="19" t="n"/>
      <c r="AH194" s="19" t="n"/>
      <c r="AI194" s="19" t="n"/>
      <c r="AJ194" s="19" t="n"/>
      <c r="AK194" s="19" t="n"/>
      <c r="AL194" s="16" t="inlineStr">
        <is>
          <t>1 Bällebad einschließlich der Bälle, vom Haus bestätigt.</t>
        </is>
      </c>
      <c r="AM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20" t="n"/>
      <c r="AE195" s="21">
        <f>IF(K195="","",K195*AD195)</f>
        <v/>
      </c>
      <c r="AF195" s="19" t="n"/>
      <c r="AG195" s="19" t="n"/>
      <c r="AH195" s="19" t="n"/>
      <c r="AI195" s="19" t="n"/>
      <c r="AJ195" s="19" t="n"/>
      <c r="AK195" s="19" t="n"/>
      <c r="AL195" s="16" t="inlineStr">
        <is>
          <t>2 Einheiten, jeweils Unterteil und Wandaufsatz. Der Inhalt der Wannen gehört nicht dazu.</t>
        </is>
      </c>
      <c r="AM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20" t="n"/>
      <c r="AE196" s="21">
        <f>IF(K196="","",K196*AD196)</f>
        <v/>
      </c>
      <c r="AF196" s="19" t="n"/>
      <c r="AG196" s="19" t="n"/>
      <c r="AH196" s="19" t="n"/>
      <c r="AI196" s="19" t="n"/>
      <c r="AJ196" s="19" t="n"/>
      <c r="AK196" s="19" t="n"/>
      <c r="AL196" s="16" t="inlineStr">
        <is>
          <t>1 Werkbank einschließlich Wandaufhängung. Werkzeug, Helm und Zubehör gehören nicht dazu.</t>
        </is>
      </c>
      <c r="AM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20" t="n"/>
      <c r="AE197" s="21">
        <f>IF(K197="","",K197*AD197)</f>
        <v/>
      </c>
      <c r="AF197" s="19" t="n"/>
      <c r="AG197" s="19" t="n"/>
      <c r="AH197" s="19" t="n"/>
      <c r="AI197" s="19" t="n"/>
      <c r="AJ197" s="19" t="n"/>
      <c r="AK197" s="19" t="n"/>
      <c r="AL197" s="16" t="inlineStr">
        <is>
          <t>2 Schränke – abgebildet ist einer davon, innen auf Foto F-206.</t>
        </is>
      </c>
      <c r="AM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20" t="n"/>
      <c r="AE198" s="21">
        <f>IF(K198="","",K198*AD198)</f>
        <v/>
      </c>
      <c r="AF198" s="19" t="n"/>
      <c r="AG198" s="19" t="n"/>
      <c r="AH198" s="19" t="n"/>
      <c r="AI198" s="19" t="n"/>
      <c r="AJ198" s="19" t="n"/>
      <c r="AK198" s="19" t="n"/>
      <c r="AL198" s="16" t="inlineStr">
        <is>
          <t>1 Stuhl.</t>
        </is>
      </c>
      <c r="AM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20" t="n"/>
      <c r="AE199" s="21">
        <f>IF(K199="","",K199*AD199)</f>
        <v/>
      </c>
      <c r="AF199" s="19" t="n"/>
      <c r="AG199" s="19" t="n"/>
      <c r="AH199" s="19" t="n"/>
      <c r="AI199" s="19" t="n"/>
      <c r="AJ199" s="19" t="n"/>
      <c r="AK199" s="19" t="n"/>
      <c r="AL199" s="16" t="inlineStr">
        <is>
          <t>1 Tisch mit Platten und Wanne. Der Inhalt gehört nicht dazu.</t>
        </is>
      </c>
      <c r="AM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20" t="n"/>
      <c r="AE200" s="21">
        <f>IF(K200="","",K200*AD200)</f>
        <v/>
      </c>
      <c r="AF200" s="19" t="n"/>
      <c r="AG200" s="19" t="n"/>
      <c r="AH200" s="19" t="n"/>
      <c r="AI200" s="19" t="n"/>
      <c r="AJ200" s="19" t="n"/>
      <c r="AK200" s="19" t="n"/>
      <c r="AL200" s="16" t="inlineStr">
        <is>
          <t>3 Regale – abgebildet sind zwei davon.</t>
        </is>
      </c>
      <c r="AM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20" t="n"/>
      <c r="AE201" s="21">
        <f>IF(K201="","",K201*AD201)</f>
        <v/>
      </c>
      <c r="AF201" s="19" t="n"/>
      <c r="AG201" s="19" t="n"/>
      <c r="AH201" s="19" t="n"/>
      <c r="AI201" s="19" t="n"/>
      <c r="AJ201" s="19" t="n"/>
      <c r="AK201" s="19" t="n"/>
      <c r="AL201" s="16" t="inlineStr">
        <is>
          <t>6 Stühle – abgebildet ist einer davon.</t>
        </is>
      </c>
      <c r="AM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20" t="n"/>
      <c r="AE202" s="21">
        <f>IF(K202="","",K202*AD202)</f>
        <v/>
      </c>
      <c r="AF202" s="19" t="n"/>
      <c r="AG202" s="19" t="n"/>
      <c r="AH202" s="19" t="n"/>
      <c r="AI202" s="19" t="n"/>
      <c r="AJ202" s="19" t="n"/>
      <c r="AK202" s="19" t="n"/>
      <c r="AL202" s="16" t="inlineStr">
        <is>
          <t>3 Stühle – abgebildet ist einer davon.</t>
        </is>
      </c>
      <c r="AM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20" t="n"/>
      <c r="AE203" s="21">
        <f>IF(K203="","",K203*AD203)</f>
        <v/>
      </c>
      <c r="AF203" s="19" t="n"/>
      <c r="AG203" s="19" t="n"/>
      <c r="AH203" s="19" t="n"/>
      <c r="AI203" s="19" t="n"/>
      <c r="AJ203" s="19" t="n"/>
      <c r="AK203" s="19" t="n"/>
      <c r="AL203" s="16" t="inlineStr">
        <is>
          <t>2 Tische – abgebildet ist einer davon. Der Inhalt gehört nicht dazu.</t>
        </is>
      </c>
      <c r="AM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20" t="n"/>
      <c r="AE204" s="21">
        <f>IF(K204="","",K204*AD204)</f>
        <v/>
      </c>
      <c r="AF204" s="19" t="n"/>
      <c r="AG204" s="19" t="n"/>
      <c r="AH204" s="19" t="n"/>
      <c r="AI204" s="19" t="n"/>
      <c r="AJ204" s="19" t="n"/>
      <c r="AK204" s="19" t="n"/>
      <c r="AL204" s="16" t="inlineStr">
        <is>
          <t>1 Regal.</t>
        </is>
      </c>
      <c r="AM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20" t="n"/>
      <c r="AE205" s="21">
        <f>IF(K205="","",K205*AD205)</f>
        <v/>
      </c>
      <c r="AF205" s="19" t="n"/>
      <c r="AG205" s="19" t="n"/>
      <c r="AH205" s="19" t="n"/>
      <c r="AI205" s="19" t="n"/>
      <c r="AJ205" s="19" t="n"/>
      <c r="AK205" s="19" t="n"/>
      <c r="AL205" s="16" t="inlineStr">
        <is>
          <t>1 Regal. Der Inhalt gehört nicht dazu.</t>
        </is>
      </c>
      <c r="AM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20" t="n"/>
      <c r="AE206" s="21">
        <f>IF(K206="","",K206*AD206)</f>
        <v/>
      </c>
      <c r="AF206" s="19" t="n"/>
      <c r="AG206" s="19" t="n"/>
      <c r="AH206" s="19" t="n"/>
      <c r="AI206" s="19" t="n"/>
      <c r="AJ206" s="19" t="n"/>
      <c r="AK206" s="19" t="n"/>
      <c r="AL206" s="16" t="inlineStr">
        <is>
          <t>1 Gestell mit acht Einschüben.</t>
        </is>
      </c>
      <c r="AM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20" t="n"/>
      <c r="AE207" s="21">
        <f>IF(K207="","",K207*AD207)</f>
        <v/>
      </c>
      <c r="AF207" s="19" t="n"/>
      <c r="AG207" s="19" t="n"/>
      <c r="AH207" s="19" t="n"/>
      <c r="AI207" s="19" t="n"/>
      <c r="AJ207" s="19" t="n"/>
      <c r="AK207" s="19" t="n"/>
      <c r="AL207" s="16" t="inlineStr">
        <is>
          <t>1 Tafel. Schwamm und Becher gehören nicht dazu.</t>
        </is>
      </c>
      <c r="AM207" s="22" t="n"/>
    </row>
  </sheetData>
  <autoFilter ref="A2:AM207"/>
  <mergeCells count="7">
    <mergeCell ref="AH1:AK1"/>
    <mergeCell ref="S1:U1"/>
    <mergeCell ref="Q1:R1"/>
    <mergeCell ref="A1:P1"/>
    <mergeCell ref="V1:AC1"/>
    <mergeCell ref="AL1:AM1"/>
    <mergeCell ref="AD1:AG1"/>
  </mergeCells>
  <conditionalFormatting sqref="Z3:Z207">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07">
    <cfRule type="cellIs" priority="4" operator="equal" dxfId="3">
      <formula>"A"</formula>
    </cfRule>
  </conditionalFormatting>
  <conditionalFormatting sqref="P3:P207">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COUNTA(Artikelstamm!$A$3:$A$207)</f>
        <v/>
      </c>
    </row>
    <row r="6">
      <c r="A6" s="26" t="inlineStr">
        <is>
          <t>davon verfügbar</t>
        </is>
      </c>
      <c r="B6" s="27">
        <f>COUNTIF(Artikelstamm!$Z$3:$Z$207,"verfügbar")</f>
        <v/>
      </c>
    </row>
    <row r="7">
      <c r="A7" s="26" t="inlineStr">
        <is>
          <t>davon reserviert</t>
        </is>
      </c>
      <c r="B7" s="27">
        <f>COUNTIF(Artikelstamm!$Z$3:$Z$207,"reserviert")</f>
        <v/>
      </c>
    </row>
    <row r="8">
      <c r="A8" s="26" t="inlineStr">
        <is>
          <t>davon teilverkauft</t>
        </is>
      </c>
      <c r="B8" s="27">
        <f>COUNTIF(Artikelstamm!$Z$3:$Z$207,"teilverkauft")</f>
        <v/>
      </c>
    </row>
    <row r="9">
      <c r="A9" s="26" t="inlineStr">
        <is>
          <t>davon verkauft</t>
        </is>
      </c>
      <c r="B9" s="27">
        <f>COUNTIF(Artikelstamm!$Z$3:$Z$207,"verkauft")</f>
        <v/>
      </c>
    </row>
    <row r="10">
      <c r="A10" s="26" t="inlineStr">
        <is>
          <t>Einheiten noch im Bestand</t>
        </is>
      </c>
      <c r="B10" s="27">
        <f>SUM(Artikelstamm!$L$3:$L$207)</f>
        <v/>
      </c>
    </row>
    <row r="11">
      <c r="A11" s="28" t="inlineStr">
        <is>
          <t>Restbestand zu Wunschpreisen (netto)</t>
        </is>
      </c>
      <c r="B11" s="29">
        <f>SUM(Artikelstamm!$U$3:$U$207)</f>
        <v/>
      </c>
    </row>
    <row r="12">
      <c r="A12" s="25" t="inlineStr">
        <is>
          <t>Erlöse</t>
        </is>
      </c>
    </row>
    <row r="13">
      <c r="A13" s="26" t="inlineStr">
        <is>
          <t>Verkaufte Einheiten</t>
        </is>
      </c>
      <c r="B13" s="27">
        <f>SUM(Artikelstamm!$K$3:$K$207)</f>
        <v/>
      </c>
    </row>
    <row r="14">
      <c r="A14" s="26" t="inlineStr">
        <is>
          <t>Umsatz netto</t>
        </is>
      </c>
      <c r="B14" s="30">
        <f>SUMPRODUCT(Artikelstamm!$K$3:$K$207,Artikelstamm!$AD$3:$AD$207)</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SUMPRODUCT((Artikelstamm!$AI$3:$AI$207="bezahlt")*Artikelstamm!$K$3:$K$207*Artikelstamm!$AD$3:$AD$207)</f>
        <v/>
      </c>
    </row>
    <row r="18">
      <c r="A18" s="26" t="inlineStr">
        <is>
          <t>noch offen (netto)</t>
        </is>
      </c>
      <c r="B18" s="30">
        <f>B14-B17</f>
        <v/>
      </c>
    </row>
    <row r="20">
      <c r="A20" s="25" t="inlineStr">
        <is>
          <t>To-do</t>
        </is>
      </c>
    </row>
    <row r="21">
      <c r="A21" s="28" t="inlineStr">
        <is>
          <t>Rechnungen noch zu schreiben</t>
        </is>
      </c>
      <c r="B21" s="31">
        <f>COUNTIFS(Artikelstamm!$Z$3:$Z$207,"*verkauft",Artikelstamm!$AH$3:$AH$207,"")</f>
        <v/>
      </c>
    </row>
    <row r="22">
      <c r="A22" s="28" t="inlineStr">
        <is>
          <t>Rechnungen offen (unbezahlt)</t>
        </is>
      </c>
      <c r="B22" s="31">
        <f>COUNTIFS(Artikelstamm!$Z$3:$Z$207,"*verkauft",Artikelstamm!$AI$3:$AI$207,"offen")</f>
        <v/>
      </c>
    </row>
    <row r="23">
      <c r="A23" s="26" t="inlineStr">
        <is>
          <t>Reservierungen ohne Abholtermin</t>
        </is>
      </c>
      <c r="B23" s="27">
        <f>COUNTIFS(Artikelstamm!$Z$3:$Z$207,"reserviert",Artikelstamm!$AK$3:$AK$207,"")</f>
        <v/>
      </c>
    </row>
    <row r="24">
      <c r="A24" s="26" t="inlineStr">
        <is>
          <t>Artikel ohne Preis</t>
        </is>
      </c>
      <c r="B24" s="27">
        <f>COUNTIFS(Artikelstamm!$S$3:$S$207,"")</f>
        <v/>
      </c>
    </row>
    <row r="25">
      <c r="A25" s="26" t="inlineStr">
        <is>
          <t>Artikel ohne Maßangabe</t>
        </is>
      </c>
      <c r="B25" s="27">
        <f>COUNTIFS(Artikelstamm!$O$3:$O$207,"")</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COUNTIF(Artikelstamm!$I$3:$I$207,$A30)</f>
        <v/>
      </c>
      <c r="C30" s="34">
        <f>SUMPRODUCT((Artikelstamm!$I$3:$I$207=$A30)*Artikelstamm!$K$3:$K$207*Artikelstamm!$AD$3:$AD$207)</f>
        <v/>
      </c>
      <c r="D30" s="34">
        <f>SUMIF(Artikelstamm!$I$3:$I$207,$A30,Artikelstamm!$U$3:$U$207)</f>
        <v/>
      </c>
    </row>
    <row r="31">
      <c r="A31" s="26" t="inlineStr">
        <is>
          <t>B</t>
        </is>
      </c>
      <c r="B31" s="33">
        <f>COUNTIF(Artikelstamm!$I$3:$I$207,$A31)</f>
        <v/>
      </c>
      <c r="C31" s="34">
        <f>SUMPRODUCT((Artikelstamm!$I$3:$I$207=$A31)*Artikelstamm!$K$3:$K$207*Artikelstamm!$AD$3:$AD$207)</f>
        <v/>
      </c>
      <c r="D31" s="34">
        <f>SUMIF(Artikelstamm!$I$3:$I$207,$A31,Artikelstamm!$U$3:$U$207)</f>
        <v/>
      </c>
    </row>
    <row r="32">
      <c r="A32" s="26" t="inlineStr">
        <is>
          <t>C</t>
        </is>
      </c>
      <c r="B32" s="33">
        <f>COUNTIF(Artikelstamm!$I$3:$I$207,$A32)</f>
        <v/>
      </c>
      <c r="C32" s="34">
        <f>SUMPRODUCT((Artikelstamm!$I$3:$I$207=$A32)*Artikelstamm!$K$3:$K$207*Artikelstamm!$AD$3:$AD$207)</f>
        <v/>
      </c>
      <c r="D32" s="34">
        <f>SUMIF(Artikelstamm!$I$3:$I$207,$A32,Artikelstamm!$U$3:$U$207)</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COUNTIF(Artikelstamm!$G$3:$G$207,$A37)</f>
        <v/>
      </c>
      <c r="C37" s="34">
        <f>SUMPRODUCT((Artikelstamm!$G$3:$G$207=$A37)*Artikelstamm!$K$3:$K$207*Artikelstamm!$AD$3:$AD$207)</f>
        <v/>
      </c>
      <c r="D37" s="34">
        <f>SUMIF(Artikelstamm!$G$3:$G$207,$A37,Artikelstamm!$U$3:$U$207)</f>
        <v/>
      </c>
    </row>
    <row r="38">
      <c r="A38" s="26" t="inlineStr">
        <is>
          <t>Deko</t>
        </is>
      </c>
      <c r="B38" s="33">
        <f>COUNTIF(Artikelstamm!$G$3:$G$207,$A38)</f>
        <v/>
      </c>
      <c r="C38" s="34">
        <f>SUMPRODUCT((Artikelstamm!$G$3:$G$207=$A38)*Artikelstamm!$K$3:$K$207*Artikelstamm!$AD$3:$AD$207)</f>
        <v/>
      </c>
      <c r="D38" s="34">
        <f>SUMIF(Artikelstamm!$G$3:$G$207,$A38,Artikelstamm!$U$3:$U$207)</f>
        <v/>
      </c>
    </row>
    <row r="39">
      <c r="A39" s="26" t="inlineStr">
        <is>
          <t>Designmöbel</t>
        </is>
      </c>
      <c r="B39" s="33">
        <f>COUNTIF(Artikelstamm!$G$3:$G$207,$A39)</f>
        <v/>
      </c>
      <c r="C39" s="34">
        <f>SUMPRODUCT((Artikelstamm!$G$3:$G$207=$A39)*Artikelstamm!$K$3:$K$207*Artikelstamm!$AD$3:$AD$207)</f>
        <v/>
      </c>
      <c r="D39" s="34">
        <f>SUMIF(Artikelstamm!$G$3:$G$207,$A39,Artikelstamm!$U$3:$U$207)</f>
        <v/>
      </c>
    </row>
    <row r="40">
      <c r="A40" s="26" t="inlineStr">
        <is>
          <t>Garten</t>
        </is>
      </c>
      <c r="B40" s="33">
        <f>COUNTIF(Artikelstamm!$G$3:$G$207,$A40)</f>
        <v/>
      </c>
      <c r="C40" s="34">
        <f>SUMPRODUCT((Artikelstamm!$G$3:$G$207=$A40)*Artikelstamm!$K$3:$K$207*Artikelstamm!$AD$3:$AD$207)</f>
        <v/>
      </c>
      <c r="D40" s="34">
        <f>SUMIF(Artikelstamm!$G$3:$G$207,$A40,Artikelstamm!$U$3:$U$207)</f>
        <v/>
      </c>
    </row>
    <row r="41">
      <c r="A41" s="26" t="inlineStr">
        <is>
          <t>Kita-Ausstattung</t>
        </is>
      </c>
      <c r="B41" s="33">
        <f>COUNTIF(Artikelstamm!$G$3:$G$207,$A41)</f>
        <v/>
      </c>
      <c r="C41" s="34">
        <f>SUMPRODUCT((Artikelstamm!$G$3:$G$207=$A41)*Artikelstamm!$K$3:$K$207*Artikelstamm!$AD$3:$AD$207)</f>
        <v/>
      </c>
      <c r="D41" s="34">
        <f>SUMIF(Artikelstamm!$G$3:$G$207,$A41,Artikelstamm!$U$3:$U$207)</f>
        <v/>
      </c>
    </row>
    <row r="42">
      <c r="A42" s="26" t="inlineStr">
        <is>
          <t>Kunst</t>
        </is>
      </c>
      <c r="B42" s="33">
        <f>COUNTIF(Artikelstamm!$G$3:$G$207,$A42)</f>
        <v/>
      </c>
      <c r="C42" s="34">
        <f>SUMPRODUCT((Artikelstamm!$G$3:$G$207=$A42)*Artikelstamm!$K$3:$K$207*Artikelstamm!$AD$3:$AD$207)</f>
        <v/>
      </c>
      <c r="D42" s="34">
        <f>SUMIF(Artikelstamm!$G$3:$G$207,$A42,Artikelstamm!$U$3:$U$207)</f>
        <v/>
      </c>
    </row>
    <row r="43">
      <c r="A43" s="26" t="inlineStr">
        <is>
          <t>Leuchten</t>
        </is>
      </c>
      <c r="B43" s="33">
        <f>COUNTIF(Artikelstamm!$G$3:$G$207,$A43)</f>
        <v/>
      </c>
      <c r="C43" s="34">
        <f>SUMPRODUCT((Artikelstamm!$G$3:$G$207=$A43)*Artikelstamm!$K$3:$K$207*Artikelstamm!$AD$3:$AD$207)</f>
        <v/>
      </c>
      <c r="D43" s="34">
        <f>SUMIF(Artikelstamm!$G$3:$G$207,$A43,Artikelstamm!$U$3:$U$207)</f>
        <v/>
      </c>
    </row>
    <row r="44">
      <c r="A44" s="26" t="inlineStr">
        <is>
          <t>Möbel</t>
        </is>
      </c>
      <c r="B44" s="33">
        <f>COUNTIF(Artikelstamm!$G$3:$G$207,$A44)</f>
        <v/>
      </c>
      <c r="C44" s="34">
        <f>SUMPRODUCT((Artikelstamm!$G$3:$G$207=$A44)*Artikelstamm!$K$3:$K$207*Artikelstamm!$AD$3:$AD$207)</f>
        <v/>
      </c>
      <c r="D44" s="34">
        <f>SUMIF(Artikelstamm!$G$3:$G$207,$A44,Artikelstamm!$U$3:$U$207)</f>
        <v/>
      </c>
    </row>
    <row r="45">
      <c r="A45" s="26" t="inlineStr">
        <is>
          <t>Pflanzen</t>
        </is>
      </c>
      <c r="B45" s="33">
        <f>COUNTIF(Artikelstamm!$G$3:$G$207,$A45)</f>
        <v/>
      </c>
      <c r="C45" s="34">
        <f>SUMPRODUCT((Artikelstamm!$G$3:$G$207=$A45)*Artikelstamm!$K$3:$K$207*Artikelstamm!$AD$3:$AD$207)</f>
        <v/>
      </c>
      <c r="D45" s="34">
        <f>SUMIF(Artikelstamm!$G$3:$G$207,$A45,Artikelstamm!$U$3:$U$207)</f>
        <v/>
      </c>
    </row>
    <row r="46">
      <c r="A46" s="26" t="inlineStr">
        <is>
          <t>Sonstiges</t>
        </is>
      </c>
      <c r="B46" s="33">
        <f>COUNTIF(Artikelstamm!$G$3:$G$207,$A46)</f>
        <v/>
      </c>
      <c r="C46" s="34">
        <f>SUMPRODUCT((Artikelstamm!$G$3:$G$207=$A46)*Artikelstamm!$K$3:$K$207*Artikelstamm!$AD$3:$AD$207)</f>
        <v/>
      </c>
      <c r="D46" s="34">
        <f>SUMIF(Artikelstamm!$G$3:$G$207,$A46,Artikelstamm!$U$3:$U$207)</f>
        <v/>
      </c>
    </row>
    <row r="47">
      <c r="A47" s="26" t="inlineStr">
        <is>
          <t>Technik</t>
        </is>
      </c>
      <c r="B47" s="33">
        <f>COUNTIF(Artikelstamm!$G$3:$G$207,$A47)</f>
        <v/>
      </c>
      <c r="C47" s="34">
        <f>SUMPRODUCT((Artikelstamm!$G$3:$G$207=$A47)*Artikelstamm!$K$3:$K$207*Artikelstamm!$AD$3:$AD$207)</f>
        <v/>
      </c>
      <c r="D47" s="34">
        <f>SUMIF(Artikelstamm!$G$3:$G$207,$A47,Artikelstamm!$U$3:$U$207)</f>
        <v/>
      </c>
    </row>
    <row r="48">
      <c r="A48" s="26" t="inlineStr">
        <is>
          <t>Textilien</t>
        </is>
      </c>
      <c r="B48" s="33">
        <f>COUNTIF(Artikelstamm!$G$3:$G$207,$A48)</f>
        <v/>
      </c>
      <c r="C48" s="34">
        <f>SUMPRODUCT((Artikelstamm!$G$3:$G$207=$A48)*Artikelstamm!$K$3:$K$207*Artikelstamm!$AD$3:$AD$207)</f>
        <v/>
      </c>
      <c r="D48" s="34">
        <f>SUMIF(Artikelstamm!$G$3:$G$207,$A48,Artikelstamm!$U$3:$U$207)</f>
        <v/>
      </c>
    </row>
    <row r="49">
      <c r="A49" s="26" t="inlineStr">
        <is>
          <t>Uhren</t>
        </is>
      </c>
      <c r="B49" s="33">
        <f>COUNTIF(Artikelstamm!$G$3:$G$207,$A49)</f>
        <v/>
      </c>
      <c r="C49" s="34">
        <f>SUMPRODUCT((Artikelstamm!$G$3:$G$207=$A49)*Artikelstamm!$K$3:$K$207*Artikelstamm!$AD$3:$AD$207)</f>
        <v/>
      </c>
      <c r="D49" s="34">
        <f>SUMIF(Artikelstamm!$G$3:$G$207,$A49,Artikelstamm!$U$3:$U$207)</f>
        <v/>
      </c>
    </row>
    <row r="50">
      <c r="A50" s="26" t="inlineStr">
        <is>
          <t>Verbrauchsmaterial</t>
        </is>
      </c>
      <c r="B50" s="33">
        <f>COUNTIF(Artikelstamm!$G$3:$G$207,$A50)</f>
        <v/>
      </c>
      <c r="C50" s="34">
        <f>SUMPRODUCT((Artikelstamm!$G$3:$G$207=$A50)*Artikelstamm!$K$3:$K$207*Artikelstamm!$AD$3:$AD$207)</f>
        <v/>
      </c>
      <c r="D50" s="34">
        <f>SUMIF(Artikelstamm!$G$3:$G$207,$A50,Artikelstamm!$U$3:$U$207)</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COUNTIF(Artikelstamm!$H$3:$H$207,$A55)</f>
        <v/>
      </c>
      <c r="C55" s="34">
        <f>SUMPRODUCT((Artikelstamm!$H$3:$H$207=$A55)*Artikelstamm!$K$3:$K$207*Artikelstamm!$AD$3:$AD$207)</f>
        <v/>
      </c>
      <c r="D55" s="34">
        <f>SUMIF(Artikelstamm!$H$3:$H$207,$A55,Artikelstamm!$U$3:$U$207)</f>
        <v/>
      </c>
    </row>
    <row r="56">
      <c r="A56" s="26" t="inlineStr">
        <is>
          <t>Büro</t>
        </is>
      </c>
      <c r="B56" s="33">
        <f>COUNTIF(Artikelstamm!$H$3:$H$207,$A56)</f>
        <v/>
      </c>
      <c r="C56" s="34">
        <f>SUMPRODUCT((Artikelstamm!$H$3:$H$207=$A56)*Artikelstamm!$K$3:$K$207*Artikelstamm!$AD$3:$AD$207)</f>
        <v/>
      </c>
      <c r="D56" s="34">
        <f>SUMIF(Artikelstamm!$H$3:$H$207,$A56,Artikelstamm!$U$3:$U$207)</f>
        <v/>
      </c>
    </row>
    <row r="57">
      <c r="A57" s="26" t="inlineStr">
        <is>
          <t>Büro / Besprechung</t>
        </is>
      </c>
      <c r="B57" s="33">
        <f>COUNTIF(Artikelstamm!$H$3:$H$207,$A57)</f>
        <v/>
      </c>
      <c r="C57" s="34">
        <f>SUMPRODUCT((Artikelstamm!$H$3:$H$207=$A57)*Artikelstamm!$K$3:$K$207*Artikelstamm!$AD$3:$AD$207)</f>
        <v/>
      </c>
      <c r="D57" s="34">
        <f>SUMIF(Artikelstamm!$H$3:$H$207,$A57,Artikelstamm!$U$3:$U$207)</f>
        <v/>
      </c>
    </row>
    <row r="58">
      <c r="A58" s="26" t="inlineStr">
        <is>
          <t>Dachterrasse</t>
        </is>
      </c>
      <c r="B58" s="33">
        <f>COUNTIF(Artikelstamm!$H$3:$H$207,$A58)</f>
        <v/>
      </c>
      <c r="C58" s="34">
        <f>SUMPRODUCT((Artikelstamm!$H$3:$H$207=$A58)*Artikelstamm!$K$3:$K$207*Artikelstamm!$AD$3:$AD$207)</f>
        <v/>
      </c>
      <c r="D58" s="34">
        <f>SUMIF(Artikelstamm!$H$3:$H$207,$A58,Artikelstamm!$U$3:$U$207)</f>
        <v/>
      </c>
    </row>
    <row r="59">
      <c r="A59" s="26" t="inlineStr">
        <is>
          <t>Flur</t>
        </is>
      </c>
      <c r="B59" s="33">
        <f>COUNTIF(Artikelstamm!$H$3:$H$207,$A59)</f>
        <v/>
      </c>
      <c r="C59" s="34">
        <f>SUMPRODUCT((Artikelstamm!$H$3:$H$207=$A59)*Artikelstamm!$K$3:$K$207*Artikelstamm!$AD$3:$AD$207)</f>
        <v/>
      </c>
      <c r="D59" s="34">
        <f>SUMIF(Artikelstamm!$H$3:$H$207,$A59,Artikelstamm!$U$3:$U$207)</f>
        <v/>
      </c>
    </row>
    <row r="60">
      <c r="A60" s="26" t="inlineStr">
        <is>
          <t>Flur 1</t>
        </is>
      </c>
      <c r="B60" s="33">
        <f>COUNTIF(Artikelstamm!$H$3:$H$207,$A60)</f>
        <v/>
      </c>
      <c r="C60" s="34">
        <f>SUMPRODUCT((Artikelstamm!$H$3:$H$207=$A60)*Artikelstamm!$K$3:$K$207*Artikelstamm!$AD$3:$AD$207)</f>
        <v/>
      </c>
      <c r="D60" s="34">
        <f>SUMIF(Artikelstamm!$H$3:$H$207,$A60,Artikelstamm!$U$3:$U$207)</f>
        <v/>
      </c>
    </row>
    <row r="61">
      <c r="A61" s="26" t="inlineStr">
        <is>
          <t>Gartenanlage</t>
        </is>
      </c>
      <c r="B61" s="33">
        <f>COUNTIF(Artikelstamm!$H$3:$H$207,$A61)</f>
        <v/>
      </c>
      <c r="C61" s="34">
        <f>SUMPRODUCT((Artikelstamm!$H$3:$H$207=$A61)*Artikelstamm!$K$3:$K$207*Artikelstamm!$AD$3:$AD$207)</f>
        <v/>
      </c>
      <c r="D61" s="34">
        <f>SUMIF(Artikelstamm!$H$3:$H$207,$A61,Artikelstamm!$U$3:$U$207)</f>
        <v/>
      </c>
    </row>
    <row r="62">
      <c r="A62" s="26" t="inlineStr">
        <is>
          <t>Gruppenraum</t>
        </is>
      </c>
      <c r="B62" s="33">
        <f>COUNTIF(Artikelstamm!$H$3:$H$207,$A62)</f>
        <v/>
      </c>
      <c r="C62" s="34">
        <f>SUMPRODUCT((Artikelstamm!$H$3:$H$207=$A62)*Artikelstamm!$K$3:$K$207*Artikelstamm!$AD$3:$AD$207)</f>
        <v/>
      </c>
      <c r="D62" s="34">
        <f>SUMIF(Artikelstamm!$H$3:$H$207,$A62,Artikelstamm!$U$3:$U$207)</f>
        <v/>
      </c>
    </row>
    <row r="63">
      <c r="A63" s="26" t="inlineStr">
        <is>
          <t>Gruppenraum 2</t>
        </is>
      </c>
      <c r="B63" s="33">
        <f>COUNTIF(Artikelstamm!$H$3:$H$207,$A63)</f>
        <v/>
      </c>
      <c r="C63" s="34">
        <f>SUMPRODUCT((Artikelstamm!$H$3:$H$207=$A63)*Artikelstamm!$K$3:$K$207*Artikelstamm!$AD$3:$AD$207)</f>
        <v/>
      </c>
      <c r="D63" s="34">
        <f>SUMIF(Artikelstamm!$H$3:$H$207,$A63,Artikelstamm!$U$3:$U$207)</f>
        <v/>
      </c>
    </row>
    <row r="64">
      <c r="A64" s="26" t="inlineStr">
        <is>
          <t>Gruppenraum 4</t>
        </is>
      </c>
      <c r="B64" s="33">
        <f>COUNTIF(Artikelstamm!$H$3:$H$207,$A64)</f>
        <v/>
      </c>
      <c r="C64" s="34">
        <f>SUMPRODUCT((Artikelstamm!$H$3:$H$207=$A64)*Artikelstamm!$K$3:$K$207*Artikelstamm!$AD$3:$AD$207)</f>
        <v/>
      </c>
      <c r="D64" s="34">
        <f>SUMIF(Artikelstamm!$H$3:$H$207,$A64,Artikelstamm!$U$3:$U$207)</f>
        <v/>
      </c>
    </row>
    <row r="65">
      <c r="A65" s="26" t="inlineStr">
        <is>
          <t>Gruppenraum 5</t>
        </is>
      </c>
      <c r="B65" s="33">
        <f>COUNTIF(Artikelstamm!$H$3:$H$207,$A65)</f>
        <v/>
      </c>
      <c r="C65" s="34">
        <f>SUMPRODUCT((Artikelstamm!$H$3:$H$207=$A65)*Artikelstamm!$K$3:$K$207*Artikelstamm!$AD$3:$AD$207)</f>
        <v/>
      </c>
      <c r="D65" s="34">
        <f>SUMIF(Artikelstamm!$H$3:$H$207,$A65,Artikelstamm!$U$3:$U$207)</f>
        <v/>
      </c>
    </row>
    <row r="66">
      <c r="A66" s="26" t="inlineStr">
        <is>
          <t>Personal</t>
        </is>
      </c>
      <c r="B66" s="33">
        <f>COUNTIF(Artikelstamm!$H$3:$H$207,$A66)</f>
        <v/>
      </c>
      <c r="C66" s="34">
        <f>SUMPRODUCT((Artikelstamm!$H$3:$H$207=$A66)*Artikelstamm!$K$3:$K$207*Artikelstamm!$AD$3:$AD$207)</f>
        <v/>
      </c>
      <c r="D66" s="34">
        <f>SUMIF(Artikelstamm!$H$3:$H$207,$A66,Artikelstamm!$U$3:$U$207)</f>
        <v/>
      </c>
    </row>
    <row r="67">
      <c r="A67" s="26" t="inlineStr">
        <is>
          <t>Ruhe- / Schlafraum</t>
        </is>
      </c>
      <c r="B67" s="33">
        <f>COUNTIF(Artikelstamm!$H$3:$H$207,$A67)</f>
        <v/>
      </c>
      <c r="C67" s="34">
        <f>SUMPRODUCT((Artikelstamm!$H$3:$H$207=$A67)*Artikelstamm!$K$3:$K$207*Artikelstamm!$AD$3:$AD$207)</f>
        <v/>
      </c>
      <c r="D67" s="34">
        <f>SUMIF(Artikelstamm!$H$3:$H$207,$A67,Artikelstamm!$U$3:$U$207)</f>
        <v/>
      </c>
    </row>
    <row r="68">
      <c r="A68" s="26" t="inlineStr">
        <is>
          <t>Schlafraum 4</t>
        </is>
      </c>
      <c r="B68" s="33">
        <f>COUNTIF(Artikelstamm!$H$3:$H$207,$A68)</f>
        <v/>
      </c>
      <c r="C68" s="34">
        <f>SUMPRODUCT((Artikelstamm!$H$3:$H$207=$A68)*Artikelstamm!$K$3:$K$207*Artikelstamm!$AD$3:$AD$207)</f>
        <v/>
      </c>
      <c r="D68" s="34">
        <f>SUMIF(Artikelstamm!$H$3:$H$207,$A68,Artikelstamm!$U$3:$U$207)</f>
        <v/>
      </c>
    </row>
    <row r="69">
      <c r="A69" s="26" t="inlineStr">
        <is>
          <t>Schlafraum 5</t>
        </is>
      </c>
      <c r="B69" s="33">
        <f>COUNTIF(Artikelstamm!$H$3:$H$207,$A69)</f>
        <v/>
      </c>
      <c r="C69" s="34">
        <f>SUMPRODUCT((Artikelstamm!$H$3:$H$207=$A69)*Artikelstamm!$K$3:$K$207*Artikelstamm!$AD$3:$AD$207)</f>
        <v/>
      </c>
      <c r="D69" s="34">
        <f>SUMIF(Artikelstamm!$H$3:$H$207,$A69,Artikelstamm!$U$3:$U$207)</f>
        <v/>
      </c>
    </row>
    <row r="70">
      <c r="A70" s="26" t="inlineStr">
        <is>
          <t>Speisesaal</t>
        </is>
      </c>
      <c r="B70" s="33">
        <f>COUNTIF(Artikelstamm!$H$3:$H$207,$A70)</f>
        <v/>
      </c>
      <c r="C70" s="34">
        <f>SUMPRODUCT((Artikelstamm!$H$3:$H$207=$A70)*Artikelstamm!$K$3:$K$207*Artikelstamm!$AD$3:$AD$207)</f>
        <v/>
      </c>
      <c r="D70" s="34">
        <f>SUMIF(Artikelstamm!$H$3:$H$207,$A70,Artikelstamm!$U$3:$U$207)</f>
        <v/>
      </c>
    </row>
    <row r="71">
      <c r="A71" s="26" t="inlineStr">
        <is>
          <t>Terrasse</t>
        </is>
      </c>
      <c r="B71" s="33">
        <f>COUNTIF(Artikelstamm!$H$3:$H$207,$A71)</f>
        <v/>
      </c>
      <c r="C71" s="34">
        <f>SUMPRODUCT((Artikelstamm!$H$3:$H$207=$A71)*Artikelstamm!$K$3:$K$207*Artikelstamm!$AD$3:$AD$207)</f>
        <v/>
      </c>
      <c r="D71" s="34">
        <f>SUMIF(Artikelstamm!$H$3:$H$207,$A71,Artikelstamm!$U$3:$U$207)</f>
        <v/>
      </c>
    </row>
    <row r="72">
      <c r="A72" s="26" t="inlineStr">
        <is>
          <t>Treppenraum 1</t>
        </is>
      </c>
      <c r="B72" s="33">
        <f>COUNTIF(Artikelstamm!$H$3:$H$207,$A72)</f>
        <v/>
      </c>
      <c r="C72" s="34">
        <f>SUMPRODUCT((Artikelstamm!$H$3:$H$207=$A72)*Artikelstamm!$K$3:$K$207*Artikelstamm!$AD$3:$AD$207)</f>
        <v/>
      </c>
      <c r="D72" s="34">
        <f>SUMIF(Artikelstamm!$H$3:$H$207,$A72,Artikelstamm!$U$3:$U$207)</f>
        <v/>
      </c>
    </row>
    <row r="73">
      <c r="A73" s="26" t="inlineStr">
        <is>
          <t>WC Personal</t>
        </is>
      </c>
      <c r="B73" s="33">
        <f>COUNTIF(Artikelstamm!$H$3:$H$207,$A73)</f>
        <v/>
      </c>
      <c r="C73" s="34">
        <f>SUMPRODUCT((Artikelstamm!$H$3:$H$207=$A73)*Artikelstamm!$K$3:$K$207*Artikelstamm!$AD$3:$AD$207)</f>
        <v/>
      </c>
      <c r="D73" s="34">
        <f>SUMIF(Artikelstamm!$H$3:$H$207,$A73,Artikelstamm!$U$3:$U$207)</f>
        <v/>
      </c>
    </row>
    <row r="74">
      <c r="A74" s="26" t="inlineStr">
        <is>
          <t>Werkraum</t>
        </is>
      </c>
      <c r="B74" s="33">
        <f>COUNTIF(Artikelstamm!$H$3:$H$207,$A74)</f>
        <v/>
      </c>
      <c r="C74" s="34">
        <f>SUMPRODUCT((Artikelstamm!$H$3:$H$207=$A74)*Artikelstamm!$K$3:$K$207*Artikelstamm!$AD$3:$AD$207)</f>
        <v/>
      </c>
      <c r="D74" s="34">
        <f>SUMIF(Artikelstamm!$H$3:$H$207,$A74,Artikelstamm!$U$3:$U$207)</f>
        <v/>
      </c>
    </row>
    <row r="75">
      <c r="A75" s="28" t="inlineStr">
        <is>
          <t>Summe</t>
        </is>
      </c>
      <c r="B75" s="35">
        <f>SUM(B55:B74)</f>
        <v/>
      </c>
      <c r="C75" s="36">
        <f>SUM(C55:C74)</f>
        <v/>
      </c>
      <c r="D75" s="36">
        <f>SUM(D55:D74)</f>
        <v/>
      </c>
    </row>
    <row r="77">
      <c r="A77" s="25" t="inlineStr">
        <is>
          <t>Nach Verkaufskanal</t>
        </is>
      </c>
    </row>
    <row r="78">
      <c r="A78" s="32" t="inlineStr">
        <is>
          <t>Verkaufskanal</t>
        </is>
      </c>
      <c r="B78" s="32" t="inlineStr">
        <is>
          <t>Positionen</t>
        </is>
      </c>
      <c r="C78" s="32" t="inlineStr">
        <is>
          <t>Umsatz netto</t>
        </is>
      </c>
    </row>
    <row r="79">
      <c r="A79" s="26" t="inlineStr">
        <is>
          <t>Klinik</t>
        </is>
      </c>
      <c r="B79" s="33">
        <f>COUNTIF(Artikelstamm!$AB$3:$AB$207,$A79)</f>
        <v/>
      </c>
      <c r="C79" s="34">
        <f>SUMPRODUCT((Artikelstamm!$AB$3:$AB$207=$A79)*Artikelstamm!$K$3:$K$207*Artikelstamm!$AD$3:$AD$207)</f>
        <v/>
      </c>
    </row>
    <row r="80">
      <c r="A80" s="26" t="inlineStr">
        <is>
          <t>Kleinanzeigen</t>
        </is>
      </c>
      <c r="B80" s="33">
        <f>COUNTIF(Artikelstamm!$AB$3:$AB$207,$A80)</f>
        <v/>
      </c>
      <c r="C80" s="34">
        <f>SUMPRODUCT((Artikelstamm!$AB$3:$AB$207=$A80)*Artikelstamm!$K$3:$K$207*Artikelstamm!$AD$3:$AD$207)</f>
        <v/>
      </c>
    </row>
    <row r="81">
      <c r="A81" s="26" t="inlineStr">
        <is>
          <t>eBay</t>
        </is>
      </c>
      <c r="B81" s="33">
        <f>COUNTIF(Artikelstamm!$AB$3:$AB$207,$A81)</f>
        <v/>
      </c>
      <c r="C81" s="34">
        <f>SUMPRODUCT((Artikelstamm!$AB$3:$AB$207=$A81)*Artikelstamm!$K$3:$K$207*Artikelstamm!$AD$3:$AD$207)</f>
        <v/>
      </c>
    </row>
    <row r="82">
      <c r="A82" s="26" t="inlineStr">
        <is>
          <t>Direkt</t>
        </is>
      </c>
      <c r="B82" s="33">
        <f>COUNTIF(Artikelstamm!$AB$3:$AB$207,$A82)</f>
        <v/>
      </c>
      <c r="C82" s="34">
        <f>SUMPRODUCT((Artikelstamm!$AB$3:$AB$207=$A82)*Artikelstamm!$K$3:$K$207*Artikelstamm!$AD$3:$AD$207)</f>
        <v/>
      </c>
    </row>
    <row r="83">
      <c r="A83" s="26" t="inlineStr">
        <is>
          <t>Händler</t>
        </is>
      </c>
      <c r="B83" s="33">
        <f>COUNTIF(Artikelstamm!$AB$3:$AB$207,$A83)</f>
        <v/>
      </c>
      <c r="C83" s="34">
        <f>SUMPRODUCT((Artikelstamm!$AB$3:$AB$207=$A83)*Artikelstamm!$K$3:$K$207*Artikelstamm!$AD$3:$AD$207)</f>
        <v/>
      </c>
    </row>
    <row r="84">
      <c r="A84" s="26" t="inlineStr">
        <is>
          <t>Verkaufstag</t>
        </is>
      </c>
      <c r="B84" s="33">
        <f>COUNTIF(Artikelstamm!$AB$3:$AB$207,$A84)</f>
        <v/>
      </c>
      <c r="C84" s="34">
        <f>SUMPRODUCT((Artikelstamm!$AB$3:$AB$207=$A84)*Artikelstamm!$K$3:$K$207*Artikelstamm!$AD$3:$AD$207)</f>
        <v/>
      </c>
    </row>
    <row r="85">
      <c r="A85" s="28" t="inlineStr">
        <is>
          <t>Summe</t>
        </is>
      </c>
      <c r="B85" s="35">
        <f>SUM(B79:B84)</f>
        <v/>
      </c>
      <c r="C85" s="36">
        <f>SUM(C79:C84)</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2026-09-22T12:52:33Z</dcterms:created>
  <dcterms:modified xmlns:dcterms="http://purl.org/dc/terms/" xmlns:xsi="http://www.w3.org/2001/XMLSchema-instance" xsi:type="dcterms:W3CDTF">2026-09-22T12:52:34Z</dcterms:modified>
</cp:coreProperties>
</file>