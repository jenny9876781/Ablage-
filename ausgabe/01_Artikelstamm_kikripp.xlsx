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Artikelstamm" sheetId="2" state="visible" r:id="rId2"/>
    <sheet xmlns:r="http://schemas.openxmlformats.org/officeDocument/2006/relationships" name="Verkaufsübersicht" sheetId="3" state="visible" r:id="rId3"/>
    <sheet xmlns:r="http://schemas.openxmlformats.org/officeDocument/2006/relationships" name="Rechnungen (DATEV)" sheetId="4" state="visible" r:id="rId4"/>
    <sheet xmlns:r="http://schemas.openxmlformats.org/officeDocument/2006/relationships" name="Kasse" sheetId="5" state="visible" r:id="rId5"/>
    <sheet xmlns:r="http://schemas.openxmlformats.org/officeDocument/2006/relationships" name="Design" sheetId="6" state="visible" r:id="rId6"/>
  </sheets>
  <definedNames>
    <definedName name="_xlnm._FilterDatabase" localSheetId="1" hidden="1">'Artikelstamm'!$A$2:$AN$394</definedName>
  </definedNames>
  <calcPr calcId="124519" fullCalcOnLoad="1"/>
</workbook>
</file>

<file path=xl/styles.xml><?xml version="1.0" encoding="utf-8"?>
<styleSheet xmlns="http://schemas.openxmlformats.org/spreadsheetml/2006/main">
  <numFmts count="1">
    <numFmt numFmtId="164" formatCode="#,##0.00 &quot;€&quot;"/>
  </numFmts>
  <fonts count="18">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color rgb="001A1A1A"/>
      <sz val="13"/>
    </font>
    <font>
      <name val="Arial"/>
      <i val="1"/>
      <color rgb="00808080"/>
      <sz val="9"/>
    </font>
    <font>
      <name val="Arial"/>
      <b val="1"/>
      <color rgb="001A1A1A"/>
      <sz val="12"/>
    </font>
    <font>
      <name val="Arial"/>
      <b val="1"/>
      <sz val="10"/>
    </font>
    <font>
      <name val="Arial"/>
      <b val="1"/>
      <color rgb="001A1A1A"/>
      <sz val="14"/>
    </font>
    <font>
      <name val="Arial"/>
      <i val="1"/>
      <color rgb="001A1A1A"/>
      <sz val="9"/>
    </font>
    <font>
      <name val="Arial"/>
      <b val="1"/>
      <sz val="11"/>
    </font>
    <font>
      <name val="Arial"/>
      <b val="1"/>
      <color rgb="00FFFFFF"/>
      <sz val="14"/>
    </font>
    <font>
      <name val="Arial"/>
      <color rgb="006B7280"/>
      <sz val="9"/>
    </font>
  </fonts>
  <fills count="14">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60">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pivotButton="0" quotePrefix="0" xfId="0">
      <alignment horizontal="center" vertical="center"/>
    </xf>
    <xf numFmtId="0" fontId="7" fillId="4" borderId="0" applyAlignment="1" pivotButton="0" quotePrefix="0" xfId="0">
      <alignment horizontal="center" vertical="center"/>
    </xf>
    <xf numFmtId="0" fontId="7" fillId="5" borderId="0" applyAlignment="1" pivotButton="0" quotePrefix="0" xfId="0">
      <alignment horizontal="center" vertical="center"/>
    </xf>
    <xf numFmtId="0" fontId="7" fillId="6" borderId="0" applyAlignment="1" pivotButton="0" quotePrefix="0" xfId="0">
      <alignment horizontal="center" vertical="center"/>
    </xf>
    <xf numFmtId="0" fontId="7" fillId="7" borderId="0" applyAlignment="1" pivotButton="0" quotePrefix="0" xfId="0">
      <alignment horizontal="center" vertical="center"/>
    </xf>
    <xf numFmtId="0" fontId="8" fillId="2" borderId="1" applyAlignment="1" pivotButton="0" quotePrefix="0" xfId="0">
      <alignment horizontal="center" vertical="center" wrapText="1"/>
    </xf>
    <xf numFmtId="0" fontId="8" fillId="8" borderId="1" applyAlignment="1" pivotButton="0" quotePrefix="0" xfId="0">
      <alignment horizontal="center" vertical="center" wrapText="1"/>
    </xf>
    <xf numFmtId="0" fontId="4" fillId="0" borderId="1" applyAlignment="1" pivotButton="0" quotePrefix="0" xfId="0">
      <alignment vertical="top"/>
    </xf>
    <xf numFmtId="0" fontId="4" fillId="0" borderId="1" applyAlignment="1" pivotButton="0" quotePrefix="0" xfId="0">
      <alignment vertical="top" wrapText="1"/>
    </xf>
    <xf numFmtId="1" fontId="4" fillId="9" borderId="1" applyAlignment="1" pivotButton="0" quotePrefix="0" xfId="0">
      <alignment vertical="top"/>
    </xf>
    <xf numFmtId="1" fontId="4" fillId="0" borderId="1" applyAlignment="1" pivotButton="0" quotePrefix="0" xfId="0">
      <alignment vertical="top"/>
    </xf>
    <xf numFmtId="0" fontId="4" fillId="9" borderId="1" applyAlignment="1" pivotButton="0" quotePrefix="0" xfId="0">
      <alignment vertical="top"/>
    </xf>
    <xf numFmtId="164" fontId="4" fillId="9" borderId="1" applyAlignment="1" pivotButton="0" quotePrefix="0" xfId="0">
      <alignment vertical="top"/>
    </xf>
    <xf numFmtId="164" fontId="4" fillId="0" borderId="1" applyAlignment="1" pivotButton="0" quotePrefix="0" xfId="0">
      <alignment vertical="top"/>
    </xf>
    <xf numFmtId="0" fontId="4" fillId="9" borderId="1" applyAlignment="1" pivotButton="0" quotePrefix="0" xfId="0">
      <alignment vertical="top" wrapText="1"/>
    </xf>
    <xf numFmtId="0" fontId="9" fillId="0" borderId="0" pivotButton="0" quotePrefix="0" xfId="0"/>
    <xf numFmtId="0" fontId="10" fillId="0" borderId="0" pivotButton="0" quotePrefix="0" xfId="0"/>
    <xf numFmtId="0" fontId="11" fillId="0" borderId="0" pivotButton="0" quotePrefix="0" xfId="0"/>
    <xf numFmtId="0" fontId="4" fillId="0" borderId="0" pivotButton="0" quotePrefix="0" xfId="0"/>
    <xf numFmtId="1" fontId="4" fillId="0" borderId="0" applyAlignment="1" pivotButton="0" quotePrefix="0" xfId="0">
      <alignment horizontal="right"/>
    </xf>
    <xf numFmtId="0" fontId="12" fillId="0" borderId="0" pivotButton="0" quotePrefix="0" xfId="0"/>
    <xf numFmtId="164" fontId="12" fillId="3" borderId="0" applyAlignment="1" pivotButton="0" quotePrefix="0" xfId="0">
      <alignment horizontal="right"/>
    </xf>
    <xf numFmtId="164" fontId="4" fillId="0" borderId="0" applyAlignment="1" pivotButton="0" quotePrefix="0" xfId="0">
      <alignment horizontal="right"/>
    </xf>
    <xf numFmtId="1" fontId="12"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12" fillId="3" borderId="0" pivotButton="0" quotePrefix="0" xfId="0"/>
    <xf numFmtId="164" fontId="12"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0" fontId="4" fillId="0" borderId="1" pivotButton="0" quotePrefix="0" xfId="0"/>
    <xf numFmtId="0" fontId="4" fillId="9" borderId="1" pivotButton="0" quotePrefix="0" xfId="0"/>
    <xf numFmtId="164" fontId="4" fillId="9" borderId="1" pivotButton="0" quotePrefix="0" xfId="0"/>
    <xf numFmtId="164" fontId="4" fillId="0" borderId="1" pivotButton="0" quotePrefix="0" xfId="0"/>
    <xf numFmtId="0" fontId="15" fillId="0" borderId="0" pivotButton="0" quotePrefix="0" xfId="0"/>
    <xf numFmtId="164" fontId="15" fillId="3" borderId="1" pivotButton="0" quotePrefix="0" xfId="0"/>
    <xf numFmtId="164" fontId="0" fillId="0" borderId="0" pivotButton="0" quotePrefix="0" xfId="0"/>
    <xf numFmtId="0" fontId="16"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12" fillId="0" borderId="1" pivotButton="0" quotePrefix="0" xfId="0"/>
    <xf numFmtId="0" fontId="17" fillId="0" borderId="1" pivotButton="0" quotePrefix="0" xfId="0"/>
    <xf numFmtId="0" fontId="17" fillId="5" borderId="1" pivotButton="0" quotePrefix="0" xfId="0"/>
    <xf numFmtId="0" fontId="17" fillId="2" borderId="1" pivotButton="0" quotePrefix="0" xfId="0"/>
    <xf numFmtId="0" fontId="17" fillId="3" borderId="1" pivotButton="0" quotePrefix="0" xfId="0"/>
    <xf numFmtId="0" fontId="17" fillId="10" borderId="1" pivotButton="0" quotePrefix="0" xfId="0"/>
    <xf numFmtId="0" fontId="17" fillId="11" borderId="1" pivotButton="0" quotePrefix="0" xfId="0"/>
    <xf numFmtId="0" fontId="17" fillId="12" borderId="1" pivotButton="0" quotePrefix="0" xfId="0"/>
    <xf numFmtId="0" fontId="17" fillId="9" borderId="1" pivotButton="0" quotePrefix="0" xfId="0"/>
    <xf numFmtId="0" fontId="17" fillId="13" borderId="1" pivotButton="0" quotePrefix="0" xfId="0"/>
  </cellXfs>
  <cellStyles count="1">
    <cellStyle name="Normal" xfId="0" builtinId="0" hidden="0"/>
  </cellStyles>
  <dxfs count="5">
    <dxf>
      <fill>
        <patternFill patternType="solid">
          <bgColor rgb="00E4E4E4"/>
        </patternFill>
      </fill>
    </dxf>
    <dxf>
      <fill>
        <patternFill patternType="solid">
          <bgColor rgb="00DCDCDC"/>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0</colOff>
      <row>0</row>
      <rowOff>0</rowOff>
    </from>
    <ext cx="8096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vier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Rechnungen (DATEV)</t>
        </is>
      </c>
      <c r="B7" s="5" t="inlineStr">
        <is>
          <t>Abtippliste: je Zeile eine Rechnung, in der Reihenfolge der DATEV-Erfassungsmaske. Ausdrucken und abarbeiten.</t>
        </is>
      </c>
    </row>
    <row r="8" ht="30" customHeight="1">
      <c r="A8" s="6" t="inlineStr">
        <is>
          <t xml:space="preserve">  Kasse</t>
        </is>
      </c>
      <c r="B8" s="5" t="inlineStr">
        <is>
          <t>Barverkäufe je Tag für das Kassenbuch. Pflicht bei einer GmbH (GoBD).</t>
        </is>
      </c>
    </row>
    <row r="9" ht="12" customHeight="1">
      <c r="A9" s="7" t="inlineStr"/>
      <c r="B9" s="5" t="inlineStr"/>
    </row>
    <row r="10" ht="12" customHeight="1">
      <c r="A10" s="4" t="inlineStr">
        <is>
          <t>Die wichtigsten Regeln</t>
        </is>
      </c>
      <c r="B10" s="5" t="inlineStr"/>
    </row>
    <row r="11" ht="30" customHeight="1">
      <c r="A11" s="6" t="inlineStr">
        <is>
          <t xml:space="preserve">  Ein Artikel verkauft</t>
        </is>
      </c>
      <c r="B11" s="5" t="inlineStr">
        <is>
          <t>Status auf „verkauft“, Verkaufspreis, Verkaufte Menge, Käufer und Datum eintragen. Der Rest rechnet sich.</t>
        </is>
      </c>
    </row>
    <row r="12" ht="30" customHeight="1">
      <c r="A12" s="6" t="inlineStr">
        <is>
          <t xml:space="preserve">  Reservierung</t>
        </is>
      </c>
      <c r="B12" s="5" t="inlineStr">
        <is>
          <t>Status auf „reserviert“, Name und Abholtermin eintragen. Ohne Abholtermin keine Reservierung – sonst blockiert die Ware.</t>
        </is>
      </c>
    </row>
    <row r="13" ht="30" customHeight="1">
      <c r="A13" s="6" t="inlineStr">
        <is>
          <t xml:space="preserve">  Restmenge</t>
        </is>
      </c>
      <c r="B13" s="5" t="inlineStr">
        <is>
          <t>Rechnet sich aus Menge minus verkaufter Menge. Nicht überschreiben.</t>
        </is>
      </c>
    </row>
    <row r="14" ht="30" customHeight="1">
      <c r="A14" s="6" t="inlineStr">
        <is>
          <t xml:space="preserve">  Preise</t>
        </is>
      </c>
      <c r="B14" s="5" t="inlineStr">
        <is>
          <t>Immer netto pro Einheit. Firmen bekommen Nettopreise, Privatpersonen müssen den Bruttopreis sehen (Preisangabenverordnung).</t>
        </is>
      </c>
    </row>
    <row r="15" ht="30" customHeight="1">
      <c r="A15" s="6" t="inlineStr">
        <is>
          <t xml:space="preserve">  Wertklasse</t>
        </is>
      </c>
      <c r="B15" s="5" t="inlineStr">
        <is>
          <t>A = Wertträger, einzeln vermarkten · B = Einzelposition im Katalog · C = Kleinteil, geht in den Verkaufstag.</t>
        </is>
      </c>
    </row>
    <row r="16" ht="30" customHeight="1">
      <c r="A16" s="6" t="inlineStr">
        <is>
          <t xml:space="preserve">  Barzahlung</t>
        </is>
      </c>
      <c r="B16" s="5" t="inlineStr">
        <is>
          <t>Immer zusätzlich im Blatt „Kasse“ erfassen. Die Rechnung mit dem Vermerk „bar erhalten“ allein genügt bei einer GmbH nicht.</t>
        </is>
      </c>
    </row>
    <row r="17" ht="30" customHeight="1">
      <c r="A17" s="6" t="inlineStr">
        <is>
          <t xml:space="preserve">  Anlagennummer</t>
        </is>
      </c>
      <c r="B17" s="5" t="inlineStr">
        <is>
          <t>Wenn bekannt eintragen – der Steuerberater braucht sie für den Anlagenabgang.</t>
        </is>
      </c>
    </row>
    <row r="18" ht="12" customHeight="1">
      <c r="A18" s="7" t="inlineStr"/>
      <c r="B18" s="5" t="inlineStr"/>
    </row>
    <row r="19" ht="30" customHeight="1">
      <c r="A19" s="4" t="inlineStr">
        <is>
          <t>Hinweise zu den Preisen</t>
        </is>
      </c>
      <c r="B19" s="5" t="inlineStr">
        <is>
          <t>Alle Preise in dieser Datei sind Schätzwerte auf Basis der Fotos. Maße, Marken und Stückzahlen fehlen teilweise – die gelb markierten Spalten „Maße“ und „Preis_netto“ sind zur Überarbeitung gedacht.</t>
        </is>
      </c>
    </row>
    <row r="20" ht="30" customHeight="1">
      <c r="A20" s="4" t="inlineStr">
        <is>
          <t>Designmöbel</t>
        </is>
      </c>
      <c r="B20" s="5" t="inlineStr">
        <is>
          <t>Vitra Alcove und USM Haller sind als solche vermerkt. Für beide gibt es einen eigenen Gebrauchtmarkt mit Fachhändlern – dort sind höhere Preise erzielbar als im Sammelangebot.</t>
        </is>
      </c>
    </row>
    <row r="21" ht="30" customHeight="1">
      <c r="A21" s="4" t="inlineStr">
        <is>
          <t>Kunst</t>
        </is>
      </c>
      <c r="B21" s="5" t="inlineStr">
        <is>
          <t>Die Acrylbilder sind Eigenarbeiten einer Privatperson, die Schwarzwald-Trachtenmotive sind Kaufware. Beides ist in der Beschreibung vermerkt.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N394"/>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4" customWidth="1" min="3" max="3"/>
    <col width="10" customWidth="1" min="4" max="4"/>
    <col width="34" customWidth="1" min="5" max="5"/>
    <col width="54" customWidth="1" min="6" max="6"/>
    <col width="18" customWidth="1" min="7" max="7"/>
    <col width="20" customWidth="1" min="8" max="8"/>
    <col width="10" customWidth="1" min="9" max="9"/>
    <col width="8" customWidth="1" min="10" max="10"/>
    <col width="13" customWidth="1" min="11" max="11"/>
    <col width="10" customWidth="1" min="12" max="12"/>
    <col width="10" customWidth="1" min="13" max="13"/>
    <col width="14" customWidth="1" min="14" max="14"/>
    <col width="22" customWidth="1" min="15" max="15"/>
    <col width="9" customWidth="1" min="16" max="16"/>
    <col width="12" customWidth="1" min="17" max="17"/>
    <col width="17" customWidth="1" min="18" max="18"/>
    <col width="13" customWidth="1" min="19" max="19"/>
    <col width="11" customWidth="1" min="20" max="20"/>
    <col width="17" customWidth="1" min="21" max="21"/>
    <col width="16" customWidth="1" min="22" max="22"/>
    <col width="9" customWidth="1" min="23" max="23"/>
    <col width="12" customWidth="1" min="24" max="24"/>
    <col width="18" customWidth="1" min="25" max="25"/>
    <col width="12" customWidth="1" min="26" max="26"/>
    <col width="14" customWidth="1" min="27" max="27"/>
    <col width="14" customWidth="1" min="28" max="28"/>
    <col width="14" customWidth="1" min="29" max="29"/>
    <col width="22" customWidth="1" min="30" max="30"/>
    <col width="17" customWidth="1" min="31" max="31"/>
    <col width="14" customWidth="1" min="32" max="32"/>
    <col width="14" customWidth="1" min="33" max="33"/>
    <col width="24" customWidth="1" min="34" max="34"/>
    <col width="14" customWidth="1" min="35" max="35"/>
    <col width="11" customWidth="1" min="36" max="36"/>
    <col width="13" customWidth="1" min="37" max="37"/>
    <col width="13" customWidth="1" min="38" max="38"/>
    <col width="40" customWidth="1" min="39" max="39"/>
    <col width="32" customWidth="1" min="40" max="40"/>
  </cols>
  <sheetData>
    <row r="1" ht="16" customHeight="1">
      <c r="A1" s="8" t="inlineStr">
        <is>
          <t>STAMMDATEN</t>
        </is>
      </c>
      <c r="Q1" s="9" t="inlineStr">
        <is>
          <t>BUCHHALTUNG</t>
        </is>
      </c>
      <c r="S1" s="10" t="inlineStr">
        <is>
          <t>PREIS</t>
        </is>
      </c>
      <c r="V1" s="11" t="inlineStr">
        <is>
          <t>VERMARKTUNG</t>
        </is>
      </c>
      <c r="AE1" s="10" t="inlineStr">
        <is>
          <t>VERKAUF</t>
        </is>
      </c>
      <c r="AI1" s="9" t="inlineStr">
        <is>
          <t>KAUFMÄNNISCH</t>
        </is>
      </c>
      <c r="AM1" s="12" t="inlineStr">
        <is>
          <t>NOTIZEN</t>
        </is>
      </c>
    </row>
    <row r="2" ht="32" customHeight="1">
      <c r="A2" s="13" t="inlineStr">
        <is>
          <t>ArtNr</t>
        </is>
      </c>
      <c r="B2" s="13" t="inlineStr">
        <is>
          <t>Alt_ArtNr</t>
        </is>
      </c>
      <c r="C2" s="13" t="inlineStr">
        <is>
          <t>Weitere_ArtNr</t>
        </is>
      </c>
      <c r="D2" s="13" t="inlineStr">
        <is>
          <t>Raumcode</t>
        </is>
      </c>
      <c r="E2" s="13" t="inlineStr">
        <is>
          <t>Bezeichnung</t>
        </is>
      </c>
      <c r="F2" s="13" t="inlineStr">
        <is>
          <t>Beschreibung</t>
        </is>
      </c>
      <c r="G2" s="13" t="inlineStr">
        <is>
          <t>Kategorie</t>
        </is>
      </c>
      <c r="H2" s="13" t="inlineStr">
        <is>
          <t>Raum</t>
        </is>
      </c>
      <c r="I2" s="13" t="inlineStr">
        <is>
          <t>Wertklasse</t>
        </is>
      </c>
      <c r="J2" s="14" t="inlineStr">
        <is>
          <t>Menge</t>
        </is>
      </c>
      <c r="K2" s="14" t="inlineStr">
        <is>
          <t>Verkauft_Menge</t>
        </is>
      </c>
      <c r="L2" s="13" t="inlineStr">
        <is>
          <t>Restmenge</t>
        </is>
      </c>
      <c r="M2" s="13" t="inlineStr">
        <is>
          <t>Einheit</t>
        </is>
      </c>
      <c r="N2" s="13" t="inlineStr">
        <is>
          <t>Zustand</t>
        </is>
      </c>
      <c r="O2" s="14" t="inlineStr">
        <is>
          <t>Maße</t>
        </is>
      </c>
      <c r="P2" s="14" t="inlineStr">
        <is>
          <t>Aktiv</t>
        </is>
      </c>
      <c r="Q2" s="14" t="inlineStr">
        <is>
          <t>Anlagennr</t>
        </is>
      </c>
      <c r="R2" s="14" t="inlineStr">
        <is>
          <t>Anschaffungswert_netto</t>
        </is>
      </c>
      <c r="S2" s="14" t="inlineStr">
        <is>
          <t>Preis_netto</t>
        </is>
      </c>
      <c r="T2" s="14" t="inlineStr">
        <is>
          <t>Preisbasis</t>
        </is>
      </c>
      <c r="U2" s="13" t="inlineStr">
        <is>
          <t>Positionswert_netto</t>
        </is>
      </c>
      <c r="V2" s="13" t="inlineStr">
        <is>
          <t>Versand</t>
        </is>
      </c>
      <c r="W2" s="13" t="inlineStr">
        <is>
          <t>Foto</t>
        </is>
      </c>
      <c r="X2" s="14" t="inlineStr">
        <is>
          <t>Im_Katalog</t>
        </is>
      </c>
      <c r="Y2" s="14" t="inlineStr">
        <is>
          <t>Klinik_Markierung</t>
        </is>
      </c>
      <c r="Z2" s="14" t="inlineStr">
        <is>
          <t>Status</t>
        </is>
      </c>
      <c r="AA2" s="14" t="inlineStr">
        <is>
          <t>Marke</t>
        </is>
      </c>
      <c r="AB2" s="14" t="inlineStr">
        <is>
          <t>Bündel</t>
        </is>
      </c>
      <c r="AC2" s="14" t="inlineStr">
        <is>
          <t>Kanal</t>
        </is>
      </c>
      <c r="AD2" s="14" t="inlineStr">
        <is>
          <t>Reserviert_für</t>
        </is>
      </c>
      <c r="AE2" s="14" t="inlineStr">
        <is>
          <t>Verkaufspreis_netto</t>
        </is>
      </c>
      <c r="AF2" s="13" t="inlineStr">
        <is>
          <t>Umsatz_netto</t>
        </is>
      </c>
      <c r="AG2" s="14" t="inlineStr">
        <is>
          <t>Verkaufsdatum</t>
        </is>
      </c>
      <c r="AH2" s="14" t="inlineStr">
        <is>
          <t>Käufer</t>
        </is>
      </c>
      <c r="AI2" s="14" t="inlineStr">
        <is>
          <t>Rechnungsnr</t>
        </is>
      </c>
      <c r="AJ2" s="14" t="inlineStr">
        <is>
          <t>Zahlung</t>
        </is>
      </c>
      <c r="AK2" s="14" t="inlineStr">
        <is>
          <t>Zahlart</t>
        </is>
      </c>
      <c r="AL2" s="14" t="inlineStr">
        <is>
          <t>Abholtermin</t>
        </is>
      </c>
      <c r="AM2" s="13" t="inlineStr">
        <is>
          <t>Mengenhinweis</t>
        </is>
      </c>
      <c r="AN2" s="14" t="inlineStr">
        <is>
          <t>Bemerkung</t>
        </is>
      </c>
    </row>
    <row r="3" ht="30" customHeight="1">
      <c r="A3" s="15" t="inlineStr">
        <is>
          <t>BA04-01</t>
        </is>
      </c>
      <c r="B3" s="15" t="inlineStr">
        <is>
          <t>K-096</t>
        </is>
      </c>
      <c r="C3" s="15" t="n"/>
      <c r="D3" s="15" t="inlineStr">
        <is>
          <t>BA04</t>
        </is>
      </c>
      <c r="E3" s="15" t="inlineStr">
        <is>
          <t>Rattankörbe 8 Stück</t>
        </is>
      </c>
      <c r="F3" s="16" t="inlineStr">
        <is>
          <t>Rattankörbe 8 Stück</t>
        </is>
      </c>
      <c r="G3" s="15" t="inlineStr">
        <is>
          <t>Deko</t>
        </is>
      </c>
      <c r="H3" s="15" t="inlineStr">
        <is>
          <t>Gruppenraum 4</t>
        </is>
      </c>
      <c r="I3" s="15" t="inlineStr">
        <is>
          <t>C</t>
        </is>
      </c>
      <c r="J3" s="17" t="n">
        <v>1</v>
      </c>
      <c r="K3" s="17" t="n"/>
      <c r="L3" s="18">
        <f>J3-IF(K3="",0,K3)</f>
        <v/>
      </c>
      <c r="M3" s="15" t="inlineStr">
        <is>
          <t>Set</t>
        </is>
      </c>
      <c r="N3" s="15" t="inlineStr">
        <is>
          <t>stark gebraucht</t>
        </is>
      </c>
      <c r="O3" s="19" t="n"/>
      <c r="P3" s="19" t="inlineStr">
        <is>
          <t>ja</t>
        </is>
      </c>
      <c r="Q3" s="19" t="n"/>
      <c r="R3" s="20" t="n"/>
      <c r="S3" s="20" t="n">
        <v>10</v>
      </c>
      <c r="T3" s="19" t="inlineStr">
        <is>
          <t>VHB</t>
        </is>
      </c>
      <c r="U3" s="21">
        <f>L3*S3</f>
        <v/>
      </c>
      <c r="V3" s="15" t="inlineStr">
        <is>
          <t>nur Abholung</t>
        </is>
      </c>
      <c r="W3" s="15" t="inlineStr">
        <is>
          <t>F-062</t>
        </is>
      </c>
      <c r="X3" s="19" t="inlineStr">
        <is>
          <t>ja</t>
        </is>
      </c>
      <c r="Y3" s="19" t="n"/>
      <c r="Z3" s="19" t="inlineStr">
        <is>
          <t>verfügbar</t>
        </is>
      </c>
      <c r="AA3" s="19" t="n"/>
      <c r="AB3" s="19" t="n"/>
      <c r="AC3" s="19" t="n"/>
      <c r="AD3" s="19" t="n"/>
      <c r="AE3" s="20" t="n"/>
      <c r="AF3" s="21">
        <f>IF(K3="","",K3*AE3)</f>
        <v/>
      </c>
      <c r="AG3" s="19" t="n"/>
      <c r="AH3" s="19" t="n"/>
      <c r="AI3" s="19" t="n"/>
      <c r="AJ3" s="19" t="n"/>
      <c r="AK3" s="19" t="n"/>
      <c r="AL3" s="19" t="n"/>
      <c r="AM3" s="16" t="inlineStr">
        <is>
          <t>1 Regal mit 6 Körben im Bild</t>
        </is>
      </c>
      <c r="AN3" s="22" t="n"/>
    </row>
    <row r="4" ht="30" customHeight="1">
      <c r="A4" s="15" t="inlineStr">
        <is>
          <t>BA04-02</t>
        </is>
      </c>
      <c r="B4" s="15" t="inlineStr">
        <is>
          <t>K-097</t>
        </is>
      </c>
      <c r="C4" s="15" t="n"/>
      <c r="D4" s="15" t="inlineStr">
        <is>
          <t>BA04</t>
        </is>
      </c>
      <c r="E4" s="15" t="inlineStr">
        <is>
          <t>Holzkiste Obstkistenoptik</t>
        </is>
      </c>
      <c r="F4" s="16" t="inlineStr">
        <is>
          <t>Alte Holzkiste, unbehandelt, als Aufbewahrung</t>
        </is>
      </c>
      <c r="G4" s="15" t="inlineStr">
        <is>
          <t>Deko</t>
        </is>
      </c>
      <c r="H4" s="15" t="inlineStr">
        <is>
          <t>Gruppenraum 4</t>
        </is>
      </c>
      <c r="I4" s="15" t="inlineStr">
        <is>
          <t>C</t>
        </is>
      </c>
      <c r="J4" s="17" t="n">
        <v>4</v>
      </c>
      <c r="K4" s="17" t="n"/>
      <c r="L4" s="18">
        <f>J4-IF(K4="",0,K4)</f>
        <v/>
      </c>
      <c r="M4" s="15" t="inlineStr">
        <is>
          <t>Stück</t>
        </is>
      </c>
      <c r="N4" s="15" t="inlineStr">
        <is>
          <t>gebraucht</t>
        </is>
      </c>
      <c r="O4" s="19" t="n"/>
      <c r="P4" s="19" t="inlineStr">
        <is>
          <t>ja</t>
        </is>
      </c>
      <c r="Q4" s="19" t="n"/>
      <c r="R4" s="20" t="n"/>
      <c r="S4" s="20" t="n">
        <v>15</v>
      </c>
      <c r="T4" s="19" t="inlineStr">
        <is>
          <t>VHB</t>
        </is>
      </c>
      <c r="U4" s="21">
        <f>L4*S4</f>
        <v/>
      </c>
      <c r="V4" s="15" t="inlineStr">
        <is>
          <t>Versand möglich</t>
        </is>
      </c>
      <c r="W4" s="15" t="inlineStr">
        <is>
          <t>F-063</t>
        </is>
      </c>
      <c r="X4" s="19" t="inlineStr">
        <is>
          <t>ja</t>
        </is>
      </c>
      <c r="Y4" s="19" t="n"/>
      <c r="Z4" s="19" t="inlineStr">
        <is>
          <t>verfügbar</t>
        </is>
      </c>
      <c r="AA4" s="19" t="n"/>
      <c r="AB4" s="19" t="n"/>
      <c r="AC4" s="19" t="n"/>
      <c r="AD4" s="19" t="n"/>
      <c r="AE4" s="20" t="n"/>
      <c r="AF4" s="21">
        <f>IF(K4="","",K4*AE4)</f>
        <v/>
      </c>
      <c r="AG4" s="19" t="n"/>
      <c r="AH4" s="19" t="n"/>
      <c r="AI4" s="19" t="n"/>
      <c r="AJ4" s="19" t="n"/>
      <c r="AK4" s="19" t="n"/>
      <c r="AL4" s="19" t="n"/>
      <c r="AM4" s="16" t="inlineStr">
        <is>
          <t>4 Kisten – abgebildet ist eine davon.</t>
        </is>
      </c>
      <c r="AN4" s="22" t="n"/>
    </row>
    <row r="5" ht="30" customHeight="1">
      <c r="A5" s="15" t="inlineStr">
        <is>
          <t>BA08-01</t>
        </is>
      </c>
      <c r="B5" s="15" t="inlineStr">
        <is>
          <t>K-099</t>
        </is>
      </c>
      <c r="C5" s="15" t="n"/>
      <c r="D5" s="15" t="inlineStr">
        <is>
          <t>BA08</t>
        </is>
      </c>
      <c r="E5" s="15" t="inlineStr">
        <is>
          <t>Konvolut Mal- und Bastelfarben</t>
        </is>
      </c>
      <c r="F5" s="16" t="inlineStr">
        <is>
          <t>Finger-, Plakat-, Gouache-, Acryl- und Textilfarben sowie Bastelkleber, teils angebrochen</t>
        </is>
      </c>
      <c r="G5" s="15" t="inlineStr">
        <is>
          <t>Verbrauchsmaterial</t>
        </is>
      </c>
      <c r="H5" s="15" t="inlineStr">
        <is>
          <t>Atelier</t>
        </is>
      </c>
      <c r="I5" s="15" t="inlineStr">
        <is>
          <t>C</t>
        </is>
      </c>
      <c r="J5" s="17" t="n">
        <v>1</v>
      </c>
      <c r="K5" s="17" t="n"/>
      <c r="L5" s="18">
        <f>J5-IF(K5="",0,K5)</f>
        <v/>
      </c>
      <c r="M5" s="15" t="inlineStr">
        <is>
          <t>Konvolut</t>
        </is>
      </c>
      <c r="N5" s="15" t="inlineStr">
        <is>
          <t>gebraucht</t>
        </is>
      </c>
      <c r="O5" s="19" t="n"/>
      <c r="P5" s="19" t="inlineStr">
        <is>
          <t>ja</t>
        </is>
      </c>
      <c r="Q5" s="19" t="n"/>
      <c r="R5" s="20" t="n"/>
      <c r="S5" s="20" t="n">
        <v>350</v>
      </c>
      <c r="T5" s="19" t="inlineStr">
        <is>
          <t>VHB</t>
        </is>
      </c>
      <c r="U5" s="21">
        <f>L5*S5</f>
        <v/>
      </c>
      <c r="V5" s="15" t="inlineStr">
        <is>
          <t>nur Abholung</t>
        </is>
      </c>
      <c r="W5" s="15" t="inlineStr">
        <is>
          <t>F-065</t>
        </is>
      </c>
      <c r="X5" s="19" t="inlineStr">
        <is>
          <t>ja</t>
        </is>
      </c>
      <c r="Y5" s="19" t="inlineStr">
        <is>
          <t>ja</t>
        </is>
      </c>
      <c r="Z5" s="19" t="inlineStr">
        <is>
          <t>verfügbar</t>
        </is>
      </c>
      <c r="AA5" s="19" t="n"/>
      <c r="AB5" s="19" t="n"/>
      <c r="AC5" s="19" t="n"/>
      <c r="AD5" s="19" t="n"/>
      <c r="AE5" s="20" t="n"/>
      <c r="AF5" s="21">
        <f>IF(K5="","",K5*AE5)</f>
        <v/>
      </c>
      <c r="AG5" s="19" t="n"/>
      <c r="AH5" s="19" t="n"/>
      <c r="AI5" s="19" t="n"/>
      <c r="AJ5" s="19" t="n"/>
      <c r="AK5" s="19" t="n"/>
      <c r="AL5" s="19" t="n"/>
      <c r="AM5" s="16" t="inlineStr">
        <is>
          <t>mehrere Schrankfächer - Menge bitte vor Ort festlegen</t>
        </is>
      </c>
      <c r="AN5" s="22" t="n"/>
    </row>
    <row r="6" ht="30" customHeight="1">
      <c r="A6" s="15" t="inlineStr">
        <is>
          <t>BA08-02</t>
        </is>
      </c>
      <c r="B6" s="15" t="inlineStr">
        <is>
          <t>K-100</t>
        </is>
      </c>
      <c r="C6" s="15" t="n"/>
      <c r="D6" s="15" t="inlineStr">
        <is>
          <t>BA08</t>
        </is>
      </c>
      <c r="E6" s="15" t="inlineStr">
        <is>
          <t>Acrylfarben-Sortiment im Holzkasten</t>
        </is>
      </c>
      <c r="F6" s="16" t="inlineStr">
        <is>
          <t>Sortierkasten mit Acrylfarben in Tuben und Töpfchen</t>
        </is>
      </c>
      <c r="G6" s="15" t="inlineStr">
        <is>
          <t>Verbrauchsmaterial</t>
        </is>
      </c>
      <c r="H6" s="15" t="inlineStr">
        <is>
          <t>Atelier</t>
        </is>
      </c>
      <c r="I6" s="15" t="inlineStr">
        <is>
          <t>C</t>
        </is>
      </c>
      <c r="J6" s="17" t="n">
        <v>1</v>
      </c>
      <c r="K6" s="17" t="n"/>
      <c r="L6" s="18">
        <f>J6-IF(K6="",0,K6)</f>
        <v/>
      </c>
      <c r="M6" s="15" t="inlineStr">
        <is>
          <t>Konvolut</t>
        </is>
      </c>
      <c r="N6" s="15" t="inlineStr">
        <is>
          <t>gut</t>
        </is>
      </c>
      <c r="O6" s="19" t="n"/>
      <c r="P6" s="19" t="inlineStr">
        <is>
          <t>ja</t>
        </is>
      </c>
      <c r="Q6" s="19" t="n"/>
      <c r="R6" s="20" t="n"/>
      <c r="S6" s="20" t="n">
        <v>60</v>
      </c>
      <c r="T6" s="19" t="inlineStr">
        <is>
          <t>VHB</t>
        </is>
      </c>
      <c r="U6" s="21">
        <f>L6*S6</f>
        <v/>
      </c>
      <c r="V6" s="15" t="inlineStr">
        <is>
          <t>Versand möglich</t>
        </is>
      </c>
      <c r="W6" s="15" t="inlineStr">
        <is>
          <t>F-069</t>
        </is>
      </c>
      <c r="X6" s="19" t="inlineStr">
        <is>
          <t>ja</t>
        </is>
      </c>
      <c r="Y6" s="19" t="n"/>
      <c r="Z6" s="19" t="inlineStr">
        <is>
          <t>verfügbar</t>
        </is>
      </c>
      <c r="AA6" s="19" t="n"/>
      <c r="AB6" s="19" t="n"/>
      <c r="AC6" s="19" t="n"/>
      <c r="AD6" s="19" t="n"/>
      <c r="AE6" s="20" t="n"/>
      <c r="AF6" s="21">
        <f>IF(K6="","",K6*AE6)</f>
        <v/>
      </c>
      <c r="AG6" s="19" t="n"/>
      <c r="AH6" s="19" t="n"/>
      <c r="AI6" s="19" t="n"/>
      <c r="AJ6" s="19" t="n"/>
      <c r="AK6" s="19" t="n"/>
      <c r="AL6" s="19" t="n"/>
      <c r="AM6" s="16" t="inlineStr">
        <is>
          <t>1 Sortierkasten im Bild</t>
        </is>
      </c>
      <c r="AN6" s="22" t="n"/>
    </row>
    <row r="7" ht="30" customHeight="1">
      <c r="A7" s="15" t="inlineStr">
        <is>
          <t>BA08-03</t>
        </is>
      </c>
      <c r="B7" s="15" t="inlineStr">
        <is>
          <t>K-101</t>
        </is>
      </c>
      <c r="C7" s="15" t="n"/>
      <c r="D7" s="15" t="inlineStr">
        <is>
          <t>BA08</t>
        </is>
      </c>
      <c r="E7" s="15" t="inlineStr">
        <is>
          <t>Konvolut Bastelmaterial</t>
        </is>
      </c>
      <c r="F7" s="16" t="inlineStr">
        <is>
          <t>Perlen, Bänder, Glitzer, Holzperlen, Bügelperlen, Schnüre</t>
        </is>
      </c>
      <c r="G7" s="15" t="inlineStr">
        <is>
          <t>Verbrauchsmaterial</t>
        </is>
      </c>
      <c r="H7" s="15" t="inlineStr">
        <is>
          <t>Atelier</t>
        </is>
      </c>
      <c r="I7" s="15" t="inlineStr">
        <is>
          <t>C</t>
        </is>
      </c>
      <c r="J7" s="17" t="n">
        <v>1</v>
      </c>
      <c r="K7" s="17" t="n"/>
      <c r="L7" s="18">
        <f>J7-IF(K7="",0,K7)</f>
        <v/>
      </c>
      <c r="M7" s="15" t="inlineStr">
        <is>
          <t>Konvolut</t>
        </is>
      </c>
      <c r="N7" s="15" t="inlineStr">
        <is>
          <t>gebraucht</t>
        </is>
      </c>
      <c r="O7" s="19" t="n"/>
      <c r="P7" s="19" t="inlineStr">
        <is>
          <t>ja</t>
        </is>
      </c>
      <c r="Q7" s="19" t="n"/>
      <c r="R7" s="20" t="n"/>
      <c r="S7" s="20" t="n">
        <v>50</v>
      </c>
      <c r="T7" s="19" t="inlineStr">
        <is>
          <t>VHB</t>
        </is>
      </c>
      <c r="U7" s="21">
        <f>L7*S7</f>
        <v/>
      </c>
      <c r="V7" s="15" t="inlineStr">
        <is>
          <t>nur Abholung</t>
        </is>
      </c>
      <c r="W7" s="15" t="inlineStr">
        <is>
          <t>F-070</t>
        </is>
      </c>
      <c r="X7" s="19" t="inlineStr">
        <is>
          <t>ja</t>
        </is>
      </c>
      <c r="Y7" s="19" t="n"/>
      <c r="Z7" s="19" t="inlineStr">
        <is>
          <t>verfügbar</t>
        </is>
      </c>
      <c r="AA7" s="19" t="n"/>
      <c r="AB7" s="19" t="n"/>
      <c r="AC7" s="19" t="n"/>
      <c r="AD7" s="19" t="n"/>
      <c r="AE7" s="20" t="n"/>
      <c r="AF7" s="21">
        <f>IF(K7="","",K7*AE7)</f>
        <v/>
      </c>
      <c r="AG7" s="19" t="n"/>
      <c r="AH7" s="19" t="n"/>
      <c r="AI7" s="19" t="n"/>
      <c r="AJ7" s="19" t="n"/>
      <c r="AK7" s="19" t="n"/>
      <c r="AL7" s="19" t="n"/>
      <c r="AM7" s="16" t="inlineStr">
        <is>
          <t>2 Regalböden im Bild</t>
        </is>
      </c>
      <c r="AN7" s="22" t="n"/>
    </row>
    <row r="8" ht="30" customHeight="1">
      <c r="A8" s="15" t="inlineStr">
        <is>
          <t>BA08-04</t>
        </is>
      </c>
      <c r="B8" s="15" t="inlineStr">
        <is>
          <t>K-102</t>
        </is>
      </c>
      <c r="C8" s="15" t="n"/>
      <c r="D8" s="15" t="inlineStr">
        <is>
          <t>BA08</t>
        </is>
      </c>
      <c r="E8" s="15" t="inlineStr">
        <is>
          <t>buntes Papier</t>
        </is>
      </c>
      <c r="F8" s="16" t="inlineStr">
        <is>
          <t>Konvolut Buntes Papier</t>
        </is>
      </c>
      <c r="G8" s="15" t="inlineStr">
        <is>
          <t>Verbrauchsmaterial</t>
        </is>
      </c>
      <c r="H8" s="15" t="inlineStr">
        <is>
          <t>Atelier</t>
        </is>
      </c>
      <c r="I8" s="15" t="inlineStr">
        <is>
          <t>B</t>
        </is>
      </c>
      <c r="J8" s="17" t="n">
        <v>1</v>
      </c>
      <c r="K8" s="17" t="n"/>
      <c r="L8" s="18">
        <f>J8-IF(K8="",0,K8)</f>
        <v/>
      </c>
      <c r="M8" s="15" t="inlineStr">
        <is>
          <t>Konvolut</t>
        </is>
      </c>
      <c r="N8" s="15" t="inlineStr">
        <is>
          <t>gut</t>
        </is>
      </c>
      <c r="O8" s="19" t="n"/>
      <c r="P8" s="19" t="inlineStr">
        <is>
          <t>ja</t>
        </is>
      </c>
      <c r="Q8" s="19" t="n"/>
      <c r="R8" s="20" t="n"/>
      <c r="S8" s="20" t="n">
        <v>50</v>
      </c>
      <c r="T8" s="19" t="inlineStr">
        <is>
          <t>VHB</t>
        </is>
      </c>
      <c r="U8" s="21">
        <f>L8*S8</f>
        <v/>
      </c>
      <c r="V8" s="15" t="inlineStr">
        <is>
          <t>nur Abholung</t>
        </is>
      </c>
      <c r="W8" s="15" t="inlineStr">
        <is>
          <t>F-071</t>
        </is>
      </c>
      <c r="X8" s="19" t="inlineStr">
        <is>
          <t>ja</t>
        </is>
      </c>
      <c r="Y8" s="19" t="n"/>
      <c r="Z8" s="19" t="inlineStr">
        <is>
          <t>verfügbar</t>
        </is>
      </c>
      <c r="AA8" s="19" t="n"/>
      <c r="AB8" s="19" t="n"/>
      <c r="AC8" s="19" t="n"/>
      <c r="AD8" s="19" t="n"/>
      <c r="AE8" s="20" t="n"/>
      <c r="AF8" s="21">
        <f>IF(K8="","",K8*AE8)</f>
        <v/>
      </c>
      <c r="AG8" s="19" t="n"/>
      <c r="AH8" s="19" t="n"/>
      <c r="AI8" s="19" t="n"/>
      <c r="AJ8" s="19" t="n"/>
      <c r="AK8" s="19" t="n"/>
      <c r="AL8" s="19" t="n"/>
      <c r="AM8" s="16" t="inlineStr">
        <is>
          <t>1 Schrank inkl. Restbestand Papier</t>
        </is>
      </c>
      <c r="AN8" s="22" t="n"/>
    </row>
    <row r="9" ht="30" customHeight="1">
      <c r="A9" s="15" t="inlineStr">
        <is>
          <t>BA09-01</t>
        </is>
      </c>
      <c r="B9" s="15" t="inlineStr">
        <is>
          <t>K-079</t>
        </is>
      </c>
      <c r="C9" s="15" t="n"/>
      <c r="D9" s="15" t="inlineStr">
        <is>
          <t>BA09</t>
        </is>
      </c>
      <c r="E9" s="15" t="inlineStr">
        <is>
          <t>Deko Metallruten mit Pompons</t>
        </is>
      </c>
      <c r="F9" s="16" t="inlineStr">
        <is>
          <t>Metallruten mit roten Wollbommeln in Birkenstammfuß</t>
        </is>
      </c>
      <c r="G9" s="15" t="inlineStr">
        <is>
          <t>Deko</t>
        </is>
      </c>
      <c r="H9" s="15" t="inlineStr">
        <is>
          <t>Personal</t>
        </is>
      </c>
      <c r="I9" s="15" t="inlineStr">
        <is>
          <t>C</t>
        </is>
      </c>
      <c r="J9" s="17" t="n">
        <v>2</v>
      </c>
      <c r="K9" s="17" t="n"/>
      <c r="L9" s="18">
        <f>J9-IF(K9="",0,K9)</f>
        <v/>
      </c>
      <c r="M9" s="15" t="inlineStr">
        <is>
          <t>Stück</t>
        </is>
      </c>
      <c r="N9" s="15" t="inlineStr">
        <is>
          <t>gut</t>
        </is>
      </c>
      <c r="O9" s="19" t="n"/>
      <c r="P9" s="19" t="inlineStr">
        <is>
          <t>ja</t>
        </is>
      </c>
      <c r="Q9" s="19" t="n"/>
      <c r="R9" s="20" t="n"/>
      <c r="S9" s="20" t="n">
        <v>19</v>
      </c>
      <c r="T9" s="19" t="inlineStr">
        <is>
          <t>VHB</t>
        </is>
      </c>
      <c r="U9" s="21">
        <f>L9*S9</f>
        <v/>
      </c>
      <c r="V9" s="15" t="inlineStr">
        <is>
          <t>nur Abholung</t>
        </is>
      </c>
      <c r="W9" s="15" t="inlineStr">
        <is>
          <t>F-044</t>
        </is>
      </c>
      <c r="X9" s="19" t="inlineStr">
        <is>
          <t>ja</t>
        </is>
      </c>
      <c r="Y9" s="19" t="n"/>
      <c r="Z9" s="19" t="inlineStr">
        <is>
          <t>verfügbar</t>
        </is>
      </c>
      <c r="AA9" s="19" t="n"/>
      <c r="AB9" s="19" t="n"/>
      <c r="AC9" s="19" t="n"/>
      <c r="AD9" s="19" t="n"/>
      <c r="AE9" s="20" t="n"/>
      <c r="AF9" s="21">
        <f>IF(K9="","",K9*AE9)</f>
        <v/>
      </c>
      <c r="AG9" s="19" t="n"/>
      <c r="AH9" s="19" t="n"/>
      <c r="AI9" s="19" t="n"/>
      <c r="AJ9" s="19" t="n"/>
      <c r="AK9" s="19" t="n"/>
      <c r="AL9" s="19" t="n"/>
      <c r="AM9" s="16" t="inlineStr">
        <is>
          <t>2 Stück im Bild</t>
        </is>
      </c>
      <c r="AN9" s="22" t="n"/>
    </row>
    <row r="10" ht="30" customHeight="1">
      <c r="A10" s="15" t="inlineStr">
        <is>
          <t>BA09-02</t>
        </is>
      </c>
      <c r="B10" s="15" t="inlineStr">
        <is>
          <t>K-080</t>
        </is>
      </c>
      <c r="C10" s="15" t="n"/>
      <c r="D10" s="15" t="inlineStr">
        <is>
          <t>BA09</t>
        </is>
      </c>
      <c r="E10" s="15" t="inlineStr">
        <is>
          <t>Elefantenfuß groß</t>
        </is>
      </c>
      <c r="F10" s="16" t="inlineStr">
        <is>
          <t>Beaucarnea, große Zimmerpflanze im Topf und kleine Zimmerpflanze im Topf</t>
        </is>
      </c>
      <c r="G10" s="15" t="inlineStr">
        <is>
          <t>Pflanzen</t>
        </is>
      </c>
      <c r="H10" s="15" t="inlineStr">
        <is>
          <t>Personal</t>
        </is>
      </c>
      <c r="I10" s="15" t="inlineStr">
        <is>
          <t>C</t>
        </is>
      </c>
      <c r="J10" s="17" t="n">
        <v>1</v>
      </c>
      <c r="K10" s="17" t="n"/>
      <c r="L10" s="18">
        <f>J10-IF(K10="",0,K10)</f>
        <v/>
      </c>
      <c r="M10" s="15" t="inlineStr">
        <is>
          <t>Set</t>
        </is>
      </c>
      <c r="N10" s="15" t="inlineStr">
        <is>
          <t>gut</t>
        </is>
      </c>
      <c r="O10" s="19" t="n"/>
      <c r="P10" s="19" t="inlineStr">
        <is>
          <t>ja</t>
        </is>
      </c>
      <c r="Q10" s="19" t="n"/>
      <c r="R10" s="20" t="n"/>
      <c r="S10" s="20" t="n">
        <v>90</v>
      </c>
      <c r="T10" s="19" t="inlineStr">
        <is>
          <t>VHB</t>
        </is>
      </c>
      <c r="U10" s="21">
        <f>L10*S10</f>
        <v/>
      </c>
      <c r="V10" s="15" t="inlineStr">
        <is>
          <t>nur Abholung</t>
        </is>
      </c>
      <c r="W10" s="15" t="inlineStr">
        <is>
          <t>F-045</t>
        </is>
      </c>
      <c r="X10" s="19" t="inlineStr">
        <is>
          <t>ja</t>
        </is>
      </c>
      <c r="Y10" s="19" t="n"/>
      <c r="Z10" s="19" t="inlineStr">
        <is>
          <t>verfügbar</t>
        </is>
      </c>
      <c r="AA10" s="19" t="n"/>
      <c r="AB10" s="19" t="n"/>
      <c r="AC10" s="19" t="n"/>
      <c r="AD10" s="19" t="n"/>
      <c r="AE10" s="20" t="n"/>
      <c r="AF10" s="21">
        <f>IF(K10="","",K10*AE10)</f>
        <v/>
      </c>
      <c r="AG10" s="19" t="n"/>
      <c r="AH10" s="19" t="n"/>
      <c r="AI10" s="19" t="n"/>
      <c r="AJ10" s="19" t="n"/>
      <c r="AK10" s="19" t="n"/>
      <c r="AL10" s="19" t="n"/>
      <c r="AM10" s="16" t="inlineStr">
        <is>
          <t>1 Pflanze im Bild</t>
        </is>
      </c>
      <c r="AN10" s="22" t="n"/>
    </row>
    <row r="11" ht="30" customHeight="1">
      <c r="A11" s="15" t="inlineStr">
        <is>
          <t>BA09-03</t>
        </is>
      </c>
      <c r="B11" s="15" t="inlineStr">
        <is>
          <t>K-082</t>
        </is>
      </c>
      <c r="C11" s="15" t="n"/>
      <c r="D11" s="15" t="inlineStr">
        <is>
          <t>BA09</t>
        </is>
      </c>
      <c r="E11" s="15" t="inlineStr">
        <is>
          <t>Werte-Rad</t>
        </is>
      </c>
      <c r="F11" s="16" t="inlineStr">
        <is>
          <t>Drehbares Holzrad zur Visualisierung von Leitwerten, Eigenbau</t>
        </is>
      </c>
      <c r="G11" s="15" t="inlineStr">
        <is>
          <t>Kita-Ausstattung</t>
        </is>
      </c>
      <c r="H11" s="15" t="inlineStr">
        <is>
          <t>Personal</t>
        </is>
      </c>
      <c r="I11" s="15" t="inlineStr">
        <is>
          <t>C</t>
        </is>
      </c>
      <c r="J11" s="17" t="n">
        <v>1</v>
      </c>
      <c r="K11" s="17" t="n"/>
      <c r="L11" s="18">
        <f>J11-IF(K11="",0,K11)</f>
        <v/>
      </c>
      <c r="M11" s="15" t="inlineStr">
        <is>
          <t>Stück</t>
        </is>
      </c>
      <c r="N11" s="15" t="inlineStr">
        <is>
          <t>gut</t>
        </is>
      </c>
      <c r="O11" s="19" t="n"/>
      <c r="P11" s="19" t="inlineStr">
        <is>
          <t>ja</t>
        </is>
      </c>
      <c r="Q11" s="19" t="n"/>
      <c r="R11" s="20" t="n"/>
      <c r="S11" s="20" t="n">
        <v>40</v>
      </c>
      <c r="T11" s="19" t="inlineStr">
        <is>
          <t>VHB</t>
        </is>
      </c>
      <c r="U11" s="21">
        <f>L11*S11</f>
        <v/>
      </c>
      <c r="V11" s="15" t="inlineStr">
        <is>
          <t>nur Abholung</t>
        </is>
      </c>
      <c r="W11" s="15" t="inlineStr">
        <is>
          <t>F-046</t>
        </is>
      </c>
      <c r="X11" s="19" t="inlineStr">
        <is>
          <t>ja</t>
        </is>
      </c>
      <c r="Y11" s="19" t="n"/>
      <c r="Z11" s="19" t="inlineStr">
        <is>
          <t>verfügbar</t>
        </is>
      </c>
      <c r="AA11" s="19" t="n"/>
      <c r="AB11" s="19" t="n"/>
      <c r="AC11" s="19" t="n"/>
      <c r="AD11" s="19" t="n"/>
      <c r="AE11" s="20" t="n"/>
      <c r="AF11" s="21">
        <f>IF(K11="","",K11*AE11)</f>
        <v/>
      </c>
      <c r="AG11" s="19" t="n"/>
      <c r="AH11" s="19" t="n"/>
      <c r="AI11" s="19" t="n"/>
      <c r="AJ11" s="19" t="n"/>
      <c r="AK11" s="19" t="n"/>
      <c r="AL11" s="19" t="n"/>
      <c r="AM11" s="16" t="inlineStr">
        <is>
          <t>1 Stück im Bild</t>
        </is>
      </c>
      <c r="AN11" s="22" t="n"/>
    </row>
    <row r="12" ht="30" customHeight="1">
      <c r="A12" s="15" t="inlineStr">
        <is>
          <t>BA09-04</t>
        </is>
      </c>
      <c r="B12" s="15" t="inlineStr">
        <is>
          <t>K-083</t>
        </is>
      </c>
      <c r="C12" s="15" t="n"/>
      <c r="D12" s="15" t="inlineStr">
        <is>
          <t>BA09</t>
        </is>
      </c>
      <c r="E12" s="15" t="inlineStr">
        <is>
          <t>USM Haller Tisch</t>
        </is>
      </c>
      <c r="F12" s="16" t="inlineStr">
        <is>
          <t>USM Haller, weiße Tischplatte, verchromtes Rohrgestell mit Kugelverbindern, ca. 200 x 100 cm</t>
        </is>
      </c>
      <c r="G12" s="15" t="inlineStr">
        <is>
          <t>Designmöbel</t>
        </is>
      </c>
      <c r="H12" s="15" t="inlineStr">
        <is>
          <t>Personal</t>
        </is>
      </c>
      <c r="I12" s="15" t="inlineStr">
        <is>
          <t>A</t>
        </is>
      </c>
      <c r="J12" s="17" t="n">
        <v>1</v>
      </c>
      <c r="K12" s="17" t="n"/>
      <c r="L12" s="18">
        <f>J12-IF(K12="",0,K12)</f>
        <v/>
      </c>
      <c r="M12" s="15" t="inlineStr">
        <is>
          <t>Stück</t>
        </is>
      </c>
      <c r="N12" s="15" t="inlineStr">
        <is>
          <t>gut</t>
        </is>
      </c>
      <c r="O12" s="19" t="n"/>
      <c r="P12" s="19" t="inlineStr">
        <is>
          <t>ja</t>
        </is>
      </c>
      <c r="Q12" s="19" t="n"/>
      <c r="R12" s="20" t="n"/>
      <c r="S12" s="20" t="n">
        <v>900</v>
      </c>
      <c r="T12" s="19" t="inlineStr">
        <is>
          <t>VHB</t>
        </is>
      </c>
      <c r="U12" s="21">
        <f>L12*S12</f>
        <v/>
      </c>
      <c r="V12" s="15" t="inlineStr">
        <is>
          <t>nur Abholung</t>
        </is>
      </c>
      <c r="W12" s="15" t="inlineStr">
        <is>
          <t>F-047</t>
        </is>
      </c>
      <c r="X12" s="19" t="inlineStr">
        <is>
          <t>ja</t>
        </is>
      </c>
      <c r="Y12" s="19" t="inlineStr">
        <is>
          <t>ja</t>
        </is>
      </c>
      <c r="Z12" s="19" t="inlineStr">
        <is>
          <t>verfügbar</t>
        </is>
      </c>
      <c r="AA12" s="19" t="inlineStr">
        <is>
          <t>USM Haller</t>
        </is>
      </c>
      <c r="AB12" s="19" t="n"/>
      <c r="AC12" s="19" t="n"/>
      <c r="AD12" s="19" t="n"/>
      <c r="AE12" s="20" t="n"/>
      <c r="AF12" s="21">
        <f>IF(K12="","",K12*AE12)</f>
        <v/>
      </c>
      <c r="AG12" s="19" t="n"/>
      <c r="AH12" s="19" t="n"/>
      <c r="AI12" s="19" t="n"/>
      <c r="AJ12" s="19" t="n"/>
      <c r="AK12" s="19" t="n"/>
      <c r="AL12" s="19" t="n"/>
      <c r="AM12" s="16" t="inlineStr">
        <is>
          <t>1 Tisch im Bild</t>
        </is>
      </c>
      <c r="AN12" s="22" t="n"/>
    </row>
    <row r="13" ht="30" customHeight="1">
      <c r="A13" s="15" t="inlineStr">
        <is>
          <t>BA09-05</t>
        </is>
      </c>
      <c r="B13" s="15" t="inlineStr">
        <is>
          <t>K-084</t>
        </is>
      </c>
      <c r="C13" s="15" t="n"/>
      <c r="D13" s="15" t="inlineStr">
        <is>
          <t>BA09</t>
        </is>
      </c>
      <c r="E13" s="15" t="inlineStr">
        <is>
          <t>Kartell Masters Stuhl</t>
        </is>
      </c>
      <c r="F13" s="16" t="inlineStr">
        <is>
          <t>Kartell Masters, Design Philippe Starck, schwarz</t>
        </is>
      </c>
      <c r="G13" s="15" t="inlineStr">
        <is>
          <t>Designmöbel</t>
        </is>
      </c>
      <c r="H13" s="15" t="inlineStr">
        <is>
          <t>Personal</t>
        </is>
      </c>
      <c r="I13" s="15" t="inlineStr">
        <is>
          <t>A</t>
        </is>
      </c>
      <c r="J13" s="17" t="n">
        <v>4</v>
      </c>
      <c r="K13" s="17" t="n"/>
      <c r="L13" s="18">
        <f>J13-IF(K13="",0,K13)</f>
        <v/>
      </c>
      <c r="M13" s="15" t="inlineStr">
        <is>
          <t>Stück</t>
        </is>
      </c>
      <c r="N13" s="15" t="inlineStr">
        <is>
          <t>gebraucht</t>
        </is>
      </c>
      <c r="O13" s="19" t="n"/>
      <c r="P13" s="19" t="inlineStr">
        <is>
          <t>ja</t>
        </is>
      </c>
      <c r="Q13" s="19" t="n"/>
      <c r="R13" s="20" t="n"/>
      <c r="S13" s="20" t="n">
        <v>120</v>
      </c>
      <c r="T13" s="19" t="inlineStr">
        <is>
          <t>VHB</t>
        </is>
      </c>
      <c r="U13" s="21">
        <f>L13*S13</f>
        <v/>
      </c>
      <c r="V13" s="15" t="inlineStr">
        <is>
          <t>Versand möglich</t>
        </is>
      </c>
      <c r="W13" s="15" t="inlineStr">
        <is>
          <t>F-048</t>
        </is>
      </c>
      <c r="X13" s="19" t="inlineStr">
        <is>
          <t>ja</t>
        </is>
      </c>
      <c r="Y13" s="19" t="n"/>
      <c r="Z13" s="19" t="inlineStr">
        <is>
          <t>verfügbar</t>
        </is>
      </c>
      <c r="AA13" s="19" t="inlineStr">
        <is>
          <t>Kartell</t>
        </is>
      </c>
      <c r="AB13" s="19" t="n"/>
      <c r="AC13" s="19" t="n"/>
      <c r="AD13" s="19" t="n"/>
      <c r="AE13" s="20" t="n"/>
      <c r="AF13" s="21">
        <f>IF(K13="","",K13*AE13)</f>
        <v/>
      </c>
      <c r="AG13" s="19" t="n"/>
      <c r="AH13" s="19" t="n"/>
      <c r="AI13" s="19" t="n"/>
      <c r="AJ13" s="19" t="n"/>
      <c r="AK13" s="19" t="n"/>
      <c r="AL13" s="19" t="n"/>
      <c r="AM13" s="16" t="inlineStr">
        <is>
          <t>4 Stühle – abgebildet sind zwei davon.</t>
        </is>
      </c>
      <c r="AN13" s="22" t="n"/>
    </row>
    <row r="14" ht="30" customHeight="1">
      <c r="A14" s="15" t="inlineStr">
        <is>
          <t>BA10-01</t>
        </is>
      </c>
      <c r="B14" s="15" t="inlineStr">
        <is>
          <t>K-086</t>
        </is>
      </c>
      <c r="C14" s="15" t="n"/>
      <c r="D14" s="15" t="inlineStr">
        <is>
          <t>BA10</t>
        </is>
      </c>
      <c r="E14" s="15" t="inlineStr">
        <is>
          <t>Glastisch rund mit Chromgestell</t>
        </is>
      </c>
      <c r="F14" s="16" t="inlineStr">
        <is>
          <t>Runde Glasplatte teilsatiniert, Chromgestell</t>
        </is>
      </c>
      <c r="G14" s="15" t="inlineStr">
        <is>
          <t>Möbel</t>
        </is>
      </c>
      <c r="H14" s="15" t="inlineStr">
        <is>
          <t>Ruhe- / Schlafraum</t>
        </is>
      </c>
      <c r="I14" s="15" t="inlineStr">
        <is>
          <t>B</t>
        </is>
      </c>
      <c r="J14" s="17" t="n">
        <v>1</v>
      </c>
      <c r="K14" s="17" t="n"/>
      <c r="L14" s="18">
        <f>J14-IF(K14="",0,K14)</f>
        <v/>
      </c>
      <c r="M14" s="15" t="inlineStr">
        <is>
          <t>Stück</t>
        </is>
      </c>
      <c r="N14" s="15" t="inlineStr">
        <is>
          <t>gebraucht</t>
        </is>
      </c>
      <c r="O14" s="19" t="n"/>
      <c r="P14" s="19" t="inlineStr">
        <is>
          <t>ja</t>
        </is>
      </c>
      <c r="Q14" s="19" t="n"/>
      <c r="R14" s="20" t="n"/>
      <c r="S14" s="20" t="n">
        <v>90</v>
      </c>
      <c r="T14" s="19" t="inlineStr">
        <is>
          <t>VHB</t>
        </is>
      </c>
      <c r="U14" s="21">
        <f>L14*S14</f>
        <v/>
      </c>
      <c r="V14" s="15" t="inlineStr">
        <is>
          <t>nur Abholung</t>
        </is>
      </c>
      <c r="W14" s="15" t="inlineStr">
        <is>
          <t>F-057</t>
        </is>
      </c>
      <c r="X14" s="19" t="inlineStr">
        <is>
          <t>ja</t>
        </is>
      </c>
      <c r="Y14" s="19" t="n"/>
      <c r="Z14" s="19" t="inlineStr">
        <is>
          <t>verfügbar</t>
        </is>
      </c>
      <c r="AA14" s="19" t="n"/>
      <c r="AB14" s="19" t="n"/>
      <c r="AC14" s="19" t="n"/>
      <c r="AD14" s="19" t="n"/>
      <c r="AE14" s="20" t="n"/>
      <c r="AF14" s="21">
        <f>IF(K14="","",K14*AE14)</f>
        <v/>
      </c>
      <c r="AG14" s="19" t="n"/>
      <c r="AH14" s="19" t="n"/>
      <c r="AI14" s="19" t="n"/>
      <c r="AJ14" s="19" t="n"/>
      <c r="AK14" s="19" t="n"/>
      <c r="AL14" s="19" t="n"/>
      <c r="AM14" s="16" t="inlineStr">
        <is>
          <t>1 Tisch im Bild</t>
        </is>
      </c>
      <c r="AN14" s="22" t="n"/>
    </row>
    <row r="15" ht="30" customHeight="1">
      <c r="A15" s="15" t="inlineStr">
        <is>
          <t>BA10-02</t>
        </is>
      </c>
      <c r="B15" s="15" t="inlineStr">
        <is>
          <t>K-087</t>
        </is>
      </c>
      <c r="C15" s="15" t="n"/>
      <c r="D15" s="15" t="inlineStr">
        <is>
          <t>BA10</t>
        </is>
      </c>
      <c r="E15" s="15" t="inlineStr">
        <is>
          <t>Samtsofa bordeaux, 2-Sitzer</t>
        </is>
      </c>
      <c r="F15" s="16" t="inlineStr">
        <is>
          <t>Samtbezug dunkelrot, gesteppte Rückenlehne, dunkle Holzbeine</t>
        </is>
      </c>
      <c r="G15" s="15" t="inlineStr">
        <is>
          <t>Möbel</t>
        </is>
      </c>
      <c r="H15" s="15" t="inlineStr">
        <is>
          <t>Ruhe- / Schlafraum</t>
        </is>
      </c>
      <c r="I15" s="15" t="inlineStr">
        <is>
          <t>B</t>
        </is>
      </c>
      <c r="J15" s="17" t="n">
        <v>2</v>
      </c>
      <c r="K15" s="17" t="n"/>
      <c r="L15" s="18">
        <f>J15-IF(K15="",0,K15)</f>
        <v/>
      </c>
      <c r="M15" s="15" t="inlineStr">
        <is>
          <t>Stück</t>
        </is>
      </c>
      <c r="N15" s="15" t="inlineStr">
        <is>
          <t>gebraucht</t>
        </is>
      </c>
      <c r="O15" s="19" t="n"/>
      <c r="P15" s="19" t="inlineStr">
        <is>
          <t>ja</t>
        </is>
      </c>
      <c r="Q15" s="19" t="n"/>
      <c r="R15" s="20" t="n"/>
      <c r="S15" s="20" t="n">
        <v>250</v>
      </c>
      <c r="T15" s="19" t="inlineStr">
        <is>
          <t>VHB</t>
        </is>
      </c>
      <c r="U15" s="21">
        <f>L15*S15</f>
        <v/>
      </c>
      <c r="V15" s="15" t="inlineStr">
        <is>
          <t>nur Abholung</t>
        </is>
      </c>
      <c r="W15" s="15" t="inlineStr">
        <is>
          <t>F-058</t>
        </is>
      </c>
      <c r="X15" s="19" t="inlineStr">
        <is>
          <t>ja</t>
        </is>
      </c>
      <c r="Y15" s="19" t="n"/>
      <c r="Z15" s="19" t="inlineStr">
        <is>
          <t>verfügbar</t>
        </is>
      </c>
      <c r="AA15" s="19" t="n"/>
      <c r="AB15" s="19" t="n"/>
      <c r="AC15" s="19" t="n"/>
      <c r="AD15" s="19" t="n"/>
      <c r="AE15" s="20" t="n"/>
      <c r="AF15" s="21">
        <f>IF(K15="","",K15*AE15)</f>
        <v/>
      </c>
      <c r="AG15" s="19" t="n"/>
      <c r="AH15" s="19" t="n"/>
      <c r="AI15" s="19" t="n"/>
      <c r="AJ15" s="19" t="n"/>
      <c r="AK15" s="19" t="n"/>
      <c r="AL15" s="19" t="n"/>
      <c r="AM15" s="16" t="inlineStr">
        <is>
          <t>1 Sofa im Bild</t>
        </is>
      </c>
      <c r="AN15" s="22" t="n"/>
    </row>
    <row r="16" ht="30" customHeight="1">
      <c r="A16" s="15" t="inlineStr">
        <is>
          <t>BA10-03</t>
        </is>
      </c>
      <c r="B16" s="15" t="inlineStr">
        <is>
          <t>K-089</t>
        </is>
      </c>
      <c r="C16" s="15" t="n"/>
      <c r="D16" s="15" t="inlineStr">
        <is>
          <t>BA10</t>
        </is>
      </c>
      <c r="E16" s="15" t="inlineStr">
        <is>
          <t>Sessel mit Bezug, weiß lackiert</t>
        </is>
      </c>
      <c r="F16" s="16" t="inlineStr">
        <is>
          <t>Relaxsessel mit Bezug, weiß lackiert
 weiß lackiertes Schichtholz, hellgrauer Bezug</t>
        </is>
      </c>
      <c r="G16" s="15" t="inlineStr">
        <is>
          <t>Möbel</t>
        </is>
      </c>
      <c r="H16" s="15" t="inlineStr">
        <is>
          <t>Ruhe- / Schlafraum</t>
        </is>
      </c>
      <c r="I16" s="15" t="inlineStr">
        <is>
          <t>C</t>
        </is>
      </c>
      <c r="J16" s="17" t="n">
        <v>2</v>
      </c>
      <c r="K16" s="17" t="n"/>
      <c r="L16" s="18">
        <f>J16-IF(K16="",0,K16)</f>
        <v/>
      </c>
      <c r="M16" s="15" t="inlineStr">
        <is>
          <t>Stück</t>
        </is>
      </c>
      <c r="N16" s="15" t="inlineStr">
        <is>
          <t>gebraucht</t>
        </is>
      </c>
      <c r="O16" s="19" t="n"/>
      <c r="P16" s="19" t="inlineStr">
        <is>
          <t>ja</t>
        </is>
      </c>
      <c r="Q16" s="19" t="n"/>
      <c r="R16" s="20" t="n"/>
      <c r="S16" s="20" t="n">
        <v>250</v>
      </c>
      <c r="T16" s="19" t="inlineStr">
        <is>
          <t>VHB</t>
        </is>
      </c>
      <c r="U16" s="21">
        <f>L16*S16</f>
        <v/>
      </c>
      <c r="V16" s="15" t="inlineStr">
        <is>
          <t>nur Abholung</t>
        </is>
      </c>
      <c r="W16" s="15" t="inlineStr">
        <is>
          <t>F-060</t>
        </is>
      </c>
      <c r="X16" s="19" t="inlineStr">
        <is>
          <t>ja</t>
        </is>
      </c>
      <c r="Y16" s="19" t="n"/>
      <c r="Z16" s="19" t="inlineStr">
        <is>
          <t>verfügbar</t>
        </is>
      </c>
      <c r="AA16" s="19" t="n"/>
      <c r="AB16" s="19" t="n"/>
      <c r="AC16" s="19" t="n"/>
      <c r="AD16" s="19" t="n"/>
      <c r="AE16" s="20" t="n"/>
      <c r="AF16" s="21">
        <f>IF(K16="","",K16*AE16)</f>
        <v/>
      </c>
      <c r="AG16" s="19" t="n"/>
      <c r="AH16" s="19" t="n"/>
      <c r="AI16" s="19" t="n"/>
      <c r="AJ16" s="19" t="n"/>
      <c r="AK16" s="19" t="n"/>
      <c r="AL16" s="19" t="n"/>
      <c r="AM16" s="16" t="inlineStr">
        <is>
          <t>1 Sessel im Bild</t>
        </is>
      </c>
      <c r="AN16" s="22" t="n"/>
    </row>
    <row r="17" ht="30" customHeight="1">
      <c r="A17" s="15" t="inlineStr">
        <is>
          <t>BA10-04</t>
        </is>
      </c>
      <c r="B17" s="15" t="inlineStr">
        <is>
          <t>K-090</t>
        </is>
      </c>
      <c r="C17" s="15" t="n"/>
      <c r="D17" s="15" t="inlineStr">
        <is>
          <t>BA10</t>
        </is>
      </c>
      <c r="E17" s="15" t="inlineStr">
        <is>
          <t>Hocker grau mit Hairpin-Beinen</t>
        </is>
      </c>
      <c r="F17" s="16" t="inlineStr">
        <is>
          <t>Hocker grau 
Runder Polsterhocker grau, mit Stauraum</t>
        </is>
      </c>
      <c r="G17" s="15" t="inlineStr">
        <is>
          <t>Möbel</t>
        </is>
      </c>
      <c r="H17" s="15" t="inlineStr">
        <is>
          <t>Ruhe- / Schlafraum</t>
        </is>
      </c>
      <c r="I17" s="15" t="inlineStr">
        <is>
          <t>C</t>
        </is>
      </c>
      <c r="J17" s="17" t="n">
        <v>1</v>
      </c>
      <c r="K17" s="17" t="n"/>
      <c r="L17" s="18">
        <f>J17-IF(K17="",0,K17)</f>
        <v/>
      </c>
      <c r="M17" s="15" t="inlineStr">
        <is>
          <t>Stück</t>
        </is>
      </c>
      <c r="N17" s="15" t="inlineStr">
        <is>
          <t>gebraucht</t>
        </is>
      </c>
      <c r="O17" s="19" t="n"/>
      <c r="P17" s="19" t="inlineStr">
        <is>
          <t>ja</t>
        </is>
      </c>
      <c r="Q17" s="19" t="n"/>
      <c r="R17" s="20" t="n"/>
      <c r="S17" s="20" t="n">
        <v>35</v>
      </c>
      <c r="T17" s="19" t="inlineStr">
        <is>
          <t>VHB</t>
        </is>
      </c>
      <c r="U17" s="21">
        <f>L17*S17</f>
        <v/>
      </c>
      <c r="V17" s="15" t="inlineStr">
        <is>
          <t>Versand möglich</t>
        </is>
      </c>
      <c r="W17" s="15" t="inlineStr">
        <is>
          <t>F-060</t>
        </is>
      </c>
      <c r="X17" s="19" t="inlineStr">
        <is>
          <t>ja</t>
        </is>
      </c>
      <c r="Y17" s="19" t="n"/>
      <c r="Z17" s="19" t="inlineStr">
        <is>
          <t>verfügbar</t>
        </is>
      </c>
      <c r="AA17" s="19" t="n"/>
      <c r="AB17" s="19" t="n"/>
      <c r="AC17" s="19" t="n"/>
      <c r="AD17" s="19" t="n"/>
      <c r="AE17" s="20" t="n"/>
      <c r="AF17" s="21">
        <f>IF(K17="","",K17*AE17)</f>
        <v/>
      </c>
      <c r="AG17" s="19" t="n"/>
      <c r="AH17" s="19" t="n"/>
      <c r="AI17" s="19" t="n"/>
      <c r="AJ17" s="19" t="n"/>
      <c r="AK17" s="19" t="n"/>
      <c r="AL17" s="19" t="n"/>
      <c r="AM17" s="16" t="inlineStr">
        <is>
          <t>1 Hocker.</t>
        </is>
      </c>
      <c r="AN17" s="22" t="n"/>
    </row>
    <row r="18" ht="30" customHeight="1">
      <c r="A18" s="15" t="inlineStr">
        <is>
          <t>BA10-05</t>
        </is>
      </c>
      <c r="B18" s="15" t="inlineStr">
        <is>
          <t>K-091</t>
        </is>
      </c>
      <c r="C18" s="15" t="n"/>
      <c r="D18" s="15" t="inlineStr">
        <is>
          <t>BA10</t>
        </is>
      </c>
      <c r="E18" s="15" t="inlineStr">
        <is>
          <t>Ohrensessel grau mit Kufengestell</t>
        </is>
      </c>
      <c r="F18" s="16" t="inlineStr">
        <is>
          <t>Polstersessel hellgrau, schwarzes Kufengestell aus Rundstahl</t>
        </is>
      </c>
      <c r="G18" s="15" t="inlineStr">
        <is>
          <t>Möbel</t>
        </is>
      </c>
      <c r="H18" s="15" t="inlineStr">
        <is>
          <t>Ruhe- / Schlafraum</t>
        </is>
      </c>
      <c r="I18" s="15" t="inlineStr">
        <is>
          <t>B</t>
        </is>
      </c>
      <c r="J18" s="17" t="n">
        <v>2</v>
      </c>
      <c r="K18" s="17" t="n"/>
      <c r="L18" s="18">
        <f>J18-IF(K18="",0,K18)</f>
        <v/>
      </c>
      <c r="M18" s="15" t="inlineStr">
        <is>
          <t>Stück</t>
        </is>
      </c>
      <c r="N18" s="15" t="inlineStr">
        <is>
          <t>gebraucht</t>
        </is>
      </c>
      <c r="O18" s="19" t="n"/>
      <c r="P18" s="19" t="inlineStr">
        <is>
          <t>ja</t>
        </is>
      </c>
      <c r="Q18" s="19" t="n"/>
      <c r="R18" s="20" t="n"/>
      <c r="S18" s="20" t="n">
        <v>130</v>
      </c>
      <c r="T18" s="19" t="inlineStr">
        <is>
          <t>VHB</t>
        </is>
      </c>
      <c r="U18" s="21">
        <f>L18*S18</f>
        <v/>
      </c>
      <c r="V18" s="15" t="inlineStr">
        <is>
          <t>nur Abholung</t>
        </is>
      </c>
      <c r="W18" s="15" t="inlineStr">
        <is>
          <t>F-056</t>
        </is>
      </c>
      <c r="X18" s="19" t="inlineStr">
        <is>
          <t>ja</t>
        </is>
      </c>
      <c r="Y18" s="19" t="n"/>
      <c r="Z18" s="19" t="inlineStr">
        <is>
          <t>verfügbar</t>
        </is>
      </c>
      <c r="AA18" s="19" t="n"/>
      <c r="AB18" s="19" t="n"/>
      <c r="AC18" s="19" t="n"/>
      <c r="AD18" s="19" t="n"/>
      <c r="AE18" s="20" t="n"/>
      <c r="AF18" s="21">
        <f>IF(K18="","",K18*AE18)</f>
        <v/>
      </c>
      <c r="AG18" s="19" t="n"/>
      <c r="AH18" s="19" t="n"/>
      <c r="AI18" s="19" t="n"/>
      <c r="AJ18" s="19" t="n"/>
      <c r="AK18" s="19" t="n"/>
      <c r="AL18" s="19" t="n"/>
      <c r="AM18" s="16" t="inlineStr">
        <is>
          <t>2 Sessel im Bild</t>
        </is>
      </c>
      <c r="AN18" s="22" t="n"/>
    </row>
    <row r="19" ht="30" customHeight="1">
      <c r="A19" s="15" t="inlineStr">
        <is>
          <t>BA10-06</t>
        </is>
      </c>
      <c r="B19" s="15" t="inlineStr">
        <is>
          <t>K-092</t>
        </is>
      </c>
      <c r="C19" s="15" t="n"/>
      <c r="D19" s="15" t="inlineStr">
        <is>
          <t>BA10</t>
        </is>
      </c>
      <c r="E19" s="15" t="inlineStr">
        <is>
          <t>Hocker grau, passend</t>
        </is>
      </c>
      <c r="F19" s="16" t="inlineStr">
        <is>
          <t>Polsterhocker hellgrau, schwarzes Kufengestell, passend zu den Sesseln</t>
        </is>
      </c>
      <c r="G19" s="15" t="inlineStr">
        <is>
          <t>Möbel</t>
        </is>
      </c>
      <c r="H19" s="15" t="inlineStr">
        <is>
          <t>Ruhe- / Schlafraum</t>
        </is>
      </c>
      <c r="I19" s="15" t="inlineStr">
        <is>
          <t>C</t>
        </is>
      </c>
      <c r="J19" s="17" t="n">
        <v>2</v>
      </c>
      <c r="K19" s="17" t="n"/>
      <c r="L19" s="18">
        <f>J19-IF(K19="",0,K19)</f>
        <v/>
      </c>
      <c r="M19" s="15" t="inlineStr">
        <is>
          <t>Stück</t>
        </is>
      </c>
      <c r="N19" s="15" t="inlineStr">
        <is>
          <t>gebraucht</t>
        </is>
      </c>
      <c r="O19" s="19" t="n"/>
      <c r="P19" s="19" t="inlineStr">
        <is>
          <t>ja</t>
        </is>
      </c>
      <c r="Q19" s="19" t="n"/>
      <c r="R19" s="20" t="n"/>
      <c r="S19" s="20" t="n">
        <v>45</v>
      </c>
      <c r="T19" s="19" t="inlineStr">
        <is>
          <t>VHB</t>
        </is>
      </c>
      <c r="U19" s="21">
        <f>L19*S19</f>
        <v/>
      </c>
      <c r="V19" s="15" t="inlineStr">
        <is>
          <t>Versand möglich</t>
        </is>
      </c>
      <c r="W19" s="15" t="inlineStr">
        <is>
          <t>F-056</t>
        </is>
      </c>
      <c r="X19" s="19" t="inlineStr">
        <is>
          <t>ja</t>
        </is>
      </c>
      <c r="Y19" s="19" t="n"/>
      <c r="Z19" s="19" t="inlineStr">
        <is>
          <t>verfügbar</t>
        </is>
      </c>
      <c r="AA19" s="19" t="n"/>
      <c r="AB19" s="19" t="n"/>
      <c r="AC19" s="19" t="n"/>
      <c r="AD19" s="19" t="n"/>
      <c r="AE19" s="20" t="n"/>
      <c r="AF19" s="21">
        <f>IF(K19="","",K19*AE19)</f>
        <v/>
      </c>
      <c r="AG19" s="19" t="n"/>
      <c r="AH19" s="19" t="n"/>
      <c r="AI19" s="19" t="n"/>
      <c r="AJ19" s="19" t="n"/>
      <c r="AK19" s="19" t="n"/>
      <c r="AL19" s="19" t="n"/>
      <c r="AM19" s="16" t="inlineStr">
        <is>
          <t>2 Hocker im Bild</t>
        </is>
      </c>
      <c r="AN19" s="22" t="n"/>
    </row>
    <row r="20" ht="30" customHeight="1">
      <c r="A20" s="15" t="inlineStr">
        <is>
          <t>BA10-07</t>
        </is>
      </c>
      <c r="B20" s="15" t="inlineStr">
        <is>
          <t>K-093</t>
        </is>
      </c>
      <c r="C20" s="15" t="n"/>
      <c r="D20" s="15" t="inlineStr">
        <is>
          <t>BA10</t>
        </is>
      </c>
      <c r="E20" s="15" t="inlineStr">
        <is>
          <t>Beistelltisch rund grau</t>
        </is>
      </c>
      <c r="F20" s="16" t="inlineStr">
        <is>
          <t>Runde Platte grau, schwarze Hairpin-Beine</t>
        </is>
      </c>
      <c r="G20" s="15" t="inlineStr">
        <is>
          <t>Möbel</t>
        </is>
      </c>
      <c r="H20" s="15" t="inlineStr">
        <is>
          <t>Ruhe- / Schlafraum</t>
        </is>
      </c>
      <c r="I20" s="15" t="inlineStr">
        <is>
          <t>C</t>
        </is>
      </c>
      <c r="J20" s="17" t="n">
        <v>1</v>
      </c>
      <c r="K20" s="17" t="n"/>
      <c r="L20" s="18">
        <f>J20-IF(K20="",0,K20)</f>
        <v/>
      </c>
      <c r="M20" s="15" t="inlineStr">
        <is>
          <t>Stück</t>
        </is>
      </c>
      <c r="N20" s="15" t="inlineStr">
        <is>
          <t>gebraucht</t>
        </is>
      </c>
      <c r="O20" s="19" t="n"/>
      <c r="P20" s="19" t="inlineStr">
        <is>
          <t>ja</t>
        </is>
      </c>
      <c r="Q20" s="19" t="n"/>
      <c r="R20" s="20" t="n"/>
      <c r="S20" s="20" t="n">
        <v>45</v>
      </c>
      <c r="T20" s="19" t="inlineStr">
        <is>
          <t>VHB</t>
        </is>
      </c>
      <c r="U20" s="21">
        <f>L20*S20</f>
        <v/>
      </c>
      <c r="V20" s="15" t="inlineStr">
        <is>
          <t>Versand möglich</t>
        </is>
      </c>
      <c r="W20" s="15" t="inlineStr">
        <is>
          <t>F-056</t>
        </is>
      </c>
      <c r="X20" s="19" t="inlineStr">
        <is>
          <t>ja</t>
        </is>
      </c>
      <c r="Y20" s="19" t="n"/>
      <c r="Z20" s="19" t="inlineStr">
        <is>
          <t>verfügbar</t>
        </is>
      </c>
      <c r="AA20" s="19" t="n"/>
      <c r="AB20" s="19" t="n"/>
      <c r="AC20" s="19" t="n"/>
      <c r="AD20" s="19" t="n"/>
      <c r="AE20" s="20" t="n"/>
      <c r="AF20" s="21">
        <f>IF(K20="","",K20*AE20)</f>
        <v/>
      </c>
      <c r="AG20" s="19" t="n"/>
      <c r="AH20" s="19" t="n"/>
      <c r="AI20" s="19" t="n"/>
      <c r="AJ20" s="19" t="n"/>
      <c r="AK20" s="19" t="n"/>
      <c r="AL20" s="19" t="n"/>
      <c r="AM20" s="16" t="inlineStr">
        <is>
          <t>1 Tisch im Bild</t>
        </is>
      </c>
      <c r="AN20" s="22" t="n"/>
    </row>
    <row r="21" ht="30" customHeight="1">
      <c r="A21" s="15" t="inlineStr">
        <is>
          <t>BA10-08</t>
        </is>
      </c>
      <c r="B21" s="15" t="inlineStr">
        <is>
          <t>K-094</t>
        </is>
      </c>
      <c r="C21" s="15" t="n"/>
      <c r="D21" s="15" t="inlineStr">
        <is>
          <t>BA10</t>
        </is>
      </c>
      <c r="E21" s="15" t="inlineStr">
        <is>
          <t>Pendelleuchte Drahtgeflecht</t>
        </is>
      </c>
      <c r="F21" s="16" t="inlineStr">
        <is>
          <t>Geometrische Drahtleuchte schwarz, Ikosaederform</t>
        </is>
      </c>
      <c r="G21" s="15" t="inlineStr">
        <is>
          <t>Leuchten</t>
        </is>
      </c>
      <c r="H21" s="15" t="inlineStr">
        <is>
          <t>Ruhe- / Schlafraum</t>
        </is>
      </c>
      <c r="I21" s="15" t="inlineStr">
        <is>
          <t>C</t>
        </is>
      </c>
      <c r="J21" s="17" t="n">
        <v>2</v>
      </c>
      <c r="K21" s="17" t="n"/>
      <c r="L21" s="18">
        <f>J21-IF(K21="",0,K21)</f>
        <v/>
      </c>
      <c r="M21" s="15" t="inlineStr">
        <is>
          <t>Stück</t>
        </is>
      </c>
      <c r="N21" s="15" t="inlineStr">
        <is>
          <t>gut</t>
        </is>
      </c>
      <c r="O21" s="19" t="n"/>
      <c r="P21" s="19" t="inlineStr">
        <is>
          <t>ja</t>
        </is>
      </c>
      <c r="Q21" s="19" t="n"/>
      <c r="R21" s="20" t="n"/>
      <c r="S21" s="20" t="n">
        <v>55</v>
      </c>
      <c r="T21" s="19" t="inlineStr">
        <is>
          <t>VHB</t>
        </is>
      </c>
      <c r="U21" s="21">
        <f>L21*S21</f>
        <v/>
      </c>
      <c r="V21" s="15" t="inlineStr">
        <is>
          <t>Versand möglich</t>
        </is>
      </c>
      <c r="W21" s="15" t="inlineStr">
        <is>
          <t>F-061</t>
        </is>
      </c>
      <c r="X21" s="19" t="inlineStr">
        <is>
          <t>ja</t>
        </is>
      </c>
      <c r="Y21" s="19" t="n"/>
      <c r="Z21" s="19" t="inlineStr">
        <is>
          <t>verfügbar</t>
        </is>
      </c>
      <c r="AA21" s="19" t="n"/>
      <c r="AB21" s="19" t="n"/>
      <c r="AC21" s="19" t="n"/>
      <c r="AD21" s="19" t="n"/>
      <c r="AE21" s="20" t="n"/>
      <c r="AF21" s="21">
        <f>IF(K21="","",K21*AE21)</f>
        <v/>
      </c>
      <c r="AG21" s="19" t="n"/>
      <c r="AH21" s="19" t="n"/>
      <c r="AI21" s="19" t="n"/>
      <c r="AJ21" s="19" t="n"/>
      <c r="AK21" s="19" t="n"/>
      <c r="AL21" s="19" t="n"/>
      <c r="AM21" s="16" t="inlineStr">
        <is>
          <t>1 Leuchte im Bild</t>
        </is>
      </c>
      <c r="AN21" s="22" t="n"/>
    </row>
    <row r="22" ht="30" customHeight="1">
      <c r="A22" s="15" t="inlineStr">
        <is>
          <t>BA12-01</t>
        </is>
      </c>
      <c r="B22" s="15" t="inlineStr">
        <is>
          <t>K-085</t>
        </is>
      </c>
      <c r="C22" s="15" t="n"/>
      <c r="D22" s="15" t="inlineStr">
        <is>
          <t>BA12</t>
        </is>
      </c>
      <c r="E22" s="15" t="inlineStr">
        <is>
          <t>Ast-Mobile mit Papierwaben</t>
        </is>
      </c>
      <c r="F22" s="16" t="inlineStr">
        <is>
          <t>Deko-Mobile: Birkenast mit Papierwaben, Sternen und Filzhäusern</t>
        </is>
      </c>
      <c r="G22" s="15" t="inlineStr">
        <is>
          <t>Deko</t>
        </is>
      </c>
      <c r="H22" s="15" t="inlineStr">
        <is>
          <t>WC Personal</t>
        </is>
      </c>
      <c r="I22" s="15" t="inlineStr">
        <is>
          <t>C</t>
        </is>
      </c>
      <c r="J22" s="17" t="n">
        <v>1</v>
      </c>
      <c r="K22" s="17" t="n"/>
      <c r="L22" s="18">
        <f>J22-IF(K22="",0,K22)</f>
        <v/>
      </c>
      <c r="M22" s="15" t="inlineStr">
        <is>
          <t>Stück</t>
        </is>
      </c>
      <c r="N22" s="15" t="inlineStr">
        <is>
          <t>gut</t>
        </is>
      </c>
      <c r="O22" s="19" t="n"/>
      <c r="P22" s="19" t="inlineStr">
        <is>
          <t>ja</t>
        </is>
      </c>
      <c r="Q22" s="19" t="n"/>
      <c r="R22" s="20" t="n"/>
      <c r="S22" s="20" t="n">
        <v>30</v>
      </c>
      <c r="T22" s="19" t="inlineStr">
        <is>
          <t>VHB</t>
        </is>
      </c>
      <c r="U22" s="21">
        <f>L22*S22</f>
        <v/>
      </c>
      <c r="V22" s="15" t="inlineStr">
        <is>
          <t>nur Abholung</t>
        </is>
      </c>
      <c r="W22" s="15" t="inlineStr">
        <is>
          <t>F-055</t>
        </is>
      </c>
      <c r="X22" s="19" t="inlineStr">
        <is>
          <t>ja</t>
        </is>
      </c>
      <c r="Y22" s="19" t="n"/>
      <c r="Z22" s="19" t="inlineStr">
        <is>
          <t>verfügbar</t>
        </is>
      </c>
      <c r="AA22" s="19" t="n"/>
      <c r="AB22" s="19" t="n"/>
      <c r="AC22" s="19" t="n"/>
      <c r="AD22" s="19" t="n"/>
      <c r="AE22" s="20" t="n"/>
      <c r="AF22" s="21">
        <f>IF(K22="","",K22*AE22)</f>
        <v/>
      </c>
      <c r="AG22" s="19" t="n"/>
      <c r="AH22" s="19" t="n"/>
      <c r="AI22" s="19" t="n"/>
      <c r="AJ22" s="19" t="n"/>
      <c r="AK22" s="19" t="n"/>
      <c r="AL22" s="19" t="n"/>
      <c r="AM22" s="16" t="inlineStr">
        <is>
          <t>1 Mobile im Bild</t>
        </is>
      </c>
      <c r="AN22" s="22" t="n"/>
    </row>
    <row r="23" ht="30" customHeight="1">
      <c r="A23" s="15" t="inlineStr">
        <is>
          <t>BE01-01</t>
        </is>
      </c>
      <c r="B23" s="15" t="inlineStr">
        <is>
          <t>K-062</t>
        </is>
      </c>
      <c r="C23" s="15" t="n"/>
      <c r="D23" s="15" t="inlineStr">
        <is>
          <t>BE01</t>
        </is>
      </c>
      <c r="E23" s="15" t="inlineStr">
        <is>
          <t>Barockspiegel schwarz, oval</t>
        </is>
      </c>
      <c r="F23" s="16" t="inlineStr">
        <is>
          <t>Verzierter Rahmen schwarz, oval, zwei Größen</t>
        </is>
      </c>
      <c r="G23" s="15" t="inlineStr">
        <is>
          <t>Deko</t>
        </is>
      </c>
      <c r="H23" s="15" t="inlineStr">
        <is>
          <t>Flur 1</t>
        </is>
      </c>
      <c r="I23" s="15" t="inlineStr">
        <is>
          <t>C</t>
        </is>
      </c>
      <c r="J23" s="17" t="n">
        <v>3</v>
      </c>
      <c r="K23" s="17" t="n"/>
      <c r="L23" s="18">
        <f>J23-IF(K23="",0,K23)</f>
        <v/>
      </c>
      <c r="M23" s="15" t="inlineStr">
        <is>
          <t>Stück</t>
        </is>
      </c>
      <c r="N23" s="15" t="inlineStr">
        <is>
          <t>gut</t>
        </is>
      </c>
      <c r="O23" s="19" t="n"/>
      <c r="P23" s="19" t="inlineStr">
        <is>
          <t>ja</t>
        </is>
      </c>
      <c r="Q23" s="19" t="n"/>
      <c r="R23" s="20" t="n"/>
      <c r="S23" s="20" t="n">
        <v>45</v>
      </c>
      <c r="T23" s="19" t="inlineStr">
        <is>
          <t>VHB</t>
        </is>
      </c>
      <c r="U23" s="21">
        <f>L23*S23</f>
        <v/>
      </c>
      <c r="V23" s="15" t="inlineStr">
        <is>
          <t>Versand möglich</t>
        </is>
      </c>
      <c r="W23" s="15" t="inlineStr">
        <is>
          <t>F-051</t>
        </is>
      </c>
      <c r="X23" s="19" t="inlineStr">
        <is>
          <t>ja</t>
        </is>
      </c>
      <c r="Y23" s="19" t="n"/>
      <c r="Z23" s="19" t="inlineStr">
        <is>
          <t>verfügbar</t>
        </is>
      </c>
      <c r="AA23" s="19" t="n"/>
      <c r="AB23" s="19" t="n"/>
      <c r="AC23" s="19" t="n"/>
      <c r="AD23" s="19" t="n"/>
      <c r="AE23" s="20" t="n"/>
      <c r="AF23" s="21">
        <f>IF(K23="","",K23*AE23)</f>
        <v/>
      </c>
      <c r="AG23" s="19" t="n"/>
      <c r="AH23" s="19" t="n"/>
      <c r="AI23" s="19" t="n"/>
      <c r="AJ23" s="19" t="n"/>
      <c r="AK23" s="19" t="n"/>
      <c r="AL23" s="19" t="n"/>
      <c r="AM23" s="16" t="inlineStr">
        <is>
          <t>2 Stück im Bild</t>
        </is>
      </c>
      <c r="AN23" s="22" t="n"/>
    </row>
    <row r="24" ht="30" customHeight="1">
      <c r="A24" s="15" t="inlineStr">
        <is>
          <t>BE01-02</t>
        </is>
      </c>
      <c r="B24" s="15" t="inlineStr">
        <is>
          <t>K-064</t>
        </is>
      </c>
      <c r="C24" s="15" t="n"/>
      <c r="D24" s="15" t="inlineStr">
        <is>
          <t>BE01</t>
        </is>
      </c>
      <c r="E24" s="15" t="inlineStr">
        <is>
          <t>Bilderrahmen mit Kinderzeichnung</t>
        </is>
      </c>
      <c r="F24" s="16" t="inlineStr">
        <is>
          <t>Gerahmte Kinderzeichnungen/Drucke, schwarz gerahmt</t>
        </is>
      </c>
      <c r="G24" s="15" t="inlineStr">
        <is>
          <t>Deko</t>
        </is>
      </c>
      <c r="H24" s="15" t="inlineStr">
        <is>
          <t>Flur 1</t>
        </is>
      </c>
      <c r="I24" s="15" t="inlineStr">
        <is>
          <t>C</t>
        </is>
      </c>
      <c r="J24" s="17" t="n">
        <v>3</v>
      </c>
      <c r="K24" s="17" t="n"/>
      <c r="L24" s="18">
        <f>J24-IF(K24="",0,K24)</f>
        <v/>
      </c>
      <c r="M24" s="15" t="inlineStr">
        <is>
          <t>Set</t>
        </is>
      </c>
      <c r="N24" s="15" t="inlineStr">
        <is>
          <t>gut</t>
        </is>
      </c>
      <c r="O24" s="19" t="n"/>
      <c r="P24" s="19" t="inlineStr">
        <is>
          <t>ja</t>
        </is>
      </c>
      <c r="Q24" s="19" t="n"/>
      <c r="R24" s="20" t="n"/>
      <c r="S24" s="20" t="n">
        <v>40</v>
      </c>
      <c r="T24" s="19" t="inlineStr">
        <is>
          <t>VHB</t>
        </is>
      </c>
      <c r="U24" s="21">
        <f>L24*S24</f>
        <v/>
      </c>
      <c r="V24" s="15" t="inlineStr">
        <is>
          <t>Versand möglich</t>
        </is>
      </c>
      <c r="W24" s="15" t="inlineStr">
        <is>
          <t>F-053</t>
        </is>
      </c>
      <c r="X24" s="19" t="inlineStr">
        <is>
          <t>ja</t>
        </is>
      </c>
      <c r="Y24" s="19" t="n"/>
      <c r="Z24" s="19" t="inlineStr">
        <is>
          <t>verfügbar</t>
        </is>
      </c>
      <c r="AA24" s="19" t="n"/>
      <c r="AB24" s="19" t="n"/>
      <c r="AC24" s="19" t="n"/>
      <c r="AD24" s="19" t="n"/>
      <c r="AE24" s="20" t="n"/>
      <c r="AF24" s="21">
        <f>IF(K24="","",K24*AE24)</f>
        <v/>
      </c>
      <c r="AG24" s="19" t="n"/>
      <c r="AH24" s="19" t="n"/>
      <c r="AI24" s="19" t="n"/>
      <c r="AJ24" s="19" t="n"/>
      <c r="AK24" s="19" t="n"/>
      <c r="AL24" s="19" t="n"/>
      <c r="AM24" s="16" t="inlineStr">
        <is>
          <t>3 Rahmen im Bild</t>
        </is>
      </c>
      <c r="AN24" s="22" t="n"/>
    </row>
    <row r="25" ht="30" customHeight="1">
      <c r="A25" s="15" t="inlineStr">
        <is>
          <t>BE01-03</t>
        </is>
      </c>
      <c r="B25" s="15" t="inlineStr">
        <is>
          <t>K-065</t>
        </is>
      </c>
      <c r="C25" s="15" t="n"/>
      <c r="D25" s="15" t="inlineStr">
        <is>
          <t>BE01</t>
        </is>
      </c>
      <c r="E25" s="15" t="inlineStr">
        <is>
          <t>Wandregal-Würfel schwarz</t>
        </is>
      </c>
      <c r="F25" s="16" t="inlineStr">
        <is>
          <t>Offene Regalwürfel zur Wandmontage, schwarz</t>
        </is>
      </c>
      <c r="G25" s="15" t="inlineStr">
        <is>
          <t>Möbel</t>
        </is>
      </c>
      <c r="H25" s="15" t="inlineStr">
        <is>
          <t>Flur 1</t>
        </is>
      </c>
      <c r="I25" s="15" t="inlineStr">
        <is>
          <t>C</t>
        </is>
      </c>
      <c r="J25" s="17" t="n">
        <v>2</v>
      </c>
      <c r="K25" s="17" t="n"/>
      <c r="L25" s="18">
        <f>J25-IF(K25="",0,K25)</f>
        <v/>
      </c>
      <c r="M25" s="15" t="inlineStr">
        <is>
          <t>Stück</t>
        </is>
      </c>
      <c r="N25" s="15" t="inlineStr">
        <is>
          <t>gebraucht</t>
        </is>
      </c>
      <c r="O25" s="19" t="n"/>
      <c r="P25" s="19" t="inlineStr">
        <is>
          <t>ja</t>
        </is>
      </c>
      <c r="Q25" s="19" t="n"/>
      <c r="R25" s="20" t="n"/>
      <c r="S25" s="20" t="n">
        <v>20</v>
      </c>
      <c r="T25" s="19" t="inlineStr">
        <is>
          <t>VHB</t>
        </is>
      </c>
      <c r="U25" s="21">
        <f>L25*S25</f>
        <v/>
      </c>
      <c r="V25" s="15" t="inlineStr">
        <is>
          <t>Versand möglich</t>
        </is>
      </c>
      <c r="W25" s="15" t="inlineStr">
        <is>
          <t>F-054</t>
        </is>
      </c>
      <c r="X25" s="19" t="inlineStr">
        <is>
          <t>ja</t>
        </is>
      </c>
      <c r="Y25" s="19" t="n"/>
      <c r="Z25" s="19" t="inlineStr">
        <is>
          <t>verfügbar</t>
        </is>
      </c>
      <c r="AA25" s="19" t="n"/>
      <c r="AB25" s="19" t="n"/>
      <c r="AC25" s="19" t="n"/>
      <c r="AD25" s="19" t="n"/>
      <c r="AE25" s="20" t="n"/>
      <c r="AF25" s="21">
        <f>IF(K25="","",K25*AE25)</f>
        <v/>
      </c>
      <c r="AG25" s="19" t="n"/>
      <c r="AH25" s="19" t="n"/>
      <c r="AI25" s="19" t="n"/>
      <c r="AJ25" s="19" t="n"/>
      <c r="AK25" s="19" t="n"/>
      <c r="AL25" s="19" t="n"/>
      <c r="AM25" s="16" t="inlineStr">
        <is>
          <t>2 Würfel. Sie stehen inzwischen im Atelier (BA08) – die Nummer BE01-03 bleibt.</t>
        </is>
      </c>
      <c r="AN25" s="22" t="n"/>
    </row>
    <row r="26" ht="30" customHeight="1">
      <c r="A26" s="15" t="inlineStr">
        <is>
          <t>BE06-01</t>
        </is>
      </c>
      <c r="B26" s="15" t="inlineStr">
        <is>
          <t>K-077</t>
        </is>
      </c>
      <c r="C26" s="15" t="n"/>
      <c r="D26" s="15" t="inlineStr">
        <is>
          <t>BE06</t>
        </is>
      </c>
      <c r="E26" s="15" t="inlineStr">
        <is>
          <t>Wandgestell Holz mit Schnüren</t>
        </is>
      </c>
      <c r="F26" s="16" t="inlineStr">
        <is>
          <t>Holzrahmen mit gespannten Schnüren und Wäscheklammern zum Aufhängen von Bildern</t>
        </is>
      </c>
      <c r="G26" s="15" t="inlineStr">
        <is>
          <t>Kita-Ausstattung</t>
        </is>
      </c>
      <c r="H26" s="15" t="inlineStr">
        <is>
          <t>Gruppenraum 2</t>
        </is>
      </c>
      <c r="I26" s="15" t="inlineStr">
        <is>
          <t>C</t>
        </is>
      </c>
      <c r="J26" s="17" t="n">
        <v>1</v>
      </c>
      <c r="K26" s="17" t="n"/>
      <c r="L26" s="18">
        <f>J26-IF(K26="",0,K26)</f>
        <v/>
      </c>
      <c r="M26" s="15" t="inlineStr">
        <is>
          <t>Stück</t>
        </is>
      </c>
      <c r="N26" s="15" t="inlineStr">
        <is>
          <t>gebraucht</t>
        </is>
      </c>
      <c r="O26" s="19" t="n"/>
      <c r="P26" s="19" t="inlineStr">
        <is>
          <t>ja</t>
        </is>
      </c>
      <c r="Q26" s="19" t="n"/>
      <c r="R26" s="20" t="n"/>
      <c r="S26" s="20" t="n">
        <v>35</v>
      </c>
      <c r="T26" s="19" t="inlineStr">
        <is>
          <t>VHB</t>
        </is>
      </c>
      <c r="U26" s="21">
        <f>L26*S26</f>
        <v/>
      </c>
      <c r="V26" s="15" t="inlineStr">
        <is>
          <t>nur Abholung</t>
        </is>
      </c>
      <c r="W26" s="15" t="inlineStr">
        <is>
          <t>F-042</t>
        </is>
      </c>
      <c r="X26" s="19" t="inlineStr">
        <is>
          <t>ja</t>
        </is>
      </c>
      <c r="Y26" s="19" t="n"/>
      <c r="Z26" s="19" t="inlineStr">
        <is>
          <t>verfügbar</t>
        </is>
      </c>
      <c r="AA26" s="19" t="n"/>
      <c r="AB26" s="19" t="n"/>
      <c r="AC26" s="19" t="n"/>
      <c r="AD26" s="19" t="n"/>
      <c r="AE26" s="20" t="n"/>
      <c r="AF26" s="21">
        <f>IF(K26="","",K26*AE26)</f>
        <v/>
      </c>
      <c r="AG26" s="19" t="n"/>
      <c r="AH26" s="19" t="n"/>
      <c r="AI26" s="19" t="n"/>
      <c r="AJ26" s="19" t="n"/>
      <c r="AK26" s="19" t="n"/>
      <c r="AL26" s="19" t="n"/>
      <c r="AM26" s="16" t="inlineStr">
        <is>
          <t>1 Stück im Bild</t>
        </is>
      </c>
      <c r="AN26" s="22" t="n"/>
    </row>
    <row r="27" ht="30" customHeight="1">
      <c r="A27" s="15" t="inlineStr">
        <is>
          <t>BE06-02</t>
        </is>
      </c>
      <c r="B27" s="15" t="inlineStr">
        <is>
          <t>K-078</t>
        </is>
      </c>
      <c r="C27" s="15" t="n"/>
      <c r="D27" s="15" t="inlineStr">
        <is>
          <t>BE06</t>
        </is>
      </c>
      <c r="E27" s="15" t="inlineStr">
        <is>
          <t>Designsofa anthrazit</t>
        </is>
      </c>
      <c r="F27" s="16" t="inlineStr">
        <is>
          <t>Geschwungene Form, Wollstoff anthrazit, dunkle Metallbeine, 3-Sitzer</t>
        </is>
      </c>
      <c r="G27" s="15" t="inlineStr">
        <is>
          <t>Möbel</t>
        </is>
      </c>
      <c r="H27" s="15" t="inlineStr">
        <is>
          <t>Gruppenraum 2</t>
        </is>
      </c>
      <c r="I27" s="15" t="inlineStr">
        <is>
          <t>A</t>
        </is>
      </c>
      <c r="J27" s="17" t="n">
        <v>1</v>
      </c>
      <c r="K27" s="17" t="n"/>
      <c r="L27" s="18">
        <f>J27-IF(K27="",0,K27)</f>
        <v/>
      </c>
      <c r="M27" s="15" t="inlineStr">
        <is>
          <t>Stück</t>
        </is>
      </c>
      <c r="N27" s="15" t="inlineStr">
        <is>
          <t>gebraucht</t>
        </is>
      </c>
      <c r="O27" s="19" t="n"/>
      <c r="P27" s="19" t="inlineStr">
        <is>
          <t>ja</t>
        </is>
      </c>
      <c r="Q27" s="19" t="n"/>
      <c r="R27" s="20" t="n"/>
      <c r="S27" s="20" t="n">
        <v>450</v>
      </c>
      <c r="T27" s="19" t="inlineStr">
        <is>
          <t>VHB</t>
        </is>
      </c>
      <c r="U27" s="21">
        <f>L27*S27</f>
        <v/>
      </c>
      <c r="V27" s="15" t="inlineStr">
        <is>
          <t>nur Abholung</t>
        </is>
      </c>
      <c r="W27" s="15" t="inlineStr">
        <is>
          <t>F-043</t>
        </is>
      </c>
      <c r="X27" s="19" t="inlineStr">
        <is>
          <t>ja</t>
        </is>
      </c>
      <c r="Y27" s="19" t="n"/>
      <c r="Z27" s="19" t="inlineStr">
        <is>
          <t>verfügbar</t>
        </is>
      </c>
      <c r="AA27" s="19" t="n"/>
      <c r="AB27" s="19" t="n"/>
      <c r="AC27" s="19" t="n"/>
      <c r="AD27" s="19" t="n"/>
      <c r="AE27" s="20" t="n"/>
      <c r="AF27" s="21">
        <f>IF(K27="","",K27*AE27)</f>
        <v/>
      </c>
      <c r="AG27" s="19" t="n"/>
      <c r="AH27" s="19" t="n"/>
      <c r="AI27" s="19" t="n"/>
      <c r="AJ27" s="19" t="n"/>
      <c r="AK27" s="19" t="n"/>
      <c r="AL27" s="19" t="n"/>
      <c r="AM27" s="16" t="inlineStr">
        <is>
          <t>1 Sofa im Bild</t>
        </is>
      </c>
      <c r="AN27" s="22" t="n"/>
    </row>
    <row r="28" ht="30" customHeight="1">
      <c r="A28" s="15" t="inlineStr">
        <is>
          <t>BE10-01</t>
        </is>
      </c>
      <c r="B28" s="15" t="inlineStr">
        <is>
          <t>K-036</t>
        </is>
      </c>
      <c r="C28" s="15" t="n"/>
      <c r="D28" s="15" t="inlineStr">
        <is>
          <t>BE10</t>
        </is>
      </c>
      <c r="E28" s="15" t="inlineStr">
        <is>
          <t>LED-Ring-Pendelleuchte</t>
        </is>
      </c>
      <c r="F28" s="16" t="inlineStr">
        <is>
          <t>Große Pendelleuchte: mehrere beleuchtete Ringe in unterschiedlichen Größen an dünnen Seilen, an einem gemeinsamen Deckenbaldachin.</t>
        </is>
      </c>
      <c r="G28" s="15" t="inlineStr">
        <is>
          <t>Leuchten</t>
        </is>
      </c>
      <c r="H28" s="15" t="inlineStr">
        <is>
          <t>Büro / Besprechung</t>
        </is>
      </c>
      <c r="I28" s="15" t="inlineStr">
        <is>
          <t>A</t>
        </is>
      </c>
      <c r="J28" s="17" t="n">
        <v>4</v>
      </c>
      <c r="K28" s="17" t="n"/>
      <c r="L28" s="18">
        <f>J28-IF(K28="",0,K28)</f>
        <v/>
      </c>
      <c r="M28" s="15" t="inlineStr">
        <is>
          <t>Stück</t>
        </is>
      </c>
      <c r="N28" s="15" t="inlineStr">
        <is>
          <t>gut</t>
        </is>
      </c>
      <c r="O28" s="19" t="n"/>
      <c r="P28" s="19" t="inlineStr">
        <is>
          <t>ja</t>
        </is>
      </c>
      <c r="Q28" s="19" t="n"/>
      <c r="R28" s="20" t="n"/>
      <c r="S28" s="20" t="n">
        <v>450</v>
      </c>
      <c r="T28" s="19" t="inlineStr">
        <is>
          <t>VHB</t>
        </is>
      </c>
      <c r="U28" s="21">
        <f>L28*S28</f>
        <v/>
      </c>
      <c r="V28" s="15" t="inlineStr">
        <is>
          <t>nur Abholung</t>
        </is>
      </c>
      <c r="W28" s="15" t="inlineStr">
        <is>
          <t>F-021</t>
        </is>
      </c>
      <c r="X28" s="19" t="inlineStr">
        <is>
          <t>ja</t>
        </is>
      </c>
      <c r="Y28" s="19" t="n"/>
      <c r="Z28" s="19" t="inlineStr">
        <is>
          <t>verfügbar</t>
        </is>
      </c>
      <c r="AA28" s="19" t="n"/>
      <c r="AB28" s="19" t="n"/>
      <c r="AC28" s="19" t="n"/>
      <c r="AD28" s="19" t="n"/>
      <c r="AE28" s="20" t="n"/>
      <c r="AF28" s="21">
        <f>IF(K28="","",K28*AE28)</f>
        <v/>
      </c>
      <c r="AG28" s="19" t="n"/>
      <c r="AH28" s="19" t="n"/>
      <c r="AI28" s="19" t="n"/>
      <c r="AJ28" s="19" t="n"/>
      <c r="AK28" s="19" t="n"/>
      <c r="AL28" s="19" t="n"/>
      <c r="AM28" s="16" t="inlineStr">
        <is>
          <t>4 Leuchten laut Erfassungsblatt. Auf dem Foto ist eine davon zu sehen.</t>
        </is>
      </c>
      <c r="AN28" s="22" t="inlineStr">
        <is>
          <t>OFFEN: Stueckzahl pruefen. Auf dem Erfassungsblatt ist die gedruckte 1 durchgestrichen und 4 eingetragen. Auf Foto F-021 haengt eine Leuchte aus vier Ringen an einem Baldachin - moeglich, dass die 4 die Ringe meint und nicht vier Leuchten. Bei 450 EUR je Stueck geht es um 1.350 EUR Unterschied.</t>
        </is>
      </c>
    </row>
    <row r="29" ht="30" customHeight="1">
      <c r="A29" s="15" t="inlineStr">
        <is>
          <t>BE10-02</t>
        </is>
      </c>
      <c r="B29" s="15" t="inlineStr">
        <is>
          <t>K-040</t>
        </is>
      </c>
      <c r="C29" s="15" t="n"/>
      <c r="D29" s="15" t="inlineStr">
        <is>
          <t>BE10</t>
        </is>
      </c>
      <c r="E29" s="15" t="inlineStr">
        <is>
          <t>Pachira groß im Übertopf</t>
        </is>
      </c>
      <c r="F29" s="16" t="inlineStr">
        <is>
          <t>Glückskastanie, große Pflanze, weißer Übertopf</t>
        </is>
      </c>
      <c r="G29" s="15" t="inlineStr">
        <is>
          <t>Pflanzen</t>
        </is>
      </c>
      <c r="H29" s="15" t="inlineStr">
        <is>
          <t>Büro / Besprechung</t>
        </is>
      </c>
      <c r="I29" s="15" t="inlineStr">
        <is>
          <t>C</t>
        </is>
      </c>
      <c r="J29" s="17" t="n">
        <v>1</v>
      </c>
      <c r="K29" s="17" t="n"/>
      <c r="L29" s="18">
        <f>J29-IF(K29="",0,K29)</f>
        <v/>
      </c>
      <c r="M29" s="15" t="inlineStr">
        <is>
          <t>Stück</t>
        </is>
      </c>
      <c r="N29" s="15" t="inlineStr">
        <is>
          <t>gut</t>
        </is>
      </c>
      <c r="O29" s="19" t="n"/>
      <c r="P29" s="19" t="inlineStr">
        <is>
          <t>ja</t>
        </is>
      </c>
      <c r="Q29" s="19" t="n"/>
      <c r="R29" s="20" t="n"/>
      <c r="S29" s="20" t="n">
        <v>80</v>
      </c>
      <c r="T29" s="19" t="inlineStr">
        <is>
          <t>VHB</t>
        </is>
      </c>
      <c r="U29" s="21">
        <f>L29*S29</f>
        <v/>
      </c>
      <c r="V29" s="15" t="inlineStr">
        <is>
          <t>nur Abholung</t>
        </is>
      </c>
      <c r="W29" s="15" t="inlineStr">
        <is>
          <t>F-025</t>
        </is>
      </c>
      <c r="X29" s="19" t="inlineStr">
        <is>
          <t>ja</t>
        </is>
      </c>
      <c r="Y29" s="19" t="n"/>
      <c r="Z29" s="19" t="inlineStr">
        <is>
          <t>verfügbar</t>
        </is>
      </c>
      <c r="AA29" s="19" t="n"/>
      <c r="AB29" s="19" t="n"/>
      <c r="AC29" s="19" t="n"/>
      <c r="AD29" s="19" t="n"/>
      <c r="AE29" s="20" t="n"/>
      <c r="AF29" s="21">
        <f>IF(K29="","",K29*AE29)</f>
        <v/>
      </c>
      <c r="AG29" s="19" t="n"/>
      <c r="AH29" s="19" t="n"/>
      <c r="AI29" s="19" t="n"/>
      <c r="AJ29" s="19" t="n"/>
      <c r="AK29" s="19" t="n"/>
      <c r="AL29" s="19" t="n"/>
      <c r="AM29" s="16" t="inlineStr">
        <is>
          <t>1 Pflanze im Bild</t>
        </is>
      </c>
      <c r="AN29" s="22" t="n"/>
    </row>
    <row r="30" ht="30" customHeight="1">
      <c r="A30" s="15" t="inlineStr">
        <is>
          <t>BE10-03</t>
        </is>
      </c>
      <c r="B30" s="15" t="inlineStr">
        <is>
          <t>K-042</t>
        </is>
      </c>
      <c r="C30" s="15" t="n"/>
      <c r="D30" s="15" t="inlineStr">
        <is>
          <t>BE10</t>
        </is>
      </c>
      <c r="E30" s="15" t="inlineStr">
        <is>
          <t>Moderationswand fahrbar</t>
        </is>
      </c>
      <c r="F30" s="16" t="inlineStr">
        <is>
          <t>Pinnwand/Stellwand grau, auf Rollen, beidseitig</t>
        </is>
      </c>
      <c r="G30" s="15" t="inlineStr">
        <is>
          <t>Büro</t>
        </is>
      </c>
      <c r="H30" s="15" t="inlineStr">
        <is>
          <t>Büro / Besprechung</t>
        </is>
      </c>
      <c r="I30" s="15" t="inlineStr">
        <is>
          <t>B</t>
        </is>
      </c>
      <c r="J30" s="17" t="n">
        <v>1</v>
      </c>
      <c r="K30" s="17" t="n"/>
      <c r="L30" s="18">
        <f>J30-IF(K30="",0,K30)</f>
        <v/>
      </c>
      <c r="M30" s="15" t="inlineStr">
        <is>
          <t>Stück</t>
        </is>
      </c>
      <c r="N30" s="15" t="inlineStr">
        <is>
          <t>gut</t>
        </is>
      </c>
      <c r="O30" s="19" t="n"/>
      <c r="P30" s="19" t="inlineStr">
        <is>
          <t>ja</t>
        </is>
      </c>
      <c r="Q30" s="19" t="n"/>
      <c r="R30" s="20" t="n"/>
      <c r="S30" s="20" t="n">
        <v>110</v>
      </c>
      <c r="T30" s="19" t="inlineStr">
        <is>
          <t>VHB</t>
        </is>
      </c>
      <c r="U30" s="21">
        <f>L30*S30</f>
        <v/>
      </c>
      <c r="V30" s="15" t="inlineStr">
        <is>
          <t>nur Abholung</t>
        </is>
      </c>
      <c r="W30" s="15" t="inlineStr">
        <is>
          <t>F-026</t>
        </is>
      </c>
      <c r="X30" s="19" t="inlineStr">
        <is>
          <t>ja</t>
        </is>
      </c>
      <c r="Y30" s="19" t="n"/>
      <c r="Z30" s="19" t="inlineStr">
        <is>
          <t>verfügbar</t>
        </is>
      </c>
      <c r="AA30" s="19" t="n"/>
      <c r="AB30" s="19" t="n"/>
      <c r="AC30" s="19" t="n"/>
      <c r="AD30" s="19" t="n"/>
      <c r="AE30" s="20" t="n"/>
      <c r="AF30" s="21">
        <f>IF(K30="","",K30*AE30)</f>
        <v/>
      </c>
      <c r="AG30" s="19" t="n"/>
      <c r="AH30" s="19" t="n"/>
      <c r="AI30" s="19" t="n"/>
      <c r="AJ30" s="19" t="n"/>
      <c r="AK30" s="19" t="n"/>
      <c r="AL30" s="19" t="n"/>
      <c r="AM30" s="16" t="inlineStr">
        <is>
          <t>1 Stück im Bild</t>
        </is>
      </c>
      <c r="AN30" s="22" t="n"/>
    </row>
    <row r="31" ht="30" customHeight="1">
      <c r="A31" s="15" t="inlineStr">
        <is>
          <t>BE10-04</t>
        </is>
      </c>
      <c r="B31" s="15" t="inlineStr">
        <is>
          <t>K-043</t>
        </is>
      </c>
      <c r="C31" s="15" t="n"/>
      <c r="D31" s="15" t="inlineStr">
        <is>
          <t>BE10</t>
        </is>
      </c>
      <c r="E31" s="15" t="inlineStr">
        <is>
          <t>Besprechungstisch weiß, groß</t>
        </is>
      </c>
      <c r="F31" s="16" t="inlineStr">
        <is>
          <t>Konferenztisch, weiße Platte, für ca. 8-10 Personen</t>
        </is>
      </c>
      <c r="G31" s="15" t="inlineStr">
        <is>
          <t>Büro</t>
        </is>
      </c>
      <c r="H31" s="15" t="inlineStr">
        <is>
          <t>Büro / Besprechung</t>
        </is>
      </c>
      <c r="I31" s="15" t="inlineStr">
        <is>
          <t>B</t>
        </is>
      </c>
      <c r="J31" s="17" t="n">
        <v>1</v>
      </c>
      <c r="K31" s="17" t="n"/>
      <c r="L31" s="18">
        <f>J31-IF(K31="",0,K31)</f>
        <v/>
      </c>
      <c r="M31" s="15" t="inlineStr">
        <is>
          <t>Stück</t>
        </is>
      </c>
      <c r="N31" s="15" t="inlineStr">
        <is>
          <t>gut</t>
        </is>
      </c>
      <c r="O31" s="19" t="n"/>
      <c r="P31" s="19" t="inlineStr">
        <is>
          <t>ja</t>
        </is>
      </c>
      <c r="Q31" s="19" t="n"/>
      <c r="R31" s="20" t="n"/>
      <c r="S31" s="20" t="n">
        <v>280</v>
      </c>
      <c r="T31" s="19" t="inlineStr">
        <is>
          <t>VHB</t>
        </is>
      </c>
      <c r="U31" s="21">
        <f>L31*S31</f>
        <v/>
      </c>
      <c r="V31" s="15" t="inlineStr">
        <is>
          <t>nur Abholung</t>
        </is>
      </c>
      <c r="W31" s="15" t="inlineStr">
        <is>
          <t>F-027</t>
        </is>
      </c>
      <c r="X31" s="19" t="inlineStr">
        <is>
          <t>ja</t>
        </is>
      </c>
      <c r="Y31" s="19" t="n"/>
      <c r="Z31" s="19" t="inlineStr">
        <is>
          <t>verfügbar</t>
        </is>
      </c>
      <c r="AA31" s="19" t="n"/>
      <c r="AB31" s="19" t="n"/>
      <c r="AC31" s="19" t="n"/>
      <c r="AD31" s="19" t="n"/>
      <c r="AE31" s="20" t="n"/>
      <c r="AF31" s="21">
        <f>IF(K31="","",K31*AE31)</f>
        <v/>
      </c>
      <c r="AG31" s="19" t="n"/>
      <c r="AH31" s="19" t="n"/>
      <c r="AI31" s="19" t="n"/>
      <c r="AJ31" s="19" t="n"/>
      <c r="AK31" s="19" t="n"/>
      <c r="AL31" s="19" t="n"/>
      <c r="AM31" s="16" t="inlineStr">
        <is>
          <t>1 Tisch im Bild</t>
        </is>
      </c>
      <c r="AN31" s="22" t="n"/>
    </row>
    <row r="32" ht="30" customHeight="1">
      <c r="A32" s="15" t="inlineStr">
        <is>
          <t>BU04-01</t>
        </is>
      </c>
      <c r="B32" s="15" t="inlineStr">
        <is>
          <t>K-110</t>
        </is>
      </c>
      <c r="C32" s="15" t="n"/>
      <c r="D32" s="15" t="inlineStr">
        <is>
          <t>BU04</t>
        </is>
      </c>
      <c r="E32" s="15" t="inlineStr">
        <is>
          <t>Crassula im Topf</t>
        </is>
      </c>
      <c r="F32" s="16" t="inlineStr">
        <is>
          <t>Geldbaum, Zimmerpflanze im weißen Topf</t>
        </is>
      </c>
      <c r="G32" s="15" t="inlineStr">
        <is>
          <t>Pflanzen</t>
        </is>
      </c>
      <c r="H32" s="15" t="inlineStr">
        <is>
          <t>Gruppenraum</t>
        </is>
      </c>
      <c r="I32" s="15" t="inlineStr">
        <is>
          <t>C</t>
        </is>
      </c>
      <c r="J32" s="17" t="n">
        <v>1</v>
      </c>
      <c r="K32" s="17" t="n"/>
      <c r="L32" s="18">
        <f>J32-IF(K32="",0,K32)</f>
        <v/>
      </c>
      <c r="M32" s="15" t="inlineStr">
        <is>
          <t>Stück</t>
        </is>
      </c>
      <c r="N32" s="15" t="inlineStr">
        <is>
          <t>gut</t>
        </is>
      </c>
      <c r="O32" s="19" t="n"/>
      <c r="P32" s="19" t="inlineStr">
        <is>
          <t>ja</t>
        </is>
      </c>
      <c r="Q32" s="19" t="n"/>
      <c r="R32" s="20" t="n"/>
      <c r="S32" s="20" t="n">
        <v>30</v>
      </c>
      <c r="T32" s="19" t="inlineStr">
        <is>
          <t>VHB</t>
        </is>
      </c>
      <c r="U32" s="21">
        <f>L32*S32</f>
        <v/>
      </c>
      <c r="V32" s="15" t="inlineStr">
        <is>
          <t>nur Abholung</t>
        </is>
      </c>
      <c r="W32" s="15" t="inlineStr">
        <is>
          <t>F-078</t>
        </is>
      </c>
      <c r="X32" s="19" t="inlineStr">
        <is>
          <t>ja</t>
        </is>
      </c>
      <c r="Y32" s="19" t="n"/>
      <c r="Z32" s="19" t="inlineStr">
        <is>
          <t>verfügbar</t>
        </is>
      </c>
      <c r="AA32" s="19" t="n"/>
      <c r="AB32" s="19" t="n"/>
      <c r="AC32" s="19" t="n"/>
      <c r="AD32" s="19" t="n"/>
      <c r="AE32" s="20" t="n"/>
      <c r="AF32" s="21">
        <f>IF(K32="","",K32*AE32)</f>
        <v/>
      </c>
      <c r="AG32" s="19" t="n"/>
      <c r="AH32" s="19" t="n"/>
      <c r="AI32" s="19" t="n"/>
      <c r="AJ32" s="19" t="n"/>
      <c r="AK32" s="19" t="n"/>
      <c r="AL32" s="19" t="n"/>
      <c r="AM32" s="16" t="inlineStr">
        <is>
          <t>1 Pflanze im Bild</t>
        </is>
      </c>
      <c r="AN32" s="22" t="n"/>
    </row>
    <row r="33" ht="30" customHeight="1">
      <c r="A33" s="15" t="inlineStr">
        <is>
          <t>BU04-02</t>
        </is>
      </c>
      <c r="B33" s="15" t="inlineStr">
        <is>
          <t>K-113</t>
        </is>
      </c>
      <c r="C33" s="15" t="n"/>
      <c r="D33" s="15" t="inlineStr">
        <is>
          <t>BU04</t>
        </is>
      </c>
      <c r="E33" s="15" t="inlineStr">
        <is>
          <t>Pflanzkübel Raumteiler weiß Hochglanz</t>
        </is>
      </c>
      <c r="F33" s="16" t="inlineStr">
        <is>
          <t>Rechteckiger Pflanzkübel als Raumteiler, weiß hochglanz, ca. 80 x 30 x 80 cm</t>
        </is>
      </c>
      <c r="G33" s="15" t="inlineStr">
        <is>
          <t>Pflanzen</t>
        </is>
      </c>
      <c r="H33" s="15" t="inlineStr">
        <is>
          <t>Gruppenraum</t>
        </is>
      </c>
      <c r="I33" s="15" t="inlineStr">
        <is>
          <t>B</t>
        </is>
      </c>
      <c r="J33" s="17" t="n">
        <v>1</v>
      </c>
      <c r="K33" s="17" t="n"/>
      <c r="L33" s="18">
        <f>J33-IF(K33="",0,K33)</f>
        <v/>
      </c>
      <c r="M33" s="15" t="inlineStr">
        <is>
          <t>Stück</t>
        </is>
      </c>
      <c r="N33" s="15" t="inlineStr">
        <is>
          <t>gut</t>
        </is>
      </c>
      <c r="O33" s="19" t="n"/>
      <c r="P33" s="19" t="inlineStr">
        <is>
          <t>ja</t>
        </is>
      </c>
      <c r="Q33" s="19" t="n"/>
      <c r="R33" s="20" t="n"/>
      <c r="S33" s="20" t="n">
        <v>220</v>
      </c>
      <c r="T33" s="19" t="inlineStr">
        <is>
          <t>VHB</t>
        </is>
      </c>
      <c r="U33" s="21">
        <f>L33*S33</f>
        <v/>
      </c>
      <c r="V33" s="15" t="inlineStr">
        <is>
          <t>nur Abholung</t>
        </is>
      </c>
      <c r="W33" s="15" t="inlineStr">
        <is>
          <t>F-079</t>
        </is>
      </c>
      <c r="X33" s="19" t="inlineStr">
        <is>
          <t>ja</t>
        </is>
      </c>
      <c r="Y33" s="19" t="n"/>
      <c r="Z33" s="19" t="inlineStr">
        <is>
          <t>verfügbar</t>
        </is>
      </c>
      <c r="AA33" s="19" t="n"/>
      <c r="AB33" s="19" t="n"/>
      <c r="AC33" s="19" t="n"/>
      <c r="AD33" s="19" t="n"/>
      <c r="AE33" s="20" t="n"/>
      <c r="AF33" s="21">
        <f>IF(K33="","",K33*AE33)</f>
        <v/>
      </c>
      <c r="AG33" s="19" t="n"/>
      <c r="AH33" s="19" t="n"/>
      <c r="AI33" s="19" t="n"/>
      <c r="AJ33" s="19" t="n"/>
      <c r="AK33" s="19" t="n"/>
      <c r="AL33" s="19" t="n"/>
      <c r="AM33" s="16" t="inlineStr">
        <is>
          <t>1 Kübel einschließlich Bepflanzung. Der Kübel steht inzwischen im Schlafraum 5 (NU04) – die Nummer BU04-02 bleibt.</t>
        </is>
      </c>
      <c r="AN33" s="22" t="n"/>
    </row>
    <row r="34" ht="30" customHeight="1">
      <c r="A34" s="15" t="inlineStr">
        <is>
          <t>BU04-03</t>
        </is>
      </c>
      <c r="B34" s="15" t="inlineStr">
        <is>
          <t>K-115</t>
        </is>
      </c>
      <c r="C34" s="15" t="inlineStr">
        <is>
          <t>NU02-10</t>
        </is>
      </c>
      <c r="D34" s="15" t="inlineStr">
        <is>
          <t>BU04</t>
        </is>
      </c>
      <c r="E34" s="15" t="inlineStr">
        <is>
          <t>Hochflorteppich beige, rund</t>
        </is>
      </c>
      <c r="F34" s="16" t="inlineStr">
        <is>
          <t>Runder Hochflorteppich in Beige, 100 % Polypropylen, Flor hoch. Etikett auf der Unterseite: IKEA, 195 cm Durchmesser, 9,85 kg.</t>
        </is>
      </c>
      <c r="G34" s="15" t="inlineStr">
        <is>
          <t>Textilien</t>
        </is>
      </c>
      <c r="H34" s="15" t="inlineStr">
        <is>
          <t>Gruppenraum</t>
        </is>
      </c>
      <c r="I34" s="15" t="inlineStr">
        <is>
          <t>C</t>
        </is>
      </c>
      <c r="J34" s="17" t="n">
        <v>2</v>
      </c>
      <c r="K34" s="17" t="n"/>
      <c r="L34" s="18">
        <f>J34-IF(K34="",0,K34)</f>
        <v/>
      </c>
      <c r="M34" s="15" t="inlineStr">
        <is>
          <t>Stück</t>
        </is>
      </c>
      <c r="N34" s="15" t="inlineStr">
        <is>
          <t>gebraucht</t>
        </is>
      </c>
      <c r="O34" s="19" t="inlineStr">
        <is>
          <t>Ø 195 cm</t>
        </is>
      </c>
      <c r="P34" s="19" t="inlineStr">
        <is>
          <t>ja</t>
        </is>
      </c>
      <c r="Q34" s="19" t="n"/>
      <c r="R34" s="20" t="n"/>
      <c r="S34" s="20" t="n">
        <v>40</v>
      </c>
      <c r="T34" s="19" t="inlineStr">
        <is>
          <t>VHB</t>
        </is>
      </c>
      <c r="U34" s="21">
        <f>L34*S34</f>
        <v/>
      </c>
      <c r="V34" s="15" t="inlineStr">
        <is>
          <t>Versand möglich</t>
        </is>
      </c>
      <c r="W34" s="15" t="inlineStr">
        <is>
          <t>F-150</t>
        </is>
      </c>
      <c r="X34" s="19" t="inlineStr">
        <is>
          <t>ja</t>
        </is>
      </c>
      <c r="Y34" s="19" t="n"/>
      <c r="Z34" s="19" t="inlineStr">
        <is>
          <t>verfügbar</t>
        </is>
      </c>
      <c r="AA34" s="19" t="inlineStr">
        <is>
          <t>IKEA</t>
        </is>
      </c>
      <c r="AB34" s="19" t="n"/>
      <c r="AC34" s="19" t="n"/>
      <c r="AD34" s="19" t="n"/>
      <c r="AE34" s="20" t="n"/>
      <c r="AF34" s="21">
        <f>IF(K34="","",K34*AE34)</f>
        <v/>
      </c>
      <c r="AG34" s="19" t="n"/>
      <c r="AH34" s="19" t="n"/>
      <c r="AI34" s="19" t="n"/>
      <c r="AJ34" s="19" t="n"/>
      <c r="AK34" s="19" t="n"/>
      <c r="AL34" s="19" t="n"/>
      <c r="AM34" s="16" t="inlineStr">
        <is>
          <t>2 Teppiche insgesamt: einer im Gruppenraum (BU04-03) und einer im Gruppenraum 5 (dort mit NU02-10 beschriftet).</t>
        </is>
      </c>
      <c r="AN34" s="22" t="inlineStr">
        <is>
          <t>Zusammengefasste Position – Post-it-Nummer im zweiten Raum: NU02-10.</t>
        </is>
      </c>
    </row>
    <row r="35" ht="30" customHeight="1">
      <c r="A35" s="15" t="inlineStr">
        <is>
          <t>BU04-04</t>
        </is>
      </c>
      <c r="B35" s="15" t="inlineStr">
        <is>
          <t>K-116</t>
        </is>
      </c>
      <c r="C35" s="15" t="inlineStr">
        <is>
          <t>NU02-06</t>
        </is>
      </c>
      <c r="D35" s="15" t="inlineStr">
        <is>
          <t>BU04</t>
        </is>
      </c>
      <c r="E35" s="15" t="inlineStr">
        <is>
          <t>Regal weiß, 4 Fächer (IKEA Kallax)</t>
        </is>
      </c>
      <c r="F35" s="16" t="inlineStr">
        <is>
          <t>IKEA Kallax 2x2, weiß, vier Fächer.</t>
        </is>
      </c>
      <c r="G35" s="15" t="inlineStr">
        <is>
          <t>Möbel</t>
        </is>
      </c>
      <c r="H35" s="15" t="inlineStr">
        <is>
          <t>Gruppenraum</t>
        </is>
      </c>
      <c r="I35" s="15" t="inlineStr">
        <is>
          <t>B</t>
        </is>
      </c>
      <c r="J35" s="17" t="n">
        <v>4</v>
      </c>
      <c r="K35" s="17" t="n"/>
      <c r="L35" s="18">
        <f>J35-IF(K35="",0,K35)</f>
        <v/>
      </c>
      <c r="M35" s="15" t="inlineStr">
        <is>
          <t>Stück</t>
        </is>
      </c>
      <c r="N35" s="15" t="inlineStr">
        <is>
          <t>gebraucht</t>
        </is>
      </c>
      <c r="O35" s="19" t="n"/>
      <c r="P35" s="19" t="inlineStr">
        <is>
          <t>ja</t>
        </is>
      </c>
      <c r="Q35" s="19" t="n"/>
      <c r="R35" s="20" t="n"/>
      <c r="S35" s="20" t="n">
        <v>30</v>
      </c>
      <c r="T35" s="19" t="inlineStr">
        <is>
          <t>VHB</t>
        </is>
      </c>
      <c r="U35" s="21">
        <f>L35*S35</f>
        <v/>
      </c>
      <c r="V35" s="15" t="inlineStr">
        <is>
          <t>nur Abholung</t>
        </is>
      </c>
      <c r="W35" s="15" t="inlineStr">
        <is>
          <t>F-080</t>
        </is>
      </c>
      <c r="X35" s="19" t="inlineStr">
        <is>
          <t>ja</t>
        </is>
      </c>
      <c r="Y35" s="19" t="n"/>
      <c r="Z35" s="19" t="inlineStr">
        <is>
          <t>verfügbar</t>
        </is>
      </c>
      <c r="AA35" s="19" t="inlineStr">
        <is>
          <t>IKEA</t>
        </is>
      </c>
      <c r="AB35" s="19" t="n"/>
      <c r="AC35" s="19" t="n"/>
      <c r="AD35" s="19" t="n"/>
      <c r="AE35" s="20" t="n"/>
      <c r="AF35" s="21">
        <f>IF(K35="","",K35*AE35)</f>
        <v/>
      </c>
      <c r="AG35" s="19" t="n"/>
      <c r="AH35" s="19" t="n"/>
      <c r="AI35" s="19" t="n"/>
      <c r="AJ35" s="19" t="n"/>
      <c r="AK35" s="19" t="n"/>
      <c r="AL35" s="19" t="n"/>
      <c r="AM35" s="16" t="inlineStr">
        <is>
          <t>4 Regale insgesamt: 2 im Gruppenraum (BU04-04) und 2 im Gruppenraum 5 (dort mit NU02-06 beschriftet).</t>
        </is>
      </c>
      <c r="AN35" s="22" t="inlineStr">
        <is>
          <t>Zusammengefasste Position – Post-it-Nummer im zweiten Raum: NU02-06.</t>
        </is>
      </c>
    </row>
    <row r="36" ht="30" customHeight="1">
      <c r="A36" s="15" t="inlineStr">
        <is>
          <t>BU04-16</t>
        </is>
      </c>
      <c r="B36" s="15" t="inlineStr">
        <is>
          <t>K-117</t>
        </is>
      </c>
      <c r="C36" s="15" t="n"/>
      <c r="D36" s="15" t="inlineStr">
        <is>
          <t>BU04</t>
        </is>
      </c>
      <c r="E36" s="15" t="inlineStr">
        <is>
          <t>Wanddeko Fadenbilder mit Spiegelpunkten</t>
        </is>
      </c>
      <c r="F36" s="16" t="inlineStr">
        <is>
          <t>Fadenbilder auf Holzreifen, dazu runde Spiegelelemente</t>
        </is>
      </c>
      <c r="G36" s="15" t="inlineStr">
        <is>
          <t>Deko</t>
        </is>
      </c>
      <c r="H36" s="15" t="inlineStr">
        <is>
          <t>Gruppenraum</t>
        </is>
      </c>
      <c r="I36" s="15" t="inlineStr">
        <is>
          <t>C</t>
        </is>
      </c>
      <c r="J36" s="17" t="n">
        <v>1</v>
      </c>
      <c r="K36" s="17" t="n"/>
      <c r="L36" s="18">
        <f>J36-IF(K36="",0,K36)</f>
        <v/>
      </c>
      <c r="M36" s="15" t="inlineStr">
        <is>
          <t>Set</t>
        </is>
      </c>
      <c r="N36" s="15" t="inlineStr">
        <is>
          <t>gut</t>
        </is>
      </c>
      <c r="O36" s="19" t="n"/>
      <c r="P36" s="19" t="inlineStr">
        <is>
          <t>nein</t>
        </is>
      </c>
      <c r="Q36" s="19" t="n"/>
      <c r="R36" s="20" t="n"/>
      <c r="S36" s="20" t="n">
        <v>40</v>
      </c>
      <c r="T36" s="19" t="inlineStr">
        <is>
          <t>VHB</t>
        </is>
      </c>
      <c r="U36" s="21">
        <f>L36*S36</f>
        <v/>
      </c>
      <c r="V36" s="15" t="inlineStr">
        <is>
          <t>nur Abholung</t>
        </is>
      </c>
      <c r="W36" s="15" t="inlineStr">
        <is>
          <t>F-081</t>
        </is>
      </c>
      <c r="X36" s="19" t="inlineStr">
        <is>
          <t>nein</t>
        </is>
      </c>
      <c r="Y36" s="19" t="n"/>
      <c r="Z36" s="19" t="inlineStr">
        <is>
          <t>entfällt</t>
        </is>
      </c>
      <c r="AA36" s="19" t="n"/>
      <c r="AB36" s="19" t="n"/>
      <c r="AC36" s="19" t="n"/>
      <c r="AD36" s="19" t="n"/>
      <c r="AE36" s="20" t="n"/>
      <c r="AF36" s="21">
        <f>IF(K36="","",K36*AE36)</f>
        <v/>
      </c>
      <c r="AG36" s="19" t="n"/>
      <c r="AH36" s="19" t="n"/>
      <c r="AI36" s="19" t="n"/>
      <c r="AJ36" s="19" t="n"/>
      <c r="AK36" s="19" t="n"/>
      <c r="AL36" s="19" t="n"/>
      <c r="AM36" s="16" t="inlineStr">
        <is>
          <t>1 Set im Bild</t>
        </is>
      </c>
      <c r="AN36" s="22" t="inlineStr">
        <is>
          <t>Nicht mehr vorhanden – von der Nutzerin am 23.09.2026 bestaetigt. Frueher BU04-05 / K-117; die Nummer BU04-05 klebt jetzt auf den Hochstuehlen.</t>
        </is>
      </c>
    </row>
    <row r="37" ht="30" customHeight="1">
      <c r="A37" s="15" t="inlineStr">
        <is>
          <t>BU09-01</t>
        </is>
      </c>
      <c r="B37" s="15" t="inlineStr">
        <is>
          <t>K-118</t>
        </is>
      </c>
      <c r="C37" s="15" t="n"/>
      <c r="D37" s="15" t="inlineStr">
        <is>
          <t>BU09</t>
        </is>
      </c>
      <c r="E37" s="15" t="inlineStr">
        <is>
          <t>Wurzelholz-Schale groß</t>
        </is>
      </c>
      <c r="F37" s="16" t="inlineStr">
        <is>
          <t>Dekoschale aus einem Wurzelstück, Teak, ca. 50-60 cm</t>
        </is>
      </c>
      <c r="G37" s="15" t="inlineStr">
        <is>
          <t>Deko</t>
        </is>
      </c>
      <c r="H37" s="15" t="inlineStr">
        <is>
          <t>Werkraum</t>
        </is>
      </c>
      <c r="I37" s="15" t="inlineStr">
        <is>
          <t>B</t>
        </is>
      </c>
      <c r="J37" s="17" t="n">
        <v>1</v>
      </c>
      <c r="K37" s="17" t="n"/>
      <c r="L37" s="18">
        <f>J37-IF(K37="",0,K37)</f>
        <v/>
      </c>
      <c r="M37" s="15" t="inlineStr">
        <is>
          <t>Stück</t>
        </is>
      </c>
      <c r="N37" s="15" t="inlineStr">
        <is>
          <t>gut</t>
        </is>
      </c>
      <c r="O37" s="19" t="n"/>
      <c r="P37" s="19" t="inlineStr">
        <is>
          <t>ja</t>
        </is>
      </c>
      <c r="Q37" s="19" t="n"/>
      <c r="R37" s="20" t="n"/>
      <c r="S37" s="20" t="n">
        <v>90</v>
      </c>
      <c r="T37" s="19" t="inlineStr">
        <is>
          <t>VHB</t>
        </is>
      </c>
      <c r="U37" s="21">
        <f>L37*S37</f>
        <v/>
      </c>
      <c r="V37" s="15" t="inlineStr">
        <is>
          <t>nur Abholung</t>
        </is>
      </c>
      <c r="W37" s="15" t="inlineStr">
        <is>
          <t>F-082</t>
        </is>
      </c>
      <c r="X37" s="19" t="inlineStr">
        <is>
          <t>ja</t>
        </is>
      </c>
      <c r="Y37" s="19" t="n"/>
      <c r="Z37" s="19" t="inlineStr">
        <is>
          <t>verfügbar</t>
        </is>
      </c>
      <c r="AA37" s="19" t="n"/>
      <c r="AB37" s="19" t="n"/>
      <c r="AC37" s="19" t="n"/>
      <c r="AD37" s="19" t="n"/>
      <c r="AE37" s="20" t="n"/>
      <c r="AF37" s="21">
        <f>IF(K37="","",K37*AE37)</f>
        <v/>
      </c>
      <c r="AG37" s="19" t="n"/>
      <c r="AH37" s="19" t="n"/>
      <c r="AI37" s="19" t="n"/>
      <c r="AJ37" s="19" t="n"/>
      <c r="AK37" s="19" t="n"/>
      <c r="AL37" s="19" t="n"/>
      <c r="AM37" s="16" t="inlineStr">
        <is>
          <t>1 Stück im Bild</t>
        </is>
      </c>
      <c r="AN37" s="22" t="n"/>
    </row>
    <row r="38" ht="30" customHeight="1">
      <c r="A38" s="15" t="inlineStr">
        <is>
          <t>BU09-02</t>
        </is>
      </c>
      <c r="B38" s="15" t="inlineStr">
        <is>
          <t>K-119</t>
        </is>
      </c>
      <c r="C38" s="15" t="n"/>
      <c r="D38" s="15" t="inlineStr">
        <is>
          <t>BU09</t>
        </is>
      </c>
      <c r="E38" s="15" t="inlineStr">
        <is>
          <t>Konvolut Baumscheiben und Holzscheiben</t>
        </is>
      </c>
      <c r="F38" s="16" t="inlineStr">
        <is>
          <t>Baumscheiben verschiedener Größen und Holzarten, Bastelmaterial</t>
        </is>
      </c>
      <c r="G38" s="15" t="inlineStr">
        <is>
          <t>Verbrauchsmaterial</t>
        </is>
      </c>
      <c r="H38" s="15" t="inlineStr">
        <is>
          <t>Werkraum</t>
        </is>
      </c>
      <c r="I38" s="15" t="inlineStr">
        <is>
          <t>C</t>
        </is>
      </c>
      <c r="J38" s="17" t="n">
        <v>1</v>
      </c>
      <c r="K38" s="17" t="n"/>
      <c r="L38" s="18">
        <f>J38-IF(K38="",0,K38)</f>
        <v/>
      </c>
      <c r="M38" s="15" t="inlineStr">
        <is>
          <t>Konvolut</t>
        </is>
      </c>
      <c r="N38" s="15" t="inlineStr">
        <is>
          <t>gut</t>
        </is>
      </c>
      <c r="O38" s="19" t="n"/>
      <c r="P38" s="19" t="inlineStr">
        <is>
          <t>ja</t>
        </is>
      </c>
      <c r="Q38" s="19" t="n"/>
      <c r="R38" s="20" t="n"/>
      <c r="S38" s="20" t="n">
        <v>40</v>
      </c>
      <c r="T38" s="19" t="inlineStr">
        <is>
          <t>VHB</t>
        </is>
      </c>
      <c r="U38" s="21">
        <f>L38*S38</f>
        <v/>
      </c>
      <c r="V38" s="15" t="inlineStr">
        <is>
          <t>nur Abholung</t>
        </is>
      </c>
      <c r="W38" s="15" t="inlineStr">
        <is>
          <t>F-085</t>
        </is>
      </c>
      <c r="X38" s="19" t="inlineStr">
        <is>
          <t>ja</t>
        </is>
      </c>
      <c r="Y38" s="19" t="n"/>
      <c r="Z38" s="19" t="inlineStr">
        <is>
          <t>verfügbar</t>
        </is>
      </c>
      <c r="AA38" s="19" t="n"/>
      <c r="AB38" s="19" t="n"/>
      <c r="AC38" s="19" t="n"/>
      <c r="AD38" s="19" t="n"/>
      <c r="AE38" s="20" t="n"/>
      <c r="AF38" s="21">
        <f>IF(K38="","",K38*AE38)</f>
        <v/>
      </c>
      <c r="AG38" s="19" t="n"/>
      <c r="AH38" s="19" t="n"/>
      <c r="AI38" s="19" t="n"/>
      <c r="AJ38" s="19" t="n"/>
      <c r="AK38" s="19" t="n"/>
      <c r="AL38" s="19" t="n"/>
      <c r="AM38" s="16" t="inlineStr">
        <is>
          <t>mehrere Kisten im Bild</t>
        </is>
      </c>
      <c r="AN38" s="22" t="n"/>
    </row>
    <row r="39" ht="30" customHeight="1">
      <c r="A39" s="15" t="inlineStr">
        <is>
          <t>BU09-03</t>
        </is>
      </c>
      <c r="B39" s="15" t="inlineStr">
        <is>
          <t>K-120</t>
        </is>
      </c>
      <c r="C39" s="15" t="n"/>
      <c r="D39" s="15" t="inlineStr">
        <is>
          <t>BU09</t>
        </is>
      </c>
      <c r="E39" s="15" t="inlineStr">
        <is>
          <t>Kreidetafel in Hausform</t>
        </is>
      </c>
      <c r="F39" s="16" t="inlineStr">
        <is>
          <t>Tafelfolie/Kreidetafel in Hausform, beschriftbar</t>
        </is>
      </c>
      <c r="G39" s="15" t="inlineStr">
        <is>
          <t>Kita-Ausstattung</t>
        </is>
      </c>
      <c r="H39" s="15" t="inlineStr">
        <is>
          <t>Werkraum</t>
        </is>
      </c>
      <c r="I39" s="15" t="inlineStr">
        <is>
          <t>C</t>
        </is>
      </c>
      <c r="J39" s="17" t="n">
        <v>1</v>
      </c>
      <c r="K39" s="17" t="n"/>
      <c r="L39" s="18">
        <f>J39-IF(K39="",0,K39)</f>
        <v/>
      </c>
      <c r="M39" s="15" t="inlineStr">
        <is>
          <t>Stück</t>
        </is>
      </c>
      <c r="N39" s="15" t="inlineStr">
        <is>
          <t>gebraucht</t>
        </is>
      </c>
      <c r="O39" s="19" t="n"/>
      <c r="P39" s="19" t="inlineStr">
        <is>
          <t>ja</t>
        </is>
      </c>
      <c r="Q39" s="19" t="n"/>
      <c r="R39" s="20" t="n"/>
      <c r="S39" s="20" t="n">
        <v>25</v>
      </c>
      <c r="T39" s="19" t="inlineStr">
        <is>
          <t>VHB</t>
        </is>
      </c>
      <c r="U39" s="21">
        <f>L39*S39</f>
        <v/>
      </c>
      <c r="V39" s="15" t="inlineStr">
        <is>
          <t>Versand möglich</t>
        </is>
      </c>
      <c r="W39" s="15" t="inlineStr">
        <is>
          <t>F-089</t>
        </is>
      </c>
      <c r="X39" s="19" t="inlineStr">
        <is>
          <t>ja</t>
        </is>
      </c>
      <c r="Y39" s="19" t="n"/>
      <c r="Z39" s="19" t="inlineStr">
        <is>
          <t>verfügbar</t>
        </is>
      </c>
      <c r="AA39" s="19" t="n"/>
      <c r="AB39" s="19" t="n"/>
      <c r="AC39" s="19" t="n"/>
      <c r="AD39" s="19" t="n"/>
      <c r="AE39" s="20" t="n"/>
      <c r="AF39" s="21">
        <f>IF(K39="","",K39*AE39)</f>
        <v/>
      </c>
      <c r="AG39" s="19" t="n"/>
      <c r="AH39" s="19" t="n"/>
      <c r="AI39" s="19" t="n"/>
      <c r="AJ39" s="19" t="n"/>
      <c r="AK39" s="19" t="n"/>
      <c r="AL39" s="19" t="n"/>
      <c r="AM39" s="16" t="inlineStr">
        <is>
          <t>1 Stück im Bild</t>
        </is>
      </c>
      <c r="AN39" s="22" t="n"/>
    </row>
    <row r="40" ht="30" customHeight="1">
      <c r="A40" s="15" t="inlineStr">
        <is>
          <t>GA01-01</t>
        </is>
      </c>
      <c r="B40" s="15" t="inlineStr">
        <is>
          <t>K-142</t>
        </is>
      </c>
      <c r="C40" s="15" t="n"/>
      <c r="D40" s="15" t="inlineStr">
        <is>
          <t>GA01</t>
        </is>
      </c>
      <c r="E40" s="15" t="inlineStr">
        <is>
          <t>Holz-Wellenliege, Doppelliege</t>
        </is>
      </c>
      <c r="F40" s="16" t="inlineStr">
        <is>
          <t>Geschwungene Doppelliege aus Holzlatten, ca. 200 cm breit, mit Sponsorenplakette</t>
        </is>
      </c>
      <c r="G40" s="15" t="inlineStr">
        <is>
          <t>Garten</t>
        </is>
      </c>
      <c r="H40" s="15" t="inlineStr">
        <is>
          <t>Gartenanlage</t>
        </is>
      </c>
      <c r="I40" s="15" t="inlineStr">
        <is>
          <t>A</t>
        </is>
      </c>
      <c r="J40" s="17" t="n">
        <v>1</v>
      </c>
      <c r="K40" s="17" t="n"/>
      <c r="L40" s="18">
        <f>J40-IF(K40="",0,K40)</f>
        <v/>
      </c>
      <c r="M40" s="15" t="inlineStr">
        <is>
          <t>Stück</t>
        </is>
      </c>
      <c r="N40" s="15" t="inlineStr">
        <is>
          <t>gebraucht</t>
        </is>
      </c>
      <c r="O40" s="19" t="n"/>
      <c r="P40" s="19" t="inlineStr">
        <is>
          <t>ja</t>
        </is>
      </c>
      <c r="Q40" s="19" t="n"/>
      <c r="R40" s="20" t="n"/>
      <c r="S40" s="20" t="n">
        <v>350</v>
      </c>
      <c r="T40" s="19" t="inlineStr">
        <is>
          <t>VHB</t>
        </is>
      </c>
      <c r="U40" s="21">
        <f>L40*S40</f>
        <v/>
      </c>
      <c r="V40" s="15" t="inlineStr">
        <is>
          <t>nur Abholung</t>
        </is>
      </c>
      <c r="W40" s="15" t="inlineStr">
        <is>
          <t>F-111</t>
        </is>
      </c>
      <c r="X40" s="19" t="inlineStr">
        <is>
          <t>ja</t>
        </is>
      </c>
      <c r="Y40" s="19" t="n"/>
      <c r="Z40" s="19" t="inlineStr">
        <is>
          <t>verfügbar</t>
        </is>
      </c>
      <c r="AA40" s="19" t="n"/>
      <c r="AB40" s="19" t="n"/>
      <c r="AC40" s="19" t="n"/>
      <c r="AD40" s="19" t="n"/>
      <c r="AE40" s="20" t="n"/>
      <c r="AF40" s="21">
        <f>IF(K40="","",K40*AE40)</f>
        <v/>
      </c>
      <c r="AG40" s="19" t="n"/>
      <c r="AH40" s="19" t="n"/>
      <c r="AI40" s="19" t="n"/>
      <c r="AJ40" s="19" t="n"/>
      <c r="AK40" s="19" t="n"/>
      <c r="AL40" s="19" t="n"/>
      <c r="AM40" s="16" t="inlineStr">
        <is>
          <t>1 Liege im Bild</t>
        </is>
      </c>
      <c r="AN40" s="22" t="n"/>
    </row>
    <row r="41" ht="30" customHeight="1">
      <c r="A41" s="15" t="inlineStr">
        <is>
          <t>K-002</t>
        </is>
      </c>
      <c r="B41" s="15" t="n"/>
      <c r="C41" s="15" t="n"/>
      <c r="D41" s="15" t="inlineStr">
        <is>
          <t>NU02</t>
        </is>
      </c>
      <c r="E41" s="15" t="inlineStr">
        <is>
          <t>Kommode weiß, 9 Schubladen</t>
        </is>
      </c>
      <c r="F41" s="16" t="inlineStr">
        <is>
          <t>IKEA Nordli, weiß, drei Module nebeneinander, insgesamt 9 Schubladen</t>
        </is>
      </c>
      <c r="G41" s="15" t="inlineStr">
        <is>
          <t>Möbel</t>
        </is>
      </c>
      <c r="H41" s="15" t="inlineStr">
        <is>
          <t>Gruppenraum 5</t>
        </is>
      </c>
      <c r="I41" s="15" t="inlineStr">
        <is>
          <t>B</t>
        </is>
      </c>
      <c r="J41" s="17" t="n">
        <v>1</v>
      </c>
      <c r="K41" s="17" t="n"/>
      <c r="L41" s="18">
        <f>J41-IF(K41="",0,K41)</f>
        <v/>
      </c>
      <c r="M41" s="15" t="inlineStr">
        <is>
          <t>Stück</t>
        </is>
      </c>
      <c r="N41" s="15" t="inlineStr">
        <is>
          <t>gut</t>
        </is>
      </c>
      <c r="O41" s="19" t="n"/>
      <c r="P41" s="19" t="inlineStr">
        <is>
          <t>entfällt</t>
        </is>
      </c>
      <c r="Q41" s="19" t="n"/>
      <c r="R41" s="20" t="n"/>
      <c r="S41" s="20" t="n">
        <v>120</v>
      </c>
      <c r="T41" s="19" t="inlineStr">
        <is>
          <t>VHB</t>
        </is>
      </c>
      <c r="U41" s="21">
        <f>L41*S41</f>
        <v/>
      </c>
      <c r="V41" s="15" t="inlineStr">
        <is>
          <t>nur Abholung</t>
        </is>
      </c>
      <c r="W41" s="15" t="inlineStr">
        <is>
          <t>F-002</t>
        </is>
      </c>
      <c r="X41" s="19" t="inlineStr">
        <is>
          <t>ja</t>
        </is>
      </c>
      <c r="Y41" s="19" t="n"/>
      <c r="Z41" s="19" t="inlineStr">
        <is>
          <t>verfügbar</t>
        </is>
      </c>
      <c r="AA41" s="19" t="n"/>
      <c r="AB41" s="19" t="n"/>
      <c r="AC41" s="19" t="n"/>
      <c r="AD41" s="19" t="n"/>
      <c r="AE41" s="20" t="n"/>
      <c r="AF41" s="21">
        <f>IF(K41="","",K41*AE41)</f>
        <v/>
      </c>
      <c r="AG41" s="19" t="n"/>
      <c r="AH41" s="19" t="n"/>
      <c r="AI41" s="19" t="n"/>
      <c r="AJ41" s="19" t="n"/>
      <c r="AK41" s="19" t="n"/>
      <c r="AL41" s="19" t="n"/>
      <c r="AM41" s="16" t="inlineStr">
        <is>
          <t>1 Einheit aus 3 Modulen im Bild</t>
        </is>
      </c>
      <c r="AN41" s="22" t="n"/>
    </row>
    <row r="42" ht="30" customHeight="1">
      <c r="A42" s="15" t="inlineStr">
        <is>
          <t>K-003</t>
        </is>
      </c>
      <c r="B42" s="15" t="n"/>
      <c r="C42" s="15" t="n"/>
      <c r="D42" s="15" t="inlineStr">
        <is>
          <t>NU02</t>
        </is>
      </c>
      <c r="E42" s="15" t="inlineStr">
        <is>
          <t>Deko-Set Globus, Letterboard, Rahmen</t>
        </is>
      </c>
      <c r="F42" s="16" t="inlineStr">
        <is>
          <t>Globus, Steckbuchstaben-Board, Bilderrahmen auf Staffelei</t>
        </is>
      </c>
      <c r="G42" s="15" t="inlineStr">
        <is>
          <t>Deko</t>
        </is>
      </c>
      <c r="H42" s="15" t="inlineStr">
        <is>
          <t>Gruppenraum 5</t>
        </is>
      </c>
      <c r="I42" s="15" t="inlineStr">
        <is>
          <t>C</t>
        </is>
      </c>
      <c r="J42" s="17" t="n">
        <v>1</v>
      </c>
      <c r="K42" s="17" t="n"/>
      <c r="L42" s="18">
        <f>J42-IF(K42="",0,K42)</f>
        <v/>
      </c>
      <c r="M42" s="15" t="inlineStr">
        <is>
          <t>Set</t>
        </is>
      </c>
      <c r="N42" s="15" t="inlineStr">
        <is>
          <t>gut</t>
        </is>
      </c>
      <c r="O42" s="19" t="n"/>
      <c r="P42" s="19" t="inlineStr">
        <is>
          <t>entfällt</t>
        </is>
      </c>
      <c r="Q42" s="19" t="n"/>
      <c r="R42" s="20" t="n"/>
      <c r="S42" s="20" t="n">
        <v>35</v>
      </c>
      <c r="T42" s="19" t="inlineStr">
        <is>
          <t>VHB</t>
        </is>
      </c>
      <c r="U42" s="21">
        <f>L42*S42</f>
        <v/>
      </c>
      <c r="V42" s="15" t="inlineStr">
        <is>
          <t>Versand möglich</t>
        </is>
      </c>
      <c r="W42" s="15" t="inlineStr">
        <is>
          <t>F-002</t>
        </is>
      </c>
      <c r="X42" s="19" t="inlineStr">
        <is>
          <t>ja</t>
        </is>
      </c>
      <c r="Y42" s="19" t="n"/>
      <c r="Z42" s="19" t="inlineStr">
        <is>
          <t>verfügbar</t>
        </is>
      </c>
      <c r="AA42" s="19" t="n"/>
      <c r="AB42" s="19" t="n"/>
      <c r="AC42" s="19" t="n"/>
      <c r="AD42" s="19" t="n"/>
      <c r="AE42" s="20" t="n"/>
      <c r="AF42" s="21">
        <f>IF(K42="","",K42*AE42)</f>
        <v/>
      </c>
      <c r="AG42" s="19" t="n"/>
      <c r="AH42" s="19" t="n"/>
      <c r="AI42" s="19" t="n"/>
      <c r="AJ42" s="19" t="n"/>
      <c r="AK42" s="19" t="n"/>
      <c r="AL42" s="19" t="n"/>
      <c r="AM42" s="16" t="inlineStr">
        <is>
          <t>3 Teile im Bild</t>
        </is>
      </c>
      <c r="AN42" s="22" t="n"/>
    </row>
    <row r="43" ht="30" customHeight="1">
      <c r="A43" s="15" t="inlineStr">
        <is>
          <t>K-005</t>
        </is>
      </c>
      <c r="B43" s="15" t="n"/>
      <c r="C43" s="15" t="n"/>
      <c r="D43" s="15" t="inlineStr">
        <is>
          <t>NU02</t>
        </is>
      </c>
      <c r="E43" s="15" t="inlineStr">
        <is>
          <t>Mal- und Trockengestell fahrbar</t>
        </is>
      </c>
      <c r="F43" s="16" t="inlineStr">
        <is>
          <t>Drahtgittergestell auf Rollen, zum Trocknen und Präsentieren von Bildern</t>
        </is>
      </c>
      <c r="G43" s="15" t="inlineStr">
        <is>
          <t>Kita-Ausstattung</t>
        </is>
      </c>
      <c r="H43" s="15" t="inlineStr">
        <is>
          <t>Gruppenraum 5</t>
        </is>
      </c>
      <c r="I43" s="15" t="inlineStr">
        <is>
          <t>C</t>
        </is>
      </c>
      <c r="J43" s="17" t="n">
        <v>1</v>
      </c>
      <c r="K43" s="17" t="n"/>
      <c r="L43" s="18">
        <f>J43-IF(K43="",0,K43)</f>
        <v/>
      </c>
      <c r="M43" s="15" t="inlineStr">
        <is>
          <t>Stück</t>
        </is>
      </c>
      <c r="N43" s="15" t="inlineStr">
        <is>
          <t>gut</t>
        </is>
      </c>
      <c r="O43" s="19" t="n"/>
      <c r="P43" s="19" t="inlineStr">
        <is>
          <t>entfällt</t>
        </is>
      </c>
      <c r="Q43" s="19" t="n"/>
      <c r="R43" s="20" t="n"/>
      <c r="S43" s="20" t="n">
        <v>60</v>
      </c>
      <c r="T43" s="19" t="inlineStr">
        <is>
          <t>VHB</t>
        </is>
      </c>
      <c r="U43" s="21">
        <f>L43*S43</f>
        <v/>
      </c>
      <c r="V43" s="15" t="inlineStr">
        <is>
          <t>nur Abholung</t>
        </is>
      </c>
      <c r="W43" s="15" t="inlineStr">
        <is>
          <t>F-003</t>
        </is>
      </c>
      <c r="X43" s="19" t="inlineStr">
        <is>
          <t>ja</t>
        </is>
      </c>
      <c r="Y43" s="19" t="n"/>
      <c r="Z43" s="19" t="inlineStr">
        <is>
          <t>verfügbar</t>
        </is>
      </c>
      <c r="AA43" s="19" t="n"/>
      <c r="AB43" s="19" t="n"/>
      <c r="AC43" s="19" t="n"/>
      <c r="AD43" s="19" t="n"/>
      <c r="AE43" s="20" t="n"/>
      <c r="AF43" s="21">
        <f>IF(K43="","",K43*AE43)</f>
        <v/>
      </c>
      <c r="AG43" s="19" t="n"/>
      <c r="AH43" s="19" t="n"/>
      <c r="AI43" s="19" t="n"/>
      <c r="AJ43" s="19" t="n"/>
      <c r="AK43" s="19" t="n"/>
      <c r="AL43" s="19" t="n"/>
      <c r="AM43" s="16" t="inlineStr">
        <is>
          <t>1 Stück im Bild</t>
        </is>
      </c>
      <c r="AN43" s="22" t="n"/>
    </row>
    <row r="44" ht="30" customHeight="1">
      <c r="A44" s="15" t="inlineStr">
        <is>
          <t>K-006</t>
        </is>
      </c>
      <c r="B44" s="15" t="n"/>
      <c r="C44" s="15" t="n"/>
      <c r="D44" s="15" t="inlineStr">
        <is>
          <t>NU02</t>
        </is>
      </c>
      <c r="E44" s="15" t="inlineStr">
        <is>
          <t>Kindertafel Holz</t>
        </is>
      </c>
      <c r="F44" s="16" t="inlineStr">
        <is>
          <t>Standtafel/Staffelei aus Holz mit Kreidetafel</t>
        </is>
      </c>
      <c r="G44" s="15" t="inlineStr">
        <is>
          <t>Kita-Ausstattung</t>
        </is>
      </c>
      <c r="H44" s="15" t="inlineStr">
        <is>
          <t>Gruppenraum 5</t>
        </is>
      </c>
      <c r="I44" s="15" t="inlineStr">
        <is>
          <t>C</t>
        </is>
      </c>
      <c r="J44" s="17" t="n">
        <v>1</v>
      </c>
      <c r="K44" s="17" t="n"/>
      <c r="L44" s="18">
        <f>J44-IF(K44="",0,K44)</f>
        <v/>
      </c>
      <c r="M44" s="15" t="inlineStr">
        <is>
          <t>Stück</t>
        </is>
      </c>
      <c r="N44" s="15" t="inlineStr">
        <is>
          <t>gebraucht</t>
        </is>
      </c>
      <c r="O44" s="19" t="n"/>
      <c r="P44" s="19" t="inlineStr">
        <is>
          <t>entfällt</t>
        </is>
      </c>
      <c r="Q44" s="19" t="n"/>
      <c r="R44" s="20" t="n"/>
      <c r="S44" s="20" t="n">
        <v>35</v>
      </c>
      <c r="T44" s="19" t="inlineStr">
        <is>
          <t>VHB</t>
        </is>
      </c>
      <c r="U44" s="21">
        <f>L44*S44</f>
        <v/>
      </c>
      <c r="V44" s="15" t="inlineStr">
        <is>
          <t>Versand möglich</t>
        </is>
      </c>
      <c r="W44" s="15" t="inlineStr">
        <is>
          <t>F-003</t>
        </is>
      </c>
      <c r="X44" s="19" t="inlineStr">
        <is>
          <t>ja</t>
        </is>
      </c>
      <c r="Y44" s="19" t="n"/>
      <c r="Z44" s="19" t="inlineStr">
        <is>
          <t>verfügbar</t>
        </is>
      </c>
      <c r="AA44" s="19" t="n"/>
      <c r="AB44" s="19" t="n"/>
      <c r="AC44" s="19" t="n"/>
      <c r="AD44" s="19" t="n"/>
      <c r="AE44" s="20" t="n"/>
      <c r="AF44" s="21">
        <f>IF(K44="","",K44*AE44)</f>
        <v/>
      </c>
      <c r="AG44" s="19" t="n"/>
      <c r="AH44" s="19" t="n"/>
      <c r="AI44" s="19" t="n"/>
      <c r="AJ44" s="19" t="n"/>
      <c r="AK44" s="19" t="n"/>
      <c r="AL44" s="19" t="n"/>
      <c r="AM44" s="16" t="inlineStr">
        <is>
          <t>1 Stück im Bild</t>
        </is>
      </c>
      <c r="AN44" s="22" t="n"/>
    </row>
    <row r="45" ht="30" customHeight="1">
      <c r="A45" s="15" t="inlineStr">
        <is>
          <t>K-010</t>
        </is>
      </c>
      <c r="B45" s="15" t="n"/>
      <c r="C45" s="15" t="n"/>
      <c r="D45" s="15" t="inlineStr">
        <is>
          <t>NU04</t>
        </is>
      </c>
      <c r="E45" s="15" t="inlineStr">
        <is>
          <t>Pinnwand gerahmt</t>
        </is>
      </c>
      <c r="F45" s="16" t="inlineStr">
        <is>
          <t>Pinnwand mit Holzrahmen</t>
        </is>
      </c>
      <c r="G45" s="15" t="inlineStr">
        <is>
          <t>Büro</t>
        </is>
      </c>
      <c r="H45" s="15" t="inlineStr">
        <is>
          <t>Schlafraum 5</t>
        </is>
      </c>
      <c r="I45" s="15" t="inlineStr">
        <is>
          <t>C</t>
        </is>
      </c>
      <c r="J45" s="17" t="n">
        <v>1</v>
      </c>
      <c r="K45" s="17" t="n"/>
      <c r="L45" s="18">
        <f>J45-IF(K45="",0,K45)</f>
        <v/>
      </c>
      <c r="M45" s="15" t="inlineStr">
        <is>
          <t>Stück</t>
        </is>
      </c>
      <c r="N45" s="15" t="inlineStr">
        <is>
          <t>gut</t>
        </is>
      </c>
      <c r="O45" s="19" t="n"/>
      <c r="P45" s="19" t="inlineStr">
        <is>
          <t>entfällt</t>
        </is>
      </c>
      <c r="Q45" s="19" t="n"/>
      <c r="R45" s="20" t="n"/>
      <c r="S45" s="20" t="n">
        <v>25</v>
      </c>
      <c r="T45" s="19" t="inlineStr">
        <is>
          <t>VHB</t>
        </is>
      </c>
      <c r="U45" s="21">
        <f>L45*S45</f>
        <v/>
      </c>
      <c r="V45" s="15" t="inlineStr">
        <is>
          <t>Versand möglich</t>
        </is>
      </c>
      <c r="W45" s="15" t="inlineStr">
        <is>
          <t>F-006</t>
        </is>
      </c>
      <c r="X45" s="19" t="inlineStr">
        <is>
          <t>ja</t>
        </is>
      </c>
      <c r="Y45" s="19" t="n"/>
      <c r="Z45" s="19" t="inlineStr">
        <is>
          <t>verfügbar</t>
        </is>
      </c>
      <c r="AA45" s="19" t="n"/>
      <c r="AB45" s="19" t="n"/>
      <c r="AC45" s="19" t="n"/>
      <c r="AD45" s="19" t="n"/>
      <c r="AE45" s="20" t="n"/>
      <c r="AF45" s="21">
        <f>IF(K45="","",K45*AE45)</f>
        <v/>
      </c>
      <c r="AG45" s="19" t="n"/>
      <c r="AH45" s="19" t="n"/>
      <c r="AI45" s="19" t="n"/>
      <c r="AJ45" s="19" t="n"/>
      <c r="AK45" s="19" t="n"/>
      <c r="AL45" s="19" t="n"/>
      <c r="AM45" s="16" t="inlineStr">
        <is>
          <t>1 Stück im Bild</t>
        </is>
      </c>
      <c r="AN45" s="22" t="n"/>
    </row>
    <row r="46" ht="30" customHeight="1">
      <c r="A46" s="15" t="inlineStr">
        <is>
          <t>K-013</t>
        </is>
      </c>
      <c r="B46" s="15" t="n"/>
      <c r="C46" s="15" t="n"/>
      <c r="D46" s="15" t="inlineStr">
        <is>
          <t>NU04</t>
        </is>
      </c>
      <c r="E46" s="15" t="inlineStr">
        <is>
          <t>Kuckucksuhr klein</t>
        </is>
      </c>
      <c r="F46" s="16" t="inlineStr">
        <is>
          <t>Schwarzwälder Kuckucksuhr, kleine Ausführung, Holz</t>
        </is>
      </c>
      <c r="G46" s="15" t="inlineStr">
        <is>
          <t>Uhren</t>
        </is>
      </c>
      <c r="H46" s="15" t="inlineStr">
        <is>
          <t>Schlafraum 5</t>
        </is>
      </c>
      <c r="I46" s="15" t="inlineStr">
        <is>
          <t>A</t>
        </is>
      </c>
      <c r="J46" s="17" t="n">
        <v>1</v>
      </c>
      <c r="K46" s="17" t="n"/>
      <c r="L46" s="18">
        <f>J46-IF(K46="",0,K46)</f>
        <v/>
      </c>
      <c r="M46" s="15" t="inlineStr">
        <is>
          <t>Stück</t>
        </is>
      </c>
      <c r="N46" s="15" t="inlineStr">
        <is>
          <t>gut</t>
        </is>
      </c>
      <c r="O46" s="19" t="n"/>
      <c r="P46" s="19" t="inlineStr">
        <is>
          <t>entfällt</t>
        </is>
      </c>
      <c r="Q46" s="19" t="n"/>
      <c r="R46" s="20" t="n"/>
      <c r="S46" s="20" t="n">
        <v>90</v>
      </c>
      <c r="T46" s="19" t="inlineStr">
        <is>
          <t>VHB</t>
        </is>
      </c>
      <c r="U46" s="21">
        <f>L46*S46</f>
        <v/>
      </c>
      <c r="V46" s="15" t="inlineStr">
        <is>
          <t>Versand möglich</t>
        </is>
      </c>
      <c r="W46" s="15" t="inlineStr">
        <is>
          <t>F-008</t>
        </is>
      </c>
      <c r="X46" s="19" t="inlineStr">
        <is>
          <t>ja</t>
        </is>
      </c>
      <c r="Y46" s="19" t="n"/>
      <c r="Z46" s="19" t="inlineStr">
        <is>
          <t>verfügbar</t>
        </is>
      </c>
      <c r="AA46" s="19" t="n"/>
      <c r="AB46" s="19" t="n"/>
      <c r="AC46" s="19" t="n"/>
      <c r="AD46" s="19" t="n"/>
      <c r="AE46" s="20" t="n"/>
      <c r="AF46" s="21">
        <f>IF(K46="","",K46*AE46)</f>
        <v/>
      </c>
      <c r="AG46" s="19" t="n"/>
      <c r="AH46" s="19" t="n"/>
      <c r="AI46" s="19" t="n"/>
      <c r="AJ46" s="19" t="n"/>
      <c r="AK46" s="19" t="n"/>
      <c r="AL46" s="19" t="n"/>
      <c r="AM46" s="16" t="inlineStr">
        <is>
          <t>1 Stück im Bild</t>
        </is>
      </c>
      <c r="AN46" s="22" t="n"/>
    </row>
    <row r="47" ht="30" customHeight="1">
      <c r="A47" s="15" t="inlineStr">
        <is>
          <t>K-016</t>
        </is>
      </c>
      <c r="B47" s="15" t="n"/>
      <c r="C47" s="15" t="n"/>
      <c r="D47" s="15" t="inlineStr">
        <is>
          <t>NU04</t>
        </is>
      </c>
      <c r="E47" s="15" t="inlineStr">
        <is>
          <t>Regal mit Aufbewahrungsboxen</t>
        </is>
      </c>
      <c r="F47" s="16" t="inlineStr">
        <is>
          <t>IKEA Trofast, Holzrahmen mit Kunststoffboxen</t>
        </is>
      </c>
      <c r="G47" s="15" t="inlineStr">
        <is>
          <t>Kita-Ausstattung</t>
        </is>
      </c>
      <c r="H47" s="15" t="inlineStr">
        <is>
          <t>Schlafraum 5</t>
        </is>
      </c>
      <c r="I47" s="15" t="inlineStr">
        <is>
          <t>C</t>
        </is>
      </c>
      <c r="J47" s="17" t="n">
        <v>3</v>
      </c>
      <c r="K47" s="17" t="n"/>
      <c r="L47" s="18">
        <f>J47-IF(K47="",0,K47)</f>
        <v/>
      </c>
      <c r="M47" s="15" t="inlineStr">
        <is>
          <t>Stück</t>
        </is>
      </c>
      <c r="N47" s="15" t="inlineStr">
        <is>
          <t>gebraucht</t>
        </is>
      </c>
      <c r="O47" s="19" t="n"/>
      <c r="P47" s="19" t="inlineStr">
        <is>
          <t>entfällt</t>
        </is>
      </c>
      <c r="Q47" s="19" t="n"/>
      <c r="R47" s="20" t="n"/>
      <c r="S47" s="20" t="n">
        <v>35</v>
      </c>
      <c r="T47" s="19" t="inlineStr">
        <is>
          <t>VHB</t>
        </is>
      </c>
      <c r="U47" s="21">
        <f>L47*S47</f>
        <v/>
      </c>
      <c r="V47" s="15" t="inlineStr">
        <is>
          <t>nur Abholung</t>
        </is>
      </c>
      <c r="W47" s="15" t="inlineStr">
        <is>
          <t>F-011</t>
        </is>
      </c>
      <c r="X47" s="19" t="inlineStr">
        <is>
          <t>ja</t>
        </is>
      </c>
      <c r="Y47" s="19" t="n"/>
      <c r="Z47" s="19" t="inlineStr">
        <is>
          <t>verfügbar</t>
        </is>
      </c>
      <c r="AA47" s="19" t="n"/>
      <c r="AB47" s="19" t="n"/>
      <c r="AC47" s="19" t="n"/>
      <c r="AD47" s="19" t="n"/>
      <c r="AE47" s="20" t="n"/>
      <c r="AF47" s="21">
        <f>IF(K47="","",K47*AE47)</f>
        <v/>
      </c>
      <c r="AG47" s="19" t="n"/>
      <c r="AH47" s="19" t="n"/>
      <c r="AI47" s="19" t="n"/>
      <c r="AJ47" s="19" t="n"/>
      <c r="AK47" s="19" t="n"/>
      <c r="AL47" s="19" t="n"/>
      <c r="AM47" s="16" t="inlineStr">
        <is>
          <t>3 Regale im Bild erkennbar</t>
        </is>
      </c>
      <c r="AN47" s="22" t="n"/>
    </row>
    <row r="48" ht="30" customHeight="1">
      <c r="A48" s="15" t="inlineStr">
        <is>
          <t>K-017</t>
        </is>
      </c>
      <c r="B48" s="15" t="n"/>
      <c r="C48" s="15" t="n"/>
      <c r="D48" s="15" t="inlineStr">
        <is>
          <t>NU04</t>
        </is>
      </c>
      <c r="E48" s="15" t="inlineStr">
        <is>
          <t>Kinderwerkbank Holz</t>
        </is>
      </c>
      <c r="F48" s="16" t="inlineStr">
        <is>
          <t>Werkbank für Kinder mit Schraubstock und Zubehör</t>
        </is>
      </c>
      <c r="G48" s="15" t="inlineStr">
        <is>
          <t>Kita-Ausstattung</t>
        </is>
      </c>
      <c r="H48" s="15" t="inlineStr">
        <is>
          <t>Schlafraum 5</t>
        </is>
      </c>
      <c r="I48" s="15" t="inlineStr">
        <is>
          <t>C</t>
        </is>
      </c>
      <c r="J48" s="17" t="n">
        <v>1</v>
      </c>
      <c r="K48" s="17" t="n"/>
      <c r="L48" s="18">
        <f>J48-IF(K48="",0,K48)</f>
        <v/>
      </c>
      <c r="M48" s="15" t="inlineStr">
        <is>
          <t>Stück</t>
        </is>
      </c>
      <c r="N48" s="15" t="inlineStr">
        <is>
          <t>gebraucht</t>
        </is>
      </c>
      <c r="O48" s="19" t="n"/>
      <c r="P48" s="19" t="inlineStr">
        <is>
          <t>entfällt</t>
        </is>
      </c>
      <c r="Q48" s="19" t="n"/>
      <c r="R48" s="20" t="n"/>
      <c r="S48" s="20" t="n">
        <v>60</v>
      </c>
      <c r="T48" s="19" t="inlineStr">
        <is>
          <t>VHB</t>
        </is>
      </c>
      <c r="U48" s="21">
        <f>L48*S48</f>
        <v/>
      </c>
      <c r="V48" s="15" t="inlineStr">
        <is>
          <t>nur Abholung</t>
        </is>
      </c>
      <c r="W48" s="15" t="inlineStr">
        <is>
          <t>F-011</t>
        </is>
      </c>
      <c r="X48" s="19" t="inlineStr">
        <is>
          <t>ja</t>
        </is>
      </c>
      <c r="Y48" s="19" t="n"/>
      <c r="Z48" s="19" t="inlineStr">
        <is>
          <t>verfügbar</t>
        </is>
      </c>
      <c r="AA48" s="19" t="n"/>
      <c r="AB48" s="19" t="n"/>
      <c r="AC48" s="19" t="n"/>
      <c r="AD48" s="19" t="n"/>
      <c r="AE48" s="20" t="n"/>
      <c r="AF48" s="21">
        <f>IF(K48="","",K48*AE48)</f>
        <v/>
      </c>
      <c r="AG48" s="19" t="n"/>
      <c r="AH48" s="19" t="n"/>
      <c r="AI48" s="19" t="n"/>
      <c r="AJ48" s="19" t="n"/>
      <c r="AK48" s="19" t="n"/>
      <c r="AL48" s="19" t="n"/>
      <c r="AM48" s="16" t="inlineStr">
        <is>
          <t>1 Stück im Bild</t>
        </is>
      </c>
      <c r="AN48" s="22" t="n"/>
    </row>
    <row r="49" ht="30" customHeight="1">
      <c r="A49" s="15" t="inlineStr">
        <is>
          <t>K-018</t>
        </is>
      </c>
      <c r="B49" s="15" t="n"/>
      <c r="C49" s="15" t="n"/>
      <c r="D49" s="15" t="inlineStr">
        <is>
          <t>NE01</t>
        </is>
      </c>
      <c r="E49" s="15" t="inlineStr">
        <is>
          <t>Pompon-Kronleuchter rot</t>
        </is>
      </c>
      <c r="F49" s="16" t="inlineStr">
        <is>
          <t>Metallring-Konstruktion mit roten Wollbommeln, Sonderanfertigung, Deckenleuchte</t>
        </is>
      </c>
      <c r="G49" s="15" t="inlineStr">
        <is>
          <t>Leuchten</t>
        </is>
      </c>
      <c r="H49" s="15" t="inlineStr">
        <is>
          <t>Flur</t>
        </is>
      </c>
      <c r="I49" s="15" t="inlineStr">
        <is>
          <t>B</t>
        </is>
      </c>
      <c r="J49" s="17" t="n">
        <v>1</v>
      </c>
      <c r="K49" s="17" t="n"/>
      <c r="L49" s="18">
        <f>J49-IF(K49="",0,K49)</f>
        <v/>
      </c>
      <c r="M49" s="15" t="inlineStr">
        <is>
          <t>Stück</t>
        </is>
      </c>
      <c r="N49" s="15" t="inlineStr">
        <is>
          <t>gut</t>
        </is>
      </c>
      <c r="O49" s="19" t="n"/>
      <c r="P49" s="19" t="inlineStr">
        <is>
          <t>entfällt</t>
        </is>
      </c>
      <c r="Q49" s="19" t="n"/>
      <c r="R49" s="20" t="n"/>
      <c r="S49" s="20" t="n">
        <v>150</v>
      </c>
      <c r="T49" s="19" t="inlineStr">
        <is>
          <t>VHB</t>
        </is>
      </c>
      <c r="U49" s="21">
        <f>L49*S49</f>
        <v/>
      </c>
      <c r="V49" s="15" t="inlineStr">
        <is>
          <t>nur Abholung</t>
        </is>
      </c>
      <c r="W49" s="15" t="inlineStr">
        <is>
          <t>F-012</t>
        </is>
      </c>
      <c r="X49" s="19" t="inlineStr">
        <is>
          <t>ja</t>
        </is>
      </c>
      <c r="Y49" s="19" t="n"/>
      <c r="Z49" s="19" t="inlineStr">
        <is>
          <t>verfügbar</t>
        </is>
      </c>
      <c r="AA49" s="19" t="n"/>
      <c r="AB49" s="19" t="n"/>
      <c r="AC49" s="19" t="n"/>
      <c r="AD49" s="19" t="n"/>
      <c r="AE49" s="20" t="n"/>
      <c r="AF49" s="21">
        <f>IF(K49="","",K49*AE49)</f>
        <v/>
      </c>
      <c r="AG49" s="19" t="n"/>
      <c r="AH49" s="19" t="n"/>
      <c r="AI49" s="19" t="n"/>
      <c r="AJ49" s="19" t="n"/>
      <c r="AK49" s="19" t="n"/>
      <c r="AL49" s="19" t="n"/>
      <c r="AM49" s="16" t="inlineStr">
        <is>
          <t>1 Stück im Bild</t>
        </is>
      </c>
      <c r="AN49" s="22" t="n"/>
    </row>
    <row r="50" ht="30" customHeight="1">
      <c r="A50" s="15" t="inlineStr">
        <is>
          <t>K-019</t>
        </is>
      </c>
      <c r="B50" s="15" t="n"/>
      <c r="C50" s="15" t="n"/>
      <c r="D50" s="15" t="inlineStr">
        <is>
          <t>NE01</t>
        </is>
      </c>
      <c r="E50" s="15" t="inlineStr">
        <is>
          <t>Wandbild Schwarzwald-Trachten, großformatig</t>
        </is>
      </c>
      <c r="F50" s="16" t="inlineStr">
        <is>
          <t>Fotodruck auf Leinwand/Alu-Dibond, Trachtenportrait, großformatig - Kaufware</t>
        </is>
      </c>
      <c r="G50" s="15" t="inlineStr">
        <is>
          <t>Kunst</t>
        </is>
      </c>
      <c r="H50" s="15" t="inlineStr">
        <is>
          <t>Flur</t>
        </is>
      </c>
      <c r="I50" s="15" t="inlineStr">
        <is>
          <t>B</t>
        </is>
      </c>
      <c r="J50" s="17" t="n">
        <v>2</v>
      </c>
      <c r="K50" s="17" t="n"/>
      <c r="L50" s="18">
        <f>J50-IF(K50="",0,K50)</f>
        <v/>
      </c>
      <c r="M50" s="15" t="inlineStr">
        <is>
          <t>Stück</t>
        </is>
      </c>
      <c r="N50" s="15" t="inlineStr">
        <is>
          <t>gut</t>
        </is>
      </c>
      <c r="O50" s="19" t="n"/>
      <c r="P50" s="19" t="inlineStr">
        <is>
          <t>entfällt</t>
        </is>
      </c>
      <c r="Q50" s="19" t="n"/>
      <c r="R50" s="20" t="n"/>
      <c r="S50" s="20" t="n">
        <v>120</v>
      </c>
      <c r="T50" s="19" t="inlineStr">
        <is>
          <t>VHB</t>
        </is>
      </c>
      <c r="U50" s="21">
        <f>L50*S50</f>
        <v/>
      </c>
      <c r="V50" s="15" t="inlineStr">
        <is>
          <t>nur Abholung</t>
        </is>
      </c>
      <c r="W50" s="15" t="inlineStr">
        <is>
          <t>F-013</t>
        </is>
      </c>
      <c r="X50" s="19" t="inlineStr">
        <is>
          <t>ja</t>
        </is>
      </c>
      <c r="Y50" s="19" t="n"/>
      <c r="Z50" s="19" t="inlineStr">
        <is>
          <t>verfügbar</t>
        </is>
      </c>
      <c r="AA50" s="19" t="n"/>
      <c r="AB50" s="19" t="n"/>
      <c r="AC50" s="19" t="n"/>
      <c r="AD50" s="19" t="n"/>
      <c r="AE50" s="20" t="n"/>
      <c r="AF50" s="21">
        <f>IF(K50="","",K50*AE50)</f>
        <v/>
      </c>
      <c r="AG50" s="19" t="n"/>
      <c r="AH50" s="19" t="n"/>
      <c r="AI50" s="19" t="n"/>
      <c r="AJ50" s="19" t="n"/>
      <c r="AK50" s="19" t="n"/>
      <c r="AL50" s="19" t="n"/>
      <c r="AM50" s="16" t="inlineStr">
        <is>
          <t>2 Bilder im Bild</t>
        </is>
      </c>
      <c r="AN50" s="22" t="n"/>
    </row>
    <row r="51" ht="30" customHeight="1">
      <c r="A51" s="15" t="inlineStr">
        <is>
          <t>K-021</t>
        </is>
      </c>
      <c r="B51" s="15" t="n"/>
      <c r="C51" s="15" t="n"/>
      <c r="D51" s="15" t="inlineStr">
        <is>
          <t>NE01</t>
        </is>
      </c>
      <c r="E51" s="15" t="inlineStr">
        <is>
          <t>Wanddeko Holzleiter und Treibholz</t>
        </is>
      </c>
      <c r="F51" s="16" t="inlineStr">
        <is>
          <t>Dekoleiter grau in Tannenform, dazu Treibholzelemente</t>
        </is>
      </c>
      <c r="G51" s="15" t="inlineStr">
        <is>
          <t>Deko</t>
        </is>
      </c>
      <c r="H51" s="15" t="inlineStr">
        <is>
          <t>Flur</t>
        </is>
      </c>
      <c r="I51" s="15" t="inlineStr">
        <is>
          <t>C</t>
        </is>
      </c>
      <c r="J51" s="17" t="n">
        <v>1</v>
      </c>
      <c r="K51" s="17" t="n"/>
      <c r="L51" s="18">
        <f>J51-IF(K51="",0,K51)</f>
        <v/>
      </c>
      <c r="M51" s="15" t="inlineStr">
        <is>
          <t>Set</t>
        </is>
      </c>
      <c r="N51" s="15" t="inlineStr">
        <is>
          <t>gut</t>
        </is>
      </c>
      <c r="O51" s="19" t="n"/>
      <c r="P51" s="19" t="inlineStr">
        <is>
          <t>entfällt</t>
        </is>
      </c>
      <c r="Q51" s="19" t="n"/>
      <c r="R51" s="20" t="n"/>
      <c r="S51" s="20" t="n">
        <v>30</v>
      </c>
      <c r="T51" s="19" t="inlineStr">
        <is>
          <t>VHB</t>
        </is>
      </c>
      <c r="U51" s="21">
        <f>L51*S51</f>
        <v/>
      </c>
      <c r="V51" s="15" t="inlineStr">
        <is>
          <t>nur Abholung</t>
        </is>
      </c>
      <c r="W51" s="15" t="inlineStr">
        <is>
          <t>F-015</t>
        </is>
      </c>
      <c r="X51" s="19" t="inlineStr">
        <is>
          <t>ja</t>
        </is>
      </c>
      <c r="Y51" s="19" t="n"/>
      <c r="Z51" s="19" t="inlineStr">
        <is>
          <t>verfügbar</t>
        </is>
      </c>
      <c r="AA51" s="19" t="n"/>
      <c r="AB51" s="19" t="n"/>
      <c r="AC51" s="19" t="n"/>
      <c r="AD51" s="19" t="n"/>
      <c r="AE51" s="20" t="n"/>
      <c r="AF51" s="21">
        <f>IF(K51="","",K51*AE51)</f>
        <v/>
      </c>
      <c r="AG51" s="19" t="n"/>
      <c r="AH51" s="19" t="n"/>
      <c r="AI51" s="19" t="n"/>
      <c r="AJ51" s="19" t="n"/>
      <c r="AK51" s="19" t="n"/>
      <c r="AL51" s="19" t="n"/>
      <c r="AM51" s="16" t="inlineStr">
        <is>
          <t>1 Set im Bild</t>
        </is>
      </c>
      <c r="AN51" s="22" t="n"/>
    </row>
    <row r="52" ht="30" customHeight="1">
      <c r="A52" s="15" t="inlineStr">
        <is>
          <t>K-022</t>
        </is>
      </c>
      <c r="B52" s="15" t="n"/>
      <c r="C52" s="15" t="n"/>
      <c r="D52" s="15" t="inlineStr">
        <is>
          <t>NE01</t>
        </is>
      </c>
      <c r="E52" s="15" t="inlineStr">
        <is>
          <t>Zamioculcas groß im Übertopf</t>
        </is>
      </c>
      <c r="F52" s="16" t="inlineStr">
        <is>
          <t>Glücksfeder, große Pflanze, schwarzer Übertopf</t>
        </is>
      </c>
      <c r="G52" s="15" t="inlineStr">
        <is>
          <t>Pflanzen</t>
        </is>
      </c>
      <c r="H52" s="15" t="inlineStr">
        <is>
          <t>Flur</t>
        </is>
      </c>
      <c r="I52" s="15" t="inlineStr">
        <is>
          <t>C</t>
        </is>
      </c>
      <c r="J52" s="17" t="n">
        <v>1</v>
      </c>
      <c r="K52" s="17" t="n"/>
      <c r="L52" s="18">
        <f>J52-IF(K52="",0,K52)</f>
        <v/>
      </c>
      <c r="M52" s="15" t="inlineStr">
        <is>
          <t>Stück</t>
        </is>
      </c>
      <c r="N52" s="15" t="inlineStr">
        <is>
          <t>gut</t>
        </is>
      </c>
      <c r="O52" s="19" t="n"/>
      <c r="P52" s="19" t="inlineStr">
        <is>
          <t>entfällt</t>
        </is>
      </c>
      <c r="Q52" s="19" t="n"/>
      <c r="R52" s="20" t="n"/>
      <c r="S52" s="20" t="n">
        <v>70</v>
      </c>
      <c r="T52" s="19" t="inlineStr">
        <is>
          <t>VHB</t>
        </is>
      </c>
      <c r="U52" s="21">
        <f>L52*S52</f>
        <v/>
      </c>
      <c r="V52" s="15" t="inlineStr">
        <is>
          <t>nur Abholung</t>
        </is>
      </c>
      <c r="W52" s="15" t="inlineStr">
        <is>
          <t>F-015</t>
        </is>
      </c>
      <c r="X52" s="19" t="inlineStr">
        <is>
          <t>ja</t>
        </is>
      </c>
      <c r="Y52" s="19" t="n"/>
      <c r="Z52" s="19" t="inlineStr">
        <is>
          <t>verfügbar</t>
        </is>
      </c>
      <c r="AA52" s="19" t="n"/>
      <c r="AB52" s="19" t="n"/>
      <c r="AC52" s="19" t="n"/>
      <c r="AD52" s="19" t="n"/>
      <c r="AE52" s="20" t="n"/>
      <c r="AF52" s="21">
        <f>IF(K52="","",K52*AE52)</f>
        <v/>
      </c>
      <c r="AG52" s="19" t="n"/>
      <c r="AH52" s="19" t="n"/>
      <c r="AI52" s="19" t="n"/>
      <c r="AJ52" s="19" t="n"/>
      <c r="AK52" s="19" t="n"/>
      <c r="AL52" s="19" t="n"/>
      <c r="AM52" s="16" t="inlineStr">
        <is>
          <t>1 Pflanze im Bild</t>
        </is>
      </c>
      <c r="AN52" s="22" t="n"/>
    </row>
    <row r="53" ht="30" customHeight="1">
      <c r="A53" s="15" t="inlineStr">
        <is>
          <t>K-025</t>
        </is>
      </c>
      <c r="B53" s="15" t="n"/>
      <c r="C53" s="15" t="n"/>
      <c r="D53" s="15" t="inlineStr">
        <is>
          <t>NE05</t>
        </is>
      </c>
      <c r="E53" s="15" t="inlineStr">
        <is>
          <t>Stapelstuhl rot</t>
        </is>
      </c>
      <c r="F53" s="16" t="inlineStr">
        <is>
          <t>Kunststoff-Stapelstuhl, rot, Erwachsenengröße</t>
        </is>
      </c>
      <c r="G53" s="15" t="inlineStr">
        <is>
          <t>Möbel</t>
        </is>
      </c>
      <c r="H53" s="15" t="inlineStr">
        <is>
          <t>Speisesaal</t>
        </is>
      </c>
      <c r="I53" s="15" t="inlineStr">
        <is>
          <t>C</t>
        </is>
      </c>
      <c r="J53" s="17" t="n">
        <v>6</v>
      </c>
      <c r="K53" s="17" t="n"/>
      <c r="L53" s="18">
        <f>J53-IF(K53="",0,K53)</f>
        <v/>
      </c>
      <c r="M53" s="15" t="inlineStr">
        <is>
          <t>Stück</t>
        </is>
      </c>
      <c r="N53" s="15" t="inlineStr">
        <is>
          <t>gebraucht</t>
        </is>
      </c>
      <c r="O53" s="19" t="n"/>
      <c r="P53" s="19" t="inlineStr">
        <is>
          <t>entfällt</t>
        </is>
      </c>
      <c r="Q53" s="19" t="n"/>
      <c r="R53" s="20" t="n"/>
      <c r="S53" s="20" t="n">
        <v>15</v>
      </c>
      <c r="T53" s="19" t="inlineStr">
        <is>
          <t>VHB</t>
        </is>
      </c>
      <c r="U53" s="21">
        <f>L53*S53</f>
        <v/>
      </c>
      <c r="V53" s="15" t="inlineStr">
        <is>
          <t>Versand möglich</t>
        </is>
      </c>
      <c r="W53" s="15" t="inlineStr">
        <is>
          <t>F-016</t>
        </is>
      </c>
      <c r="X53" s="19" t="inlineStr">
        <is>
          <t>ja</t>
        </is>
      </c>
      <c r="Y53" s="19" t="n"/>
      <c r="Z53" s="19" t="inlineStr">
        <is>
          <t>verfügbar</t>
        </is>
      </c>
      <c r="AA53" s="19" t="n"/>
      <c r="AB53" s="19" t="n"/>
      <c r="AC53" s="19" t="n"/>
      <c r="AD53" s="19" t="n"/>
      <c r="AE53" s="20" t="n"/>
      <c r="AF53" s="21">
        <f>IF(K53="","",K53*AE53)</f>
        <v/>
      </c>
      <c r="AG53" s="19" t="n"/>
      <c r="AH53" s="19" t="n"/>
      <c r="AI53" s="19" t="n"/>
      <c r="AJ53" s="19" t="n"/>
      <c r="AK53" s="19" t="n"/>
      <c r="AL53" s="19" t="n"/>
      <c r="AM53" s="16" t="inlineStr">
        <is>
          <t>ca. 6 Stück im Bild - bitte nachzählen</t>
        </is>
      </c>
      <c r="AN53" s="22" t="n"/>
    </row>
    <row r="54" ht="30" customHeight="1">
      <c r="A54" s="15" t="inlineStr">
        <is>
          <t>K-026</t>
        </is>
      </c>
      <c r="B54" s="15" t="n"/>
      <c r="C54" s="15" t="n"/>
      <c r="D54" s="15" t="inlineStr">
        <is>
          <t>NE05</t>
        </is>
      </c>
      <c r="E54" s="15" t="inlineStr">
        <is>
          <t>Kinderstuhl weiß</t>
        </is>
      </c>
      <c r="F54" s="16" t="inlineStr">
        <is>
          <t>Kunststoff, weiß, Kindergröße, stapelbar</t>
        </is>
      </c>
      <c r="G54" s="15" t="inlineStr">
        <is>
          <t>Kita-Ausstattung</t>
        </is>
      </c>
      <c r="H54" s="15" t="inlineStr">
        <is>
          <t>Speisesaal</t>
        </is>
      </c>
      <c r="I54" s="15" t="inlineStr">
        <is>
          <t>C</t>
        </is>
      </c>
      <c r="J54" s="17" t="n">
        <v>8</v>
      </c>
      <c r="K54" s="17" t="n"/>
      <c r="L54" s="18">
        <f>J54-IF(K54="",0,K54)</f>
        <v/>
      </c>
      <c r="M54" s="15" t="inlineStr">
        <is>
          <t>Stück</t>
        </is>
      </c>
      <c r="N54" s="15" t="inlineStr">
        <is>
          <t>gebraucht</t>
        </is>
      </c>
      <c r="O54" s="19" t="n"/>
      <c r="P54" s="19" t="inlineStr">
        <is>
          <t>entfällt</t>
        </is>
      </c>
      <c r="Q54" s="19" t="n"/>
      <c r="R54" s="20" t="n"/>
      <c r="S54" s="20" t="n">
        <v>12</v>
      </c>
      <c r="T54" s="19" t="inlineStr">
        <is>
          <t>VHB</t>
        </is>
      </c>
      <c r="U54" s="21">
        <f>L54*S54</f>
        <v/>
      </c>
      <c r="V54" s="15" t="inlineStr">
        <is>
          <t>Versand möglich</t>
        </is>
      </c>
      <c r="W54" s="15" t="inlineStr">
        <is>
          <t>F-016</t>
        </is>
      </c>
      <c r="X54" s="19" t="inlineStr">
        <is>
          <t>ja</t>
        </is>
      </c>
      <c r="Y54" s="19" t="n"/>
      <c r="Z54" s="19" t="inlineStr">
        <is>
          <t>verfügbar</t>
        </is>
      </c>
      <c r="AA54" s="19" t="n"/>
      <c r="AB54" s="19" t="n"/>
      <c r="AC54" s="19" t="n"/>
      <c r="AD54" s="19" t="n"/>
      <c r="AE54" s="20" t="n"/>
      <c r="AF54" s="21">
        <f>IF(K54="","",K54*AE54)</f>
        <v/>
      </c>
      <c r="AG54" s="19" t="n"/>
      <c r="AH54" s="19" t="n"/>
      <c r="AI54" s="19" t="n"/>
      <c r="AJ54" s="19" t="n"/>
      <c r="AK54" s="19" t="n"/>
      <c r="AL54" s="19" t="n"/>
      <c r="AM54" s="16" t="inlineStr">
        <is>
          <t>ca. 8 Stück im Bild - bitte nachzählen</t>
        </is>
      </c>
      <c r="AN54" s="22" t="n"/>
    </row>
    <row r="55" ht="30" customHeight="1">
      <c r="A55" s="15" t="inlineStr">
        <is>
          <t>K-027</t>
        </is>
      </c>
      <c r="B55" s="15" t="n"/>
      <c r="C55" s="15" t="n"/>
      <c r="D55" s="15" t="inlineStr">
        <is>
          <t>NE05</t>
        </is>
      </c>
      <c r="E55" s="15" t="inlineStr">
        <is>
          <t>Kinder-Hochstuhl</t>
        </is>
      </c>
      <c r="F55" s="16" t="inlineStr">
        <is>
          <t>Klappbarer Hochstuhl, Holz/weiß</t>
        </is>
      </c>
      <c r="G55" s="15" t="inlineStr">
        <is>
          <t>Kita-Ausstattung</t>
        </is>
      </c>
      <c r="H55" s="15" t="inlineStr">
        <is>
          <t>Speisesaal</t>
        </is>
      </c>
      <c r="I55" s="15" t="inlineStr">
        <is>
          <t>C</t>
        </is>
      </c>
      <c r="J55" s="17" t="n">
        <v>1</v>
      </c>
      <c r="K55" s="17" t="n"/>
      <c r="L55" s="18">
        <f>J55-IF(K55="",0,K55)</f>
        <v/>
      </c>
      <c r="M55" s="15" t="inlineStr">
        <is>
          <t>Stück</t>
        </is>
      </c>
      <c r="N55" s="15" t="inlineStr">
        <is>
          <t>gebraucht</t>
        </is>
      </c>
      <c r="O55" s="19" t="n"/>
      <c r="P55" s="19" t="inlineStr">
        <is>
          <t>entfällt</t>
        </is>
      </c>
      <c r="Q55" s="19" t="n"/>
      <c r="R55" s="20" t="n"/>
      <c r="S55" s="20" t="n">
        <v>40</v>
      </c>
      <c r="T55" s="19" t="inlineStr">
        <is>
          <t>VHB</t>
        </is>
      </c>
      <c r="U55" s="21">
        <f>L55*S55</f>
        <v/>
      </c>
      <c r="V55" s="15" t="inlineStr">
        <is>
          <t>Versand möglich</t>
        </is>
      </c>
      <c r="W55" s="15" t="inlineStr">
        <is>
          <t>F-016</t>
        </is>
      </c>
      <c r="X55" s="19" t="inlineStr">
        <is>
          <t>ja</t>
        </is>
      </c>
      <c r="Y55" s="19" t="n"/>
      <c r="Z55" s="19" t="inlineStr">
        <is>
          <t>verfügbar</t>
        </is>
      </c>
      <c r="AA55" s="19" t="n"/>
      <c r="AB55" s="19" t="n"/>
      <c r="AC55" s="19" t="n"/>
      <c r="AD55" s="19" t="n"/>
      <c r="AE55" s="20" t="n"/>
      <c r="AF55" s="21">
        <f>IF(K55="","",K55*AE55)</f>
        <v/>
      </c>
      <c r="AG55" s="19" t="n"/>
      <c r="AH55" s="19" t="n"/>
      <c r="AI55" s="19" t="n"/>
      <c r="AJ55" s="19" t="n"/>
      <c r="AK55" s="19" t="n"/>
      <c r="AL55" s="19" t="n"/>
      <c r="AM55" s="16" t="inlineStr">
        <is>
          <t>1 Stück im Bild</t>
        </is>
      </c>
      <c r="AN55" s="22" t="n"/>
    </row>
    <row r="56" ht="30" customHeight="1">
      <c r="A56" s="15" t="inlineStr">
        <is>
          <t>K-029</t>
        </is>
      </c>
      <c r="B56" s="15" t="n"/>
      <c r="C56" s="15" t="n"/>
      <c r="D56" s="15" t="inlineStr">
        <is>
          <t>NE05</t>
        </is>
      </c>
      <c r="E56" s="15" t="inlineStr">
        <is>
          <t>Whiteboard Sprechblasenform</t>
        </is>
      </c>
      <c r="F56" s="16" t="inlineStr">
        <is>
          <t>Magnetisches Whiteboard in Sprechblasenform</t>
        </is>
      </c>
      <c r="G56" s="15" t="inlineStr">
        <is>
          <t>Büro</t>
        </is>
      </c>
      <c r="H56" s="15" t="inlineStr">
        <is>
          <t>Speisesaal</t>
        </is>
      </c>
      <c r="I56" s="15" t="inlineStr">
        <is>
          <t>C</t>
        </is>
      </c>
      <c r="J56" s="17" t="n">
        <v>1</v>
      </c>
      <c r="K56" s="17" t="n"/>
      <c r="L56" s="18">
        <f>J56-IF(K56="",0,K56)</f>
        <v/>
      </c>
      <c r="M56" s="15" t="inlineStr">
        <is>
          <t>Stück</t>
        </is>
      </c>
      <c r="N56" s="15" t="inlineStr">
        <is>
          <t>gut</t>
        </is>
      </c>
      <c r="O56" s="19" t="n"/>
      <c r="P56" s="19" t="inlineStr">
        <is>
          <t>entfällt</t>
        </is>
      </c>
      <c r="Q56" s="19" t="n"/>
      <c r="R56" s="20" t="n"/>
      <c r="S56" s="20" t="n">
        <v>35</v>
      </c>
      <c r="T56" s="19" t="inlineStr">
        <is>
          <t>VHB</t>
        </is>
      </c>
      <c r="U56" s="21">
        <f>L56*S56</f>
        <v/>
      </c>
      <c r="V56" s="15" t="inlineStr">
        <is>
          <t>Versand möglich</t>
        </is>
      </c>
      <c r="W56" s="15" t="inlineStr">
        <is>
          <t>F-017</t>
        </is>
      </c>
      <c r="X56" s="19" t="inlineStr">
        <is>
          <t>ja</t>
        </is>
      </c>
      <c r="Y56" s="19" t="n"/>
      <c r="Z56" s="19" t="inlineStr">
        <is>
          <t>verfügbar</t>
        </is>
      </c>
      <c r="AA56" s="19" t="n"/>
      <c r="AB56" s="19" t="n"/>
      <c r="AC56" s="19" t="n"/>
      <c r="AD56" s="19" t="n"/>
      <c r="AE56" s="20" t="n"/>
      <c r="AF56" s="21">
        <f>IF(K56="","",K56*AE56)</f>
        <v/>
      </c>
      <c r="AG56" s="19" t="n"/>
      <c r="AH56" s="19" t="n"/>
      <c r="AI56" s="19" t="n"/>
      <c r="AJ56" s="19" t="n"/>
      <c r="AK56" s="19" t="n"/>
      <c r="AL56" s="19" t="n"/>
      <c r="AM56" s="16" t="inlineStr">
        <is>
          <t>1 Stück im Bild</t>
        </is>
      </c>
      <c r="AN56" s="22" t="n"/>
    </row>
    <row r="57" ht="30" customHeight="1">
      <c r="A57" s="15" t="inlineStr">
        <is>
          <t>K-030</t>
        </is>
      </c>
      <c r="B57" s="15" t="n"/>
      <c r="C57" s="15" t="n"/>
      <c r="D57" s="15" t="inlineStr">
        <is>
          <t>NU01</t>
        </is>
      </c>
      <c r="E57" s="15" t="inlineStr">
        <is>
          <t>Bücherschrank weiß, Landhausstil</t>
        </is>
      </c>
      <c r="F57" s="16" t="inlineStr">
        <is>
          <t>Weiß, Sprossen-Glastüren, mehrere Fachböden</t>
        </is>
      </c>
      <c r="G57" s="15" t="inlineStr">
        <is>
          <t>Möbel</t>
        </is>
      </c>
      <c r="H57" s="15" t="inlineStr">
        <is>
          <t>Flur</t>
        </is>
      </c>
      <c r="I57" s="15" t="inlineStr">
        <is>
          <t>B</t>
        </is>
      </c>
      <c r="J57" s="17" t="n">
        <v>1</v>
      </c>
      <c r="K57" s="17" t="n"/>
      <c r="L57" s="18">
        <f>J57-IF(K57="",0,K57)</f>
        <v/>
      </c>
      <c r="M57" s="15" t="inlineStr">
        <is>
          <t>Stück</t>
        </is>
      </c>
      <c r="N57" s="15" t="inlineStr">
        <is>
          <t>gut</t>
        </is>
      </c>
      <c r="O57" s="19" t="n"/>
      <c r="P57" s="19" t="inlineStr">
        <is>
          <t>entfällt</t>
        </is>
      </c>
      <c r="Q57" s="19" t="n"/>
      <c r="R57" s="20" t="n"/>
      <c r="S57" s="20" t="n">
        <v>180</v>
      </c>
      <c r="T57" s="19" t="inlineStr">
        <is>
          <t>VHB</t>
        </is>
      </c>
      <c r="U57" s="21">
        <f>L57*S57</f>
        <v/>
      </c>
      <c r="V57" s="15" t="inlineStr">
        <is>
          <t>nur Abholung</t>
        </is>
      </c>
      <c r="W57" s="15" t="inlineStr">
        <is>
          <t>F-018</t>
        </is>
      </c>
      <c r="X57" s="19" t="inlineStr">
        <is>
          <t>ja</t>
        </is>
      </c>
      <c r="Y57" s="19" t="n"/>
      <c r="Z57" s="19" t="inlineStr">
        <is>
          <t>verfügbar</t>
        </is>
      </c>
      <c r="AA57" s="19" t="n"/>
      <c r="AB57" s="19" t="n"/>
      <c r="AC57" s="19" t="n"/>
      <c r="AD57" s="19" t="n"/>
      <c r="AE57" s="20" t="n"/>
      <c r="AF57" s="21">
        <f>IF(K57="","",K57*AE57)</f>
        <v/>
      </c>
      <c r="AG57" s="19" t="n"/>
      <c r="AH57" s="19" t="n"/>
      <c r="AI57" s="19" t="n"/>
      <c r="AJ57" s="19" t="n"/>
      <c r="AK57" s="19" t="n"/>
      <c r="AL57" s="19" t="n"/>
      <c r="AM57" s="16" t="inlineStr">
        <is>
          <t>1 Schrank im Bild (Bücher nicht enthalten)</t>
        </is>
      </c>
      <c r="AN57" s="22" t="n"/>
    </row>
    <row r="58" ht="30" customHeight="1">
      <c r="A58" s="15" t="inlineStr">
        <is>
          <t>K-032</t>
        </is>
      </c>
      <c r="B58" s="15" t="n"/>
      <c r="C58" s="15" t="n"/>
      <c r="D58" s="15" t="inlineStr">
        <is>
          <t>NU01</t>
        </is>
      </c>
      <c r="E58" s="15" t="inlineStr">
        <is>
          <t>Hocker rot</t>
        </is>
      </c>
      <c r="F58" s="16" t="inlineStr">
        <is>
          <t>Passend zur Sitzgruppe, rot bezogen</t>
        </is>
      </c>
      <c r="G58" s="15" t="inlineStr">
        <is>
          <t>Möbel</t>
        </is>
      </c>
      <c r="H58" s="15" t="inlineStr">
        <is>
          <t>Flur</t>
        </is>
      </c>
      <c r="I58" s="15" t="inlineStr">
        <is>
          <t>B</t>
        </is>
      </c>
      <c r="J58" s="17" t="n">
        <v>2</v>
      </c>
      <c r="K58" s="17" t="n"/>
      <c r="L58" s="18">
        <f>J58-IF(K58="",0,K58)</f>
        <v/>
      </c>
      <c r="M58" s="15" t="inlineStr">
        <is>
          <t>Stück</t>
        </is>
      </c>
      <c r="N58" s="15" t="inlineStr">
        <is>
          <t>gut</t>
        </is>
      </c>
      <c r="O58" s="19" t="n"/>
      <c r="P58" s="19" t="inlineStr">
        <is>
          <t>entfällt</t>
        </is>
      </c>
      <c r="Q58" s="19" t="n"/>
      <c r="R58" s="20" t="n"/>
      <c r="S58" s="20" t="n">
        <v>90</v>
      </c>
      <c r="T58" s="19" t="inlineStr">
        <is>
          <t>VHB</t>
        </is>
      </c>
      <c r="U58" s="21">
        <f>L58*S58</f>
        <v/>
      </c>
      <c r="V58" s="15" t="inlineStr">
        <is>
          <t>Versand möglich</t>
        </is>
      </c>
      <c r="W58" s="15" t="inlineStr">
        <is>
          <t>F-019</t>
        </is>
      </c>
      <c r="X58" s="19" t="inlineStr">
        <is>
          <t>ja</t>
        </is>
      </c>
      <c r="Y58" s="19" t="n"/>
      <c r="Z58" s="19" t="inlineStr">
        <is>
          <t>verfügbar</t>
        </is>
      </c>
      <c r="AA58" s="19" t="n"/>
      <c r="AB58" s="19" t="n"/>
      <c r="AC58" s="19" t="n"/>
      <c r="AD58" s="19" t="n"/>
      <c r="AE58" s="20" t="n"/>
      <c r="AF58" s="21">
        <f>IF(K58="","",K58*AE58)</f>
        <v/>
      </c>
      <c r="AG58" s="19" t="n"/>
      <c r="AH58" s="19" t="n"/>
      <c r="AI58" s="19" t="n"/>
      <c r="AJ58" s="19" t="n"/>
      <c r="AK58" s="19" t="n"/>
      <c r="AL58" s="19" t="n"/>
      <c r="AM58" s="16" t="inlineStr">
        <is>
          <t>2 Stück im Bild</t>
        </is>
      </c>
      <c r="AN58" s="22" t="n"/>
    </row>
    <row r="59" ht="30" customHeight="1">
      <c r="A59" s="15" t="inlineStr">
        <is>
          <t>K-033</t>
        </is>
      </c>
      <c r="B59" s="15" t="n"/>
      <c r="C59" s="15" t="n"/>
      <c r="D59" s="15" t="inlineStr">
        <is>
          <t>NU01</t>
        </is>
      </c>
      <c r="E59" s="15" t="inlineStr">
        <is>
          <t>USM Haller Regal weiß</t>
        </is>
      </c>
      <c r="F59" s="16" t="inlineStr">
        <is>
          <t>USM Haller, weiß, 3 Ebenen, offen, verchromtes Rohrgestell mit Kugelverbindern</t>
        </is>
      </c>
      <c r="G59" s="15" t="inlineStr">
        <is>
          <t>Designmöbel</t>
        </is>
      </c>
      <c r="H59" s="15" t="inlineStr">
        <is>
          <t>Flur</t>
        </is>
      </c>
      <c r="I59" s="15" t="inlineStr">
        <is>
          <t>A</t>
        </is>
      </c>
      <c r="J59" s="17" t="n">
        <v>2</v>
      </c>
      <c r="K59" s="17" t="n"/>
      <c r="L59" s="18">
        <f>J59-IF(K59="",0,K59)</f>
        <v/>
      </c>
      <c r="M59" s="15" t="inlineStr">
        <is>
          <t>Stück</t>
        </is>
      </c>
      <c r="N59" s="15" t="inlineStr">
        <is>
          <t>gut</t>
        </is>
      </c>
      <c r="O59" s="19" t="n"/>
      <c r="P59" s="19" t="inlineStr">
        <is>
          <t>entfällt</t>
        </is>
      </c>
      <c r="Q59" s="19" t="n"/>
      <c r="R59" s="20" t="n"/>
      <c r="S59" s="20" t="n">
        <v>850</v>
      </c>
      <c r="T59" s="19" t="inlineStr">
        <is>
          <t>VHB</t>
        </is>
      </c>
      <c r="U59" s="21">
        <f>L59*S59</f>
        <v/>
      </c>
      <c r="V59" s="15" t="inlineStr">
        <is>
          <t>nur Abholung</t>
        </is>
      </c>
      <c r="W59" s="15" t="inlineStr">
        <is>
          <t>F-020</t>
        </is>
      </c>
      <c r="X59" s="19" t="inlineStr">
        <is>
          <t>ja</t>
        </is>
      </c>
      <c r="Y59" s="19" t="n"/>
      <c r="Z59" s="19" t="inlineStr">
        <is>
          <t>verfügbar</t>
        </is>
      </c>
      <c r="AA59" s="19" t="n"/>
      <c r="AB59" s="19" t="n"/>
      <c r="AC59" s="19" t="n"/>
      <c r="AD59" s="19" t="n"/>
      <c r="AE59" s="20" t="n"/>
      <c r="AF59" s="21">
        <f>IF(K59="","",K59*AE59)</f>
        <v/>
      </c>
      <c r="AG59" s="19" t="n"/>
      <c r="AH59" s="19" t="n"/>
      <c r="AI59" s="19" t="n"/>
      <c r="AJ59" s="19" t="n"/>
      <c r="AK59" s="19" t="n"/>
      <c r="AL59" s="19" t="n"/>
      <c r="AM59" s="16" t="inlineStr">
        <is>
          <t>2 Regale im Bild</t>
        </is>
      </c>
      <c r="AN59" s="22" t="n"/>
    </row>
    <row r="60" ht="30" customHeight="1">
      <c r="A60" s="15" t="inlineStr">
        <is>
          <t>K-037</t>
        </is>
      </c>
      <c r="B60" s="15" t="n"/>
      <c r="C60" s="15" t="n"/>
      <c r="D60" s="15" t="inlineStr">
        <is>
          <t>BE11</t>
        </is>
      </c>
      <c r="E60" s="15" t="inlineStr">
        <is>
          <t>Ringlicht LED auf Stativ</t>
        </is>
      </c>
      <c r="F60" s="16" t="inlineStr">
        <is>
          <t>Fotolicht, Ringleuchte mit Stativ</t>
        </is>
      </c>
      <c r="G60" s="15" t="inlineStr">
        <is>
          <t>Technik</t>
        </is>
      </c>
      <c r="H60" s="15" t="inlineStr">
        <is>
          <t>Büro</t>
        </is>
      </c>
      <c r="I60" s="15" t="inlineStr">
        <is>
          <t>C</t>
        </is>
      </c>
      <c r="J60" s="17" t="n">
        <v>1</v>
      </c>
      <c r="K60" s="17" t="n"/>
      <c r="L60" s="18">
        <f>J60-IF(K60="",0,K60)</f>
        <v/>
      </c>
      <c r="M60" s="15" t="inlineStr">
        <is>
          <t>Stück</t>
        </is>
      </c>
      <c r="N60" s="15" t="inlineStr">
        <is>
          <t>gut</t>
        </is>
      </c>
      <c r="O60" s="19" t="n"/>
      <c r="P60" s="19" t="inlineStr">
        <is>
          <t>entfällt</t>
        </is>
      </c>
      <c r="Q60" s="19" t="n"/>
      <c r="R60" s="20" t="n"/>
      <c r="S60" s="20" t="n">
        <v>35</v>
      </c>
      <c r="T60" s="19" t="inlineStr">
        <is>
          <t>VHB</t>
        </is>
      </c>
      <c r="U60" s="21">
        <f>L60*S60</f>
        <v/>
      </c>
      <c r="V60" s="15" t="inlineStr">
        <is>
          <t>Versand möglich</t>
        </is>
      </c>
      <c r="W60" s="15" t="inlineStr">
        <is>
          <t>F-023</t>
        </is>
      </c>
      <c r="X60" s="19" t="inlineStr">
        <is>
          <t>ja</t>
        </is>
      </c>
      <c r="Y60" s="19" t="n"/>
      <c r="Z60" s="19" t="inlineStr">
        <is>
          <t>verfügbar</t>
        </is>
      </c>
      <c r="AA60" s="19" t="n"/>
      <c r="AB60" s="19" t="n"/>
      <c r="AC60" s="19" t="n"/>
      <c r="AD60" s="19" t="n"/>
      <c r="AE60" s="20" t="n"/>
      <c r="AF60" s="21">
        <f>IF(K60="","",K60*AE60)</f>
        <v/>
      </c>
      <c r="AG60" s="19" t="n"/>
      <c r="AH60" s="19" t="n"/>
      <c r="AI60" s="19" t="n"/>
      <c r="AJ60" s="19" t="n"/>
      <c r="AK60" s="19" t="n"/>
      <c r="AL60" s="19" t="n"/>
      <c r="AM60" s="16" t="inlineStr">
        <is>
          <t>1 Stück im Bild</t>
        </is>
      </c>
      <c r="AN60" s="22" t="n"/>
    </row>
    <row r="61" ht="30" customHeight="1">
      <c r="A61" s="15" t="inlineStr">
        <is>
          <t>K-038</t>
        </is>
      </c>
      <c r="B61" s="15" t="n"/>
      <c r="C61" s="15" t="n"/>
      <c r="D61" s="15" t="inlineStr">
        <is>
          <t>BE10</t>
        </is>
      </c>
      <c r="E61" s="15" t="inlineStr">
        <is>
          <t>Konsolentisch schwarz mit Glasplatte</t>
        </is>
      </c>
      <c r="F61" s="16" t="inlineStr">
        <is>
          <t>Metallrahmen schwarz, Glasablagen</t>
        </is>
      </c>
      <c r="G61" s="15" t="inlineStr">
        <is>
          <t>Möbel</t>
        </is>
      </c>
      <c r="H61" s="15" t="inlineStr">
        <is>
          <t>Büro / Besprechung</t>
        </is>
      </c>
      <c r="I61" s="15" t="inlineStr">
        <is>
          <t>C</t>
        </is>
      </c>
      <c r="J61" s="17" t="n">
        <v>1</v>
      </c>
      <c r="K61" s="17" t="n"/>
      <c r="L61" s="18">
        <f>J61-IF(K61="",0,K61)</f>
        <v/>
      </c>
      <c r="M61" s="15" t="inlineStr">
        <is>
          <t>Stück</t>
        </is>
      </c>
      <c r="N61" s="15" t="inlineStr">
        <is>
          <t>gut</t>
        </is>
      </c>
      <c r="O61" s="19" t="n"/>
      <c r="P61" s="19" t="inlineStr">
        <is>
          <t>entfällt</t>
        </is>
      </c>
      <c r="Q61" s="19" t="n"/>
      <c r="R61" s="20" t="n"/>
      <c r="S61" s="20" t="n">
        <v>60</v>
      </c>
      <c r="T61" s="19" t="inlineStr">
        <is>
          <t>VHB</t>
        </is>
      </c>
      <c r="U61" s="21">
        <f>L61*S61</f>
        <v/>
      </c>
      <c r="V61" s="15" t="inlineStr">
        <is>
          <t>nur Abholung</t>
        </is>
      </c>
      <c r="W61" s="15" t="inlineStr">
        <is>
          <t>F-024</t>
        </is>
      </c>
      <c r="X61" s="19" t="inlineStr">
        <is>
          <t>ja</t>
        </is>
      </c>
      <c r="Y61" s="19" t="n"/>
      <c r="Z61" s="19" t="inlineStr">
        <is>
          <t>verfügbar</t>
        </is>
      </c>
      <c r="AA61" s="19" t="n"/>
      <c r="AB61" s="19" t="n"/>
      <c r="AC61" s="19" t="n"/>
      <c r="AD61" s="19" t="n"/>
      <c r="AE61" s="20" t="n"/>
      <c r="AF61" s="21">
        <f>IF(K61="","",K61*AE61)</f>
        <v/>
      </c>
      <c r="AG61" s="19" t="n"/>
      <c r="AH61" s="19" t="n"/>
      <c r="AI61" s="19" t="n"/>
      <c r="AJ61" s="19" t="n"/>
      <c r="AK61" s="19" t="n"/>
      <c r="AL61" s="19" t="n"/>
      <c r="AM61" s="16" t="inlineStr">
        <is>
          <t>1 Stück im Bild</t>
        </is>
      </c>
      <c r="AN61" s="22" t="n"/>
    </row>
    <row r="62" ht="30" customHeight="1">
      <c r="A62" s="15" t="inlineStr">
        <is>
          <t>K-039</t>
        </is>
      </c>
      <c r="B62" s="15" t="n"/>
      <c r="C62" s="15" t="n"/>
      <c r="D62" s="15" t="inlineStr">
        <is>
          <t>BE10</t>
        </is>
      </c>
      <c r="E62" s="15" t="inlineStr">
        <is>
          <t>Kinderfahrzeug Kuh</t>
        </is>
      </c>
      <c r="F62" s="16" t="inlineStr">
        <is>
          <t>Wheely-Bug-Typ, Rutschfahrzeug für Kinder, Plüsch mit Rollen</t>
        </is>
      </c>
      <c r="G62" s="15" t="inlineStr">
        <is>
          <t>Kita-Ausstattung</t>
        </is>
      </c>
      <c r="H62" s="15" t="inlineStr">
        <is>
          <t>Büro / Besprechung</t>
        </is>
      </c>
      <c r="I62" s="15" t="inlineStr">
        <is>
          <t>C</t>
        </is>
      </c>
      <c r="J62" s="17" t="n">
        <v>1</v>
      </c>
      <c r="K62" s="17" t="n"/>
      <c r="L62" s="18">
        <f>J62-IF(K62="",0,K62)</f>
        <v/>
      </c>
      <c r="M62" s="15" t="inlineStr">
        <is>
          <t>Stück</t>
        </is>
      </c>
      <c r="N62" s="15" t="inlineStr">
        <is>
          <t>gebraucht</t>
        </is>
      </c>
      <c r="O62" s="19" t="n"/>
      <c r="P62" s="19" t="inlineStr">
        <is>
          <t>entfällt</t>
        </is>
      </c>
      <c r="Q62" s="19" t="n"/>
      <c r="R62" s="20" t="n"/>
      <c r="S62" s="20" t="n">
        <v>35</v>
      </c>
      <c r="T62" s="19" t="inlineStr">
        <is>
          <t>VHB</t>
        </is>
      </c>
      <c r="U62" s="21">
        <f>L62*S62</f>
        <v/>
      </c>
      <c r="V62" s="15" t="inlineStr">
        <is>
          <t>Versand möglich</t>
        </is>
      </c>
      <c r="W62" s="15" t="inlineStr">
        <is>
          <t>F-024</t>
        </is>
      </c>
      <c r="X62" s="19" t="inlineStr">
        <is>
          <t>ja</t>
        </is>
      </c>
      <c r="Y62" s="19" t="n"/>
      <c r="Z62" s="19" t="inlineStr">
        <is>
          <t>verfügbar</t>
        </is>
      </c>
      <c r="AA62" s="19" t="n"/>
      <c r="AB62" s="19" t="n"/>
      <c r="AC62" s="19" t="n"/>
      <c r="AD62" s="19" t="n"/>
      <c r="AE62" s="20" t="n"/>
      <c r="AF62" s="21">
        <f>IF(K62="","",K62*AE62)</f>
        <v/>
      </c>
      <c r="AG62" s="19" t="n"/>
      <c r="AH62" s="19" t="n"/>
      <c r="AI62" s="19" t="n"/>
      <c r="AJ62" s="19" t="n"/>
      <c r="AK62" s="19" t="n"/>
      <c r="AL62" s="19" t="n"/>
      <c r="AM62" s="16" t="inlineStr">
        <is>
          <t>1 Stück im Bild</t>
        </is>
      </c>
      <c r="AN62" s="22" t="n"/>
    </row>
    <row r="63" ht="30" customHeight="1">
      <c r="A63" s="15" t="inlineStr">
        <is>
          <t>K-041</t>
        </is>
      </c>
      <c r="B63" s="15" t="n"/>
      <c r="C63" s="15" t="n"/>
      <c r="D63" s="15" t="inlineStr">
        <is>
          <t>BE10</t>
        </is>
      </c>
      <c r="E63" s="15" t="inlineStr">
        <is>
          <t>Kommode Holz, antik</t>
        </is>
      </c>
      <c r="F63" s="16" t="inlineStr">
        <is>
          <t>Alte Holzkommode/Sekretär, dunkel</t>
        </is>
      </c>
      <c r="G63" s="15" t="inlineStr">
        <is>
          <t>Möbel</t>
        </is>
      </c>
      <c r="H63" s="15" t="inlineStr">
        <is>
          <t>Büro / Besprechung</t>
        </is>
      </c>
      <c r="I63" s="15" t="inlineStr">
        <is>
          <t>B</t>
        </is>
      </c>
      <c r="J63" s="17" t="n">
        <v>1</v>
      </c>
      <c r="K63" s="17" t="n"/>
      <c r="L63" s="18">
        <f>J63-IF(K63="",0,K63)</f>
        <v/>
      </c>
      <c r="M63" s="15" t="inlineStr">
        <is>
          <t>Stück</t>
        </is>
      </c>
      <c r="N63" s="15" t="inlineStr">
        <is>
          <t>gebraucht</t>
        </is>
      </c>
      <c r="O63" s="19" t="n"/>
      <c r="P63" s="19" t="inlineStr">
        <is>
          <t>entfällt</t>
        </is>
      </c>
      <c r="Q63" s="19" t="n"/>
      <c r="R63" s="20" t="n"/>
      <c r="S63" s="20" t="n">
        <v>120</v>
      </c>
      <c r="T63" s="19" t="inlineStr">
        <is>
          <t>VHB</t>
        </is>
      </c>
      <c r="U63" s="21">
        <f>L63*S63</f>
        <v/>
      </c>
      <c r="V63" s="15" t="inlineStr">
        <is>
          <t>nur Abholung</t>
        </is>
      </c>
      <c r="W63" s="15" t="inlineStr">
        <is>
          <t>F-025</t>
        </is>
      </c>
      <c r="X63" s="19" t="inlineStr">
        <is>
          <t>ja</t>
        </is>
      </c>
      <c r="Y63" s="19" t="n"/>
      <c r="Z63" s="19" t="inlineStr">
        <is>
          <t>verfügbar</t>
        </is>
      </c>
      <c r="AA63" s="19" t="n"/>
      <c r="AB63" s="19" t="n"/>
      <c r="AC63" s="19" t="n"/>
      <c r="AD63" s="19" t="n"/>
      <c r="AE63" s="20" t="n"/>
      <c r="AF63" s="21">
        <f>IF(K63="","",K63*AE63)</f>
        <v/>
      </c>
      <c r="AG63" s="19" t="n"/>
      <c r="AH63" s="19" t="n"/>
      <c r="AI63" s="19" t="n"/>
      <c r="AJ63" s="19" t="n"/>
      <c r="AK63" s="19" t="n"/>
      <c r="AL63" s="19" t="n"/>
      <c r="AM63" s="16" t="inlineStr">
        <is>
          <t>1 Stück im Bild</t>
        </is>
      </c>
      <c r="AN63" s="22" t="n"/>
    </row>
    <row r="64" ht="30" customHeight="1">
      <c r="A64" s="15" t="inlineStr">
        <is>
          <t>K-044</t>
        </is>
      </c>
      <c r="B64" s="15" t="n"/>
      <c r="C64" s="15" t="n"/>
      <c r="D64" s="15" t="inlineStr">
        <is>
          <t>BE10</t>
        </is>
      </c>
      <c r="E64" s="15" t="inlineStr">
        <is>
          <t>Schalenstuhl weiß mit Holzbeinen</t>
        </is>
      </c>
      <c r="F64" s="16" t="inlineStr">
        <is>
          <t>Kunststoff-Sitzschale weiß, Holzbeine mit Drahtstrebe</t>
        </is>
      </c>
      <c r="G64" s="15" t="inlineStr">
        <is>
          <t>Möbel</t>
        </is>
      </c>
      <c r="H64" s="15" t="inlineStr">
        <is>
          <t>Büro / Besprechung</t>
        </is>
      </c>
      <c r="I64" s="15" t="inlineStr">
        <is>
          <t>B</t>
        </is>
      </c>
      <c r="J64" s="17" t="n">
        <v>8</v>
      </c>
      <c r="K64" s="17" t="n"/>
      <c r="L64" s="18">
        <f>J64-IF(K64="",0,K64)</f>
        <v/>
      </c>
      <c r="M64" s="15" t="inlineStr">
        <is>
          <t>Stück</t>
        </is>
      </c>
      <c r="N64" s="15" t="inlineStr">
        <is>
          <t>gut</t>
        </is>
      </c>
      <c r="O64" s="19" t="n"/>
      <c r="P64" s="19" t="inlineStr">
        <is>
          <t>entfällt</t>
        </is>
      </c>
      <c r="Q64" s="19" t="n"/>
      <c r="R64" s="20" t="n"/>
      <c r="S64" s="20" t="n">
        <v>30</v>
      </c>
      <c r="T64" s="19" t="inlineStr">
        <is>
          <t>VHB</t>
        </is>
      </c>
      <c r="U64" s="21">
        <f>L64*S64</f>
        <v/>
      </c>
      <c r="V64" s="15" t="inlineStr">
        <is>
          <t>Versand möglich</t>
        </is>
      </c>
      <c r="W64" s="15" t="inlineStr">
        <is>
          <t>F-027</t>
        </is>
      </c>
      <c r="X64" s="19" t="inlineStr">
        <is>
          <t>ja</t>
        </is>
      </c>
      <c r="Y64" s="19" t="n"/>
      <c r="Z64" s="19" t="inlineStr">
        <is>
          <t>verfügbar</t>
        </is>
      </c>
      <c r="AA64" s="19" t="n"/>
      <c r="AB64" s="19" t="n"/>
      <c r="AC64" s="19" t="n"/>
      <c r="AD64" s="19" t="n"/>
      <c r="AE64" s="20" t="n"/>
      <c r="AF64" s="21">
        <f>IF(K64="","",K64*AE64)</f>
        <v/>
      </c>
      <c r="AG64" s="19" t="n"/>
      <c r="AH64" s="19" t="n"/>
      <c r="AI64" s="19" t="n"/>
      <c r="AJ64" s="19" t="n"/>
      <c r="AK64" s="19" t="n"/>
      <c r="AL64" s="19" t="n"/>
      <c r="AM64" s="16" t="inlineStr">
        <is>
          <t>ca. 8 Stück im Bild - bitte nachzählen</t>
        </is>
      </c>
      <c r="AN64" s="22" t="n"/>
    </row>
    <row r="65" ht="30" customHeight="1">
      <c r="A65" s="15" t="inlineStr">
        <is>
          <t>K-045</t>
        </is>
      </c>
      <c r="B65" s="15" t="n"/>
      <c r="C65" s="15" t="n"/>
      <c r="D65" s="15" t="inlineStr">
        <is>
          <t>BE10</t>
        </is>
      </c>
      <c r="E65" s="15" t="inlineStr">
        <is>
          <t>Bürodrehstuhl weiß</t>
        </is>
      </c>
      <c r="F65" s="16" t="inlineStr">
        <is>
          <t>Drehstuhl auf Rollen, weiß</t>
        </is>
      </c>
      <c r="G65" s="15" t="inlineStr">
        <is>
          <t>Büro</t>
        </is>
      </c>
      <c r="H65" s="15" t="inlineStr">
        <is>
          <t>Büro / Besprechung</t>
        </is>
      </c>
      <c r="I65" s="15" t="inlineStr">
        <is>
          <t>C</t>
        </is>
      </c>
      <c r="J65" s="17" t="n">
        <v>1</v>
      </c>
      <c r="K65" s="17" t="n"/>
      <c r="L65" s="18">
        <f>J65-IF(K65="",0,K65)</f>
        <v/>
      </c>
      <c r="M65" s="15" t="inlineStr">
        <is>
          <t>Stück</t>
        </is>
      </c>
      <c r="N65" s="15" t="inlineStr">
        <is>
          <t>gebraucht</t>
        </is>
      </c>
      <c r="O65" s="19" t="n"/>
      <c r="P65" s="19" t="inlineStr">
        <is>
          <t>entfällt</t>
        </is>
      </c>
      <c r="Q65" s="19" t="n"/>
      <c r="R65" s="20" t="n"/>
      <c r="S65" s="20" t="n">
        <v>60</v>
      </c>
      <c r="T65" s="19" t="inlineStr">
        <is>
          <t>VHB</t>
        </is>
      </c>
      <c r="U65" s="21">
        <f>L65*S65</f>
        <v/>
      </c>
      <c r="V65" s="15" t="inlineStr">
        <is>
          <t>nur Abholung</t>
        </is>
      </c>
      <c r="W65" s="15" t="inlineStr">
        <is>
          <t>F-027</t>
        </is>
      </c>
      <c r="X65" s="19" t="inlineStr">
        <is>
          <t>ja</t>
        </is>
      </c>
      <c r="Y65" s="19" t="n"/>
      <c r="Z65" s="19" t="inlineStr">
        <is>
          <t>verfügbar</t>
        </is>
      </c>
      <c r="AA65" s="19" t="n"/>
      <c r="AB65" s="19" t="n"/>
      <c r="AC65" s="19" t="n"/>
      <c r="AD65" s="19" t="n"/>
      <c r="AE65" s="20" t="n"/>
      <c r="AF65" s="21">
        <f>IF(K65="","",K65*AE65)</f>
        <v/>
      </c>
      <c r="AG65" s="19" t="n"/>
      <c r="AH65" s="19" t="n"/>
      <c r="AI65" s="19" t="n"/>
      <c r="AJ65" s="19" t="n"/>
      <c r="AK65" s="19" t="n"/>
      <c r="AL65" s="19" t="n"/>
      <c r="AM65" s="16" t="inlineStr">
        <is>
          <t>1 Stück im Bild</t>
        </is>
      </c>
      <c r="AN65" s="22" t="n"/>
    </row>
    <row r="66" ht="30" customHeight="1">
      <c r="A66" s="15" t="inlineStr">
        <is>
          <t>K-046</t>
        </is>
      </c>
      <c r="B66" s="15" t="n"/>
      <c r="C66" s="15" t="n"/>
      <c r="D66" s="15" t="inlineStr">
        <is>
          <t>BE10</t>
        </is>
      </c>
      <c r="E66" s="15" t="inlineStr">
        <is>
          <t>Aktenschrank weiß</t>
        </is>
      </c>
      <c r="F66" s="16" t="inlineStr">
        <is>
          <t>Büroschrank weiß, mit Türen</t>
        </is>
      </c>
      <c r="G66" s="15" t="inlineStr">
        <is>
          <t>Büro</t>
        </is>
      </c>
      <c r="H66" s="15" t="inlineStr">
        <is>
          <t>Büro / Besprechung</t>
        </is>
      </c>
      <c r="I66" s="15" t="inlineStr">
        <is>
          <t>B</t>
        </is>
      </c>
      <c r="J66" s="17" t="n">
        <v>2</v>
      </c>
      <c r="K66" s="17" t="n"/>
      <c r="L66" s="18">
        <f>J66-IF(K66="",0,K66)</f>
        <v/>
      </c>
      <c r="M66" s="15" t="inlineStr">
        <is>
          <t>Stück</t>
        </is>
      </c>
      <c r="N66" s="15" t="inlineStr">
        <is>
          <t>gut</t>
        </is>
      </c>
      <c r="O66" s="19" t="n"/>
      <c r="P66" s="19" t="inlineStr">
        <is>
          <t>entfällt</t>
        </is>
      </c>
      <c r="Q66" s="19" t="n"/>
      <c r="R66" s="20" t="n"/>
      <c r="S66" s="20" t="n">
        <v>90</v>
      </c>
      <c r="T66" s="19" t="inlineStr">
        <is>
          <t>VHB</t>
        </is>
      </c>
      <c r="U66" s="21">
        <f>L66*S66</f>
        <v/>
      </c>
      <c r="V66" s="15" t="inlineStr">
        <is>
          <t>nur Abholung</t>
        </is>
      </c>
      <c r="W66" s="15" t="inlineStr">
        <is>
          <t>F-027</t>
        </is>
      </c>
      <c r="X66" s="19" t="inlineStr">
        <is>
          <t>ja</t>
        </is>
      </c>
      <c r="Y66" s="19" t="n"/>
      <c r="Z66" s="19" t="inlineStr">
        <is>
          <t>verfügbar</t>
        </is>
      </c>
      <c r="AA66" s="19" t="n"/>
      <c r="AB66" s="19" t="n"/>
      <c r="AC66" s="19" t="n"/>
      <c r="AD66" s="19" t="n"/>
      <c r="AE66" s="20" t="n"/>
      <c r="AF66" s="21">
        <f>IF(K66="","",K66*AE66)</f>
        <v/>
      </c>
      <c r="AG66" s="19" t="n"/>
      <c r="AH66" s="19" t="n"/>
      <c r="AI66" s="19" t="n"/>
      <c r="AJ66" s="19" t="n"/>
      <c r="AK66" s="19" t="n"/>
      <c r="AL66" s="19" t="n"/>
      <c r="AM66" s="16" t="inlineStr">
        <is>
          <t>2 Schränke im Bild</t>
        </is>
      </c>
      <c r="AN66" s="22" t="n"/>
    </row>
    <row r="67" ht="30" customHeight="1">
      <c r="A67" s="15" t="inlineStr">
        <is>
          <t>K-048</t>
        </is>
      </c>
      <c r="B67" s="15" t="n"/>
      <c r="C67" s="15" t="n"/>
      <c r="D67" s="15" t="inlineStr">
        <is>
          <t>NE01</t>
        </is>
      </c>
      <c r="E67" s="15" t="inlineStr">
        <is>
          <t>Wanddeko Fadenbild rot</t>
        </is>
      </c>
      <c r="F67" s="16" t="inlineStr">
        <is>
          <t>Fadenbild/Mandala auf rundem Holzreif, rot</t>
        </is>
      </c>
      <c r="G67" s="15" t="inlineStr">
        <is>
          <t>Deko</t>
        </is>
      </c>
      <c r="H67" s="15" t="inlineStr">
        <is>
          <t>Flur</t>
        </is>
      </c>
      <c r="I67" s="15" t="inlineStr">
        <is>
          <t>C</t>
        </is>
      </c>
      <c r="J67" s="17" t="n">
        <v>1</v>
      </c>
      <c r="K67" s="17" t="n"/>
      <c r="L67" s="18">
        <f>J67-IF(K67="",0,K67)</f>
        <v/>
      </c>
      <c r="M67" s="15" t="inlineStr">
        <is>
          <t>Stück</t>
        </is>
      </c>
      <c r="N67" s="15" t="inlineStr">
        <is>
          <t>gut</t>
        </is>
      </c>
      <c r="O67" s="19" t="n"/>
      <c r="P67" s="19" t="inlineStr">
        <is>
          <t>entfällt</t>
        </is>
      </c>
      <c r="Q67" s="19" t="n"/>
      <c r="R67" s="20" t="n"/>
      <c r="S67" s="20" t="n">
        <v>30</v>
      </c>
      <c r="T67" s="19" t="inlineStr">
        <is>
          <t>VHB</t>
        </is>
      </c>
      <c r="U67" s="21">
        <f>L67*S67</f>
        <v/>
      </c>
      <c r="V67" s="15" t="inlineStr">
        <is>
          <t>Versand möglich</t>
        </is>
      </c>
      <c r="W67" s="15" t="inlineStr">
        <is>
          <t>F-029</t>
        </is>
      </c>
      <c r="X67" s="19" t="inlineStr">
        <is>
          <t>ja</t>
        </is>
      </c>
      <c r="Y67" s="19" t="n"/>
      <c r="Z67" s="19" t="inlineStr">
        <is>
          <t>verfügbar</t>
        </is>
      </c>
      <c r="AA67" s="19" t="n"/>
      <c r="AB67" s="19" t="n"/>
      <c r="AC67" s="19" t="n"/>
      <c r="AD67" s="19" t="n"/>
      <c r="AE67" s="20" t="n"/>
      <c r="AF67" s="21">
        <f>IF(K67="","",K67*AE67)</f>
        <v/>
      </c>
      <c r="AG67" s="19" t="n"/>
      <c r="AH67" s="19" t="n"/>
      <c r="AI67" s="19" t="n"/>
      <c r="AJ67" s="19" t="n"/>
      <c r="AK67" s="19" t="n"/>
      <c r="AL67" s="19" t="n"/>
      <c r="AM67" s="16" t="inlineStr">
        <is>
          <t>1 Stück im Bild</t>
        </is>
      </c>
      <c r="AN67" s="22" t="n"/>
    </row>
    <row r="68" ht="30" customHeight="1">
      <c r="A68" s="15" t="inlineStr">
        <is>
          <t>K-063</t>
        </is>
      </c>
      <c r="B68" s="15" t="n"/>
      <c r="C68" s="15" t="n"/>
      <c r="D68" s="15" t="inlineStr">
        <is>
          <t>BE01</t>
        </is>
      </c>
      <c r="E68" s="15" t="inlineStr">
        <is>
          <t>Pompon-Kranz rot</t>
        </is>
      </c>
      <c r="F68" s="16" t="inlineStr">
        <is>
          <t>Türkranz aus roten Wollbommeln, Eigenarbeit</t>
        </is>
      </c>
      <c r="G68" s="15" t="inlineStr">
        <is>
          <t>Deko</t>
        </is>
      </c>
      <c r="H68" s="15" t="inlineStr">
        <is>
          <t>Flur 1</t>
        </is>
      </c>
      <c r="I68" s="15" t="inlineStr">
        <is>
          <t>C</t>
        </is>
      </c>
      <c r="J68" s="17" t="n">
        <v>1</v>
      </c>
      <c r="K68" s="17" t="n"/>
      <c r="L68" s="18">
        <f>J68-IF(K68="",0,K68)</f>
        <v/>
      </c>
      <c r="M68" s="15" t="inlineStr">
        <is>
          <t>Stück</t>
        </is>
      </c>
      <c r="N68" s="15" t="inlineStr">
        <is>
          <t>gut</t>
        </is>
      </c>
      <c r="O68" s="19" t="n"/>
      <c r="P68" s="19" t="inlineStr">
        <is>
          <t>entfällt</t>
        </is>
      </c>
      <c r="Q68" s="19" t="n"/>
      <c r="R68" s="20" t="n"/>
      <c r="S68" s="20" t="n">
        <v>25</v>
      </c>
      <c r="T68" s="19" t="inlineStr">
        <is>
          <t>VHB</t>
        </is>
      </c>
      <c r="U68" s="21">
        <f>L68*S68</f>
        <v/>
      </c>
      <c r="V68" s="15" t="inlineStr">
        <is>
          <t>Versand möglich</t>
        </is>
      </c>
      <c r="W68" s="15" t="inlineStr">
        <is>
          <t>F-052</t>
        </is>
      </c>
      <c r="X68" s="19" t="inlineStr">
        <is>
          <t>ja</t>
        </is>
      </c>
      <c r="Y68" s="19" t="n"/>
      <c r="Z68" s="19" t="inlineStr">
        <is>
          <t>verfügbar</t>
        </is>
      </c>
      <c r="AA68" s="19" t="n"/>
      <c r="AB68" s="19" t="n"/>
      <c r="AC68" s="19" t="n"/>
      <c r="AD68" s="19" t="n"/>
      <c r="AE68" s="20" t="n"/>
      <c r="AF68" s="21">
        <f>IF(K68="","",K68*AE68)</f>
        <v/>
      </c>
      <c r="AG68" s="19" t="n"/>
      <c r="AH68" s="19" t="n"/>
      <c r="AI68" s="19" t="n"/>
      <c r="AJ68" s="19" t="n"/>
      <c r="AK68" s="19" t="n"/>
      <c r="AL68" s="19" t="n"/>
      <c r="AM68" s="16" t="inlineStr">
        <is>
          <t>1 Stück im Bild</t>
        </is>
      </c>
      <c r="AN68" s="22" t="n"/>
    </row>
    <row r="69" ht="30" customHeight="1">
      <c r="A69" s="15" t="inlineStr">
        <is>
          <t>K-067</t>
        </is>
      </c>
      <c r="B69" s="15" t="n"/>
      <c r="C69" s="15" t="n"/>
      <c r="D69" s="15" t="inlineStr">
        <is>
          <t>NE01</t>
        </is>
      </c>
      <c r="E69" s="15" t="inlineStr">
        <is>
          <t>Laterne schwarz</t>
        </is>
      </c>
      <c r="F69" s="16" t="inlineStr">
        <is>
          <t>Metall-Glas-Laterne, schwarz</t>
        </is>
      </c>
      <c r="G69" s="15" t="inlineStr">
        <is>
          <t>Deko</t>
        </is>
      </c>
      <c r="H69" s="15" t="inlineStr">
        <is>
          <t>Flur</t>
        </is>
      </c>
      <c r="I69" s="15" t="inlineStr">
        <is>
          <t>C</t>
        </is>
      </c>
      <c r="J69" s="17" t="n">
        <v>1</v>
      </c>
      <c r="K69" s="17" t="n"/>
      <c r="L69" s="18">
        <f>J69-IF(K69="",0,K69)</f>
        <v/>
      </c>
      <c r="M69" s="15" t="inlineStr">
        <is>
          <t>Stück</t>
        </is>
      </c>
      <c r="N69" s="15" t="inlineStr">
        <is>
          <t>gut</t>
        </is>
      </c>
      <c r="O69" s="19" t="n"/>
      <c r="P69" s="19" t="inlineStr">
        <is>
          <t>entfällt</t>
        </is>
      </c>
      <c r="Q69" s="19" t="n"/>
      <c r="R69" s="20" t="n"/>
      <c r="S69" s="20" t="n">
        <v>20</v>
      </c>
      <c r="T69" s="19" t="inlineStr">
        <is>
          <t>VHB</t>
        </is>
      </c>
      <c r="U69" s="21">
        <f>L69*S69</f>
        <v/>
      </c>
      <c r="V69" s="15" t="inlineStr">
        <is>
          <t>Versand möglich</t>
        </is>
      </c>
      <c r="W69" s="15" t="inlineStr">
        <is>
          <t>F-072</t>
        </is>
      </c>
      <c r="X69" s="19" t="inlineStr">
        <is>
          <t>ja</t>
        </is>
      </c>
      <c r="Y69" s="19" t="n"/>
      <c r="Z69" s="19" t="inlineStr">
        <is>
          <t>verfügbar</t>
        </is>
      </c>
      <c r="AA69" s="19" t="n"/>
      <c r="AB69" s="19" t="n"/>
      <c r="AC69" s="19" t="n"/>
      <c r="AD69" s="19" t="n"/>
      <c r="AE69" s="20" t="n"/>
      <c r="AF69" s="21">
        <f>IF(K69="","",K69*AE69)</f>
        <v/>
      </c>
      <c r="AG69" s="19" t="n"/>
      <c r="AH69" s="19" t="n"/>
      <c r="AI69" s="19" t="n"/>
      <c r="AJ69" s="19" t="n"/>
      <c r="AK69" s="19" t="n"/>
      <c r="AL69" s="19" t="n"/>
      <c r="AM69" s="16" t="inlineStr">
        <is>
          <t>1 Stück im Bild</t>
        </is>
      </c>
      <c r="AN69" s="22" t="n"/>
    </row>
    <row r="70" ht="30" customHeight="1">
      <c r="A70" s="15" t="inlineStr">
        <is>
          <t>K-069</t>
        </is>
      </c>
      <c r="B70" s="15" t="n"/>
      <c r="C70" s="15" t="n"/>
      <c r="D70" s="15" t="inlineStr">
        <is>
          <t>NE01</t>
        </is>
      </c>
      <c r="E70" s="15" t="inlineStr">
        <is>
          <t>Deko-Ring schwarz auf Sockel</t>
        </is>
      </c>
      <c r="F70" s="16" t="inlineStr">
        <is>
          <t>Skulpturaler Ring, schwarz, auf Standfuß</t>
        </is>
      </c>
      <c r="G70" s="15" t="inlineStr">
        <is>
          <t>Deko</t>
        </is>
      </c>
      <c r="H70" s="15" t="inlineStr">
        <is>
          <t>Flur</t>
        </is>
      </c>
      <c r="I70" s="15" t="inlineStr">
        <is>
          <t>C</t>
        </is>
      </c>
      <c r="J70" s="17" t="n">
        <v>1</v>
      </c>
      <c r="K70" s="17" t="n"/>
      <c r="L70" s="18">
        <f>J70-IF(K70="",0,K70)</f>
        <v/>
      </c>
      <c r="M70" s="15" t="inlineStr">
        <is>
          <t>Stück</t>
        </is>
      </c>
      <c r="N70" s="15" t="inlineStr">
        <is>
          <t>gut</t>
        </is>
      </c>
      <c r="O70" s="19" t="n"/>
      <c r="P70" s="19" t="inlineStr">
        <is>
          <t>entfällt</t>
        </is>
      </c>
      <c r="Q70" s="19" t="n"/>
      <c r="R70" s="20" t="n"/>
      <c r="S70" s="20" t="n">
        <v>30</v>
      </c>
      <c r="T70" s="19" t="inlineStr">
        <is>
          <t>VHB</t>
        </is>
      </c>
      <c r="U70" s="21">
        <f>L70*S70</f>
        <v/>
      </c>
      <c r="V70" s="15" t="inlineStr">
        <is>
          <t>Versand möglich</t>
        </is>
      </c>
      <c r="W70" s="15" t="inlineStr">
        <is>
          <t>F-073</t>
        </is>
      </c>
      <c r="X70" s="19" t="inlineStr">
        <is>
          <t>ja</t>
        </is>
      </c>
      <c r="Y70" s="19" t="n"/>
      <c r="Z70" s="19" t="inlineStr">
        <is>
          <t>verfügbar</t>
        </is>
      </c>
      <c r="AA70" s="19" t="n"/>
      <c r="AB70" s="19" t="n"/>
      <c r="AC70" s="19" t="n"/>
      <c r="AD70" s="19" t="n"/>
      <c r="AE70" s="20" t="n"/>
      <c r="AF70" s="21">
        <f>IF(K70="","",K70*AE70)</f>
        <v/>
      </c>
      <c r="AG70" s="19" t="n"/>
      <c r="AH70" s="19" t="n"/>
      <c r="AI70" s="19" t="n"/>
      <c r="AJ70" s="19" t="n"/>
      <c r="AK70" s="19" t="n"/>
      <c r="AL70" s="19" t="n"/>
      <c r="AM70" s="16" t="inlineStr">
        <is>
          <t>1 Stück im Bild</t>
        </is>
      </c>
      <c r="AN70" s="22" t="n"/>
    </row>
    <row r="71" ht="30" customHeight="1">
      <c r="A71" s="15" t="inlineStr">
        <is>
          <t>K-070</t>
        </is>
      </c>
      <c r="B71" s="15" t="n"/>
      <c r="C71" s="15" t="n"/>
      <c r="D71" s="15" t="inlineStr">
        <is>
          <t>NU01</t>
        </is>
      </c>
      <c r="E71" s="15" t="inlineStr">
        <is>
          <t>Bodenvase Keramik beige, groß</t>
        </is>
      </c>
      <c r="F71" s="16" t="inlineStr">
        <is>
          <t>Bodenvase, beige/creme, matt, groß</t>
        </is>
      </c>
      <c r="G71" s="15" t="inlineStr">
        <is>
          <t>Deko</t>
        </is>
      </c>
      <c r="H71" s="15" t="inlineStr">
        <is>
          <t>Flur</t>
        </is>
      </c>
      <c r="I71" s="15" t="inlineStr">
        <is>
          <t>C</t>
        </is>
      </c>
      <c r="J71" s="17" t="n">
        <v>1</v>
      </c>
      <c r="K71" s="17" t="n"/>
      <c r="L71" s="18">
        <f>J71-IF(K71="",0,K71)</f>
        <v/>
      </c>
      <c r="M71" s="15" t="inlineStr">
        <is>
          <t>Stück</t>
        </is>
      </c>
      <c r="N71" s="15" t="inlineStr">
        <is>
          <t>gut</t>
        </is>
      </c>
      <c r="O71" s="19" t="n"/>
      <c r="P71" s="19" t="inlineStr">
        <is>
          <t>entfällt</t>
        </is>
      </c>
      <c r="Q71" s="19" t="n"/>
      <c r="R71" s="20" t="n"/>
      <c r="S71" s="20" t="n">
        <v>90</v>
      </c>
      <c r="T71" s="19" t="inlineStr">
        <is>
          <t>VHB</t>
        </is>
      </c>
      <c r="U71" s="21">
        <f>L71*S71</f>
        <v/>
      </c>
      <c r="V71" s="15" t="inlineStr">
        <is>
          <t>nur Abholung</t>
        </is>
      </c>
      <c r="W71" s="15" t="inlineStr">
        <is>
          <t>F-090</t>
        </is>
      </c>
      <c r="X71" s="19" t="inlineStr">
        <is>
          <t>ja</t>
        </is>
      </c>
      <c r="Y71" s="19" t="n"/>
      <c r="Z71" s="19" t="inlineStr">
        <is>
          <t>verfügbar</t>
        </is>
      </c>
      <c r="AA71" s="19" t="n"/>
      <c r="AB71" s="19" t="n"/>
      <c r="AC71" s="19" t="n"/>
      <c r="AD71" s="19" t="n"/>
      <c r="AE71" s="20" t="n"/>
      <c r="AF71" s="21">
        <f>IF(K71="","",K71*AE71)</f>
        <v/>
      </c>
      <c r="AG71" s="19" t="n"/>
      <c r="AH71" s="19" t="n"/>
      <c r="AI71" s="19" t="n"/>
      <c r="AJ71" s="19" t="n"/>
      <c r="AK71" s="19" t="n"/>
      <c r="AL71" s="19" t="n"/>
      <c r="AM71" s="16" t="inlineStr">
        <is>
          <t>1 Stück im Bild (ohne Treibholz)</t>
        </is>
      </c>
      <c r="AN71" s="22" t="n"/>
    </row>
    <row r="72" ht="30" customHeight="1">
      <c r="A72" s="15" t="inlineStr">
        <is>
          <t>K-071</t>
        </is>
      </c>
      <c r="B72" s="15" t="n"/>
      <c r="C72" s="15" t="n"/>
      <c r="D72" s="15" t="inlineStr">
        <is>
          <t>NU01</t>
        </is>
      </c>
      <c r="E72" s="15" t="inlineStr">
        <is>
          <t>Bodenvase Keramik beige, klein</t>
        </is>
      </c>
      <c r="F72" s="16" t="inlineStr">
        <is>
          <t>Bodenvase, beige/creme, matt, kleiner</t>
        </is>
      </c>
      <c r="G72" s="15" t="inlineStr">
        <is>
          <t>Deko</t>
        </is>
      </c>
      <c r="H72" s="15" t="inlineStr">
        <is>
          <t>Flur</t>
        </is>
      </c>
      <c r="I72" s="15" t="inlineStr">
        <is>
          <t>C</t>
        </is>
      </c>
      <c r="J72" s="17" t="n">
        <v>1</v>
      </c>
      <c r="K72" s="17" t="n"/>
      <c r="L72" s="18">
        <f>J72-IF(K72="",0,K72)</f>
        <v/>
      </c>
      <c r="M72" s="15" t="inlineStr">
        <is>
          <t>Stück</t>
        </is>
      </c>
      <c r="N72" s="15" t="inlineStr">
        <is>
          <t>gut</t>
        </is>
      </c>
      <c r="O72" s="19" t="n"/>
      <c r="P72" s="19" t="inlineStr">
        <is>
          <t>entfällt</t>
        </is>
      </c>
      <c r="Q72" s="19" t="n"/>
      <c r="R72" s="20" t="n"/>
      <c r="S72" s="20" t="n">
        <v>60</v>
      </c>
      <c r="T72" s="19" t="inlineStr">
        <is>
          <t>VHB</t>
        </is>
      </c>
      <c r="U72" s="21">
        <f>L72*S72</f>
        <v/>
      </c>
      <c r="V72" s="15" t="inlineStr">
        <is>
          <t>nur Abholung</t>
        </is>
      </c>
      <c r="W72" s="15" t="inlineStr">
        <is>
          <t>F-090</t>
        </is>
      </c>
      <c r="X72" s="19" t="inlineStr">
        <is>
          <t>ja</t>
        </is>
      </c>
      <c r="Y72" s="19" t="n"/>
      <c r="Z72" s="19" t="inlineStr">
        <is>
          <t>verfügbar</t>
        </is>
      </c>
      <c r="AA72" s="19" t="n"/>
      <c r="AB72" s="19" t="n"/>
      <c r="AC72" s="19" t="n"/>
      <c r="AD72" s="19" t="n"/>
      <c r="AE72" s="20" t="n"/>
      <c r="AF72" s="21">
        <f>IF(K72="","",K72*AE72)</f>
        <v/>
      </c>
      <c r="AG72" s="19" t="n"/>
      <c r="AH72" s="19" t="n"/>
      <c r="AI72" s="19" t="n"/>
      <c r="AJ72" s="19" t="n"/>
      <c r="AK72" s="19" t="n"/>
      <c r="AL72" s="19" t="n"/>
      <c r="AM72" s="16" t="inlineStr">
        <is>
          <t>1 Stück im Bild</t>
        </is>
      </c>
      <c r="AN72" s="22" t="n"/>
    </row>
    <row r="73" ht="30" customHeight="1">
      <c r="A73" s="15" t="inlineStr">
        <is>
          <t>K-073</t>
        </is>
      </c>
      <c r="B73" s="15" t="n"/>
      <c r="C73" s="15" t="n"/>
      <c r="D73" s="15" t="inlineStr">
        <is>
          <t>NU01</t>
        </is>
      </c>
      <c r="E73" s="15" t="inlineStr">
        <is>
          <t>Konsolentisch schwarz, schmal</t>
        </is>
      </c>
      <c r="F73" s="16" t="inlineStr">
        <is>
          <t>Schmaler Metall-Konsolentisch, schwarz</t>
        </is>
      </c>
      <c r="G73" s="15" t="inlineStr">
        <is>
          <t>Möbel</t>
        </is>
      </c>
      <c r="H73" s="15" t="inlineStr">
        <is>
          <t>Flur</t>
        </is>
      </c>
      <c r="I73" s="15" t="inlineStr">
        <is>
          <t>C</t>
        </is>
      </c>
      <c r="J73" s="17" t="n">
        <v>1</v>
      </c>
      <c r="K73" s="17" t="n"/>
      <c r="L73" s="18">
        <f>J73-IF(K73="",0,K73)</f>
        <v/>
      </c>
      <c r="M73" s="15" t="inlineStr">
        <is>
          <t>Stück</t>
        </is>
      </c>
      <c r="N73" s="15" t="inlineStr">
        <is>
          <t>gut</t>
        </is>
      </c>
      <c r="O73" s="19" t="n"/>
      <c r="P73" s="19" t="inlineStr">
        <is>
          <t>entfällt</t>
        </is>
      </c>
      <c r="Q73" s="19" t="n"/>
      <c r="R73" s="20" t="n"/>
      <c r="S73" s="20" t="n">
        <v>70</v>
      </c>
      <c r="T73" s="19" t="inlineStr">
        <is>
          <t>VHB</t>
        </is>
      </c>
      <c r="U73" s="21">
        <f>L73*S73</f>
        <v/>
      </c>
      <c r="V73" s="15" t="inlineStr">
        <is>
          <t>nur Abholung</t>
        </is>
      </c>
      <c r="W73" s="15" t="inlineStr">
        <is>
          <t>F-092</t>
        </is>
      </c>
      <c r="X73" s="19" t="inlineStr">
        <is>
          <t>ja</t>
        </is>
      </c>
      <c r="Y73" s="19" t="n"/>
      <c r="Z73" s="19" t="inlineStr">
        <is>
          <t>verfügbar</t>
        </is>
      </c>
      <c r="AA73" s="19" t="n"/>
      <c r="AB73" s="19" t="n"/>
      <c r="AC73" s="19" t="n"/>
      <c r="AD73" s="19" t="n"/>
      <c r="AE73" s="20" t="n"/>
      <c r="AF73" s="21">
        <f>IF(K73="","",K73*AE73)</f>
        <v/>
      </c>
      <c r="AG73" s="19" t="n"/>
      <c r="AH73" s="19" t="n"/>
      <c r="AI73" s="19" t="n"/>
      <c r="AJ73" s="19" t="n"/>
      <c r="AK73" s="19" t="n"/>
      <c r="AL73" s="19" t="n"/>
      <c r="AM73" s="16" t="inlineStr">
        <is>
          <t>1 Stück im Bild</t>
        </is>
      </c>
      <c r="AN73" s="22" t="n"/>
    </row>
    <row r="74" ht="30" customHeight="1">
      <c r="A74" s="15" t="inlineStr">
        <is>
          <t>K-074</t>
        </is>
      </c>
      <c r="B74" s="15" t="n"/>
      <c r="C74" s="15" t="n"/>
      <c r="D74" s="15" t="inlineStr">
        <is>
          <t>NU01</t>
        </is>
      </c>
      <c r="E74" s="15" t="inlineStr">
        <is>
          <t>Gemälde abstrakt schwarz-weiß</t>
        </is>
      </c>
      <c r="F74" s="16" t="inlineStr">
        <is>
          <t>Acryl auf Leinwand, Querformat - Eigenarbeit einer Privatperson</t>
        </is>
      </c>
      <c r="G74" s="15" t="inlineStr">
        <is>
          <t>Kunst</t>
        </is>
      </c>
      <c r="H74" s="15" t="inlineStr">
        <is>
          <t>Flur</t>
        </is>
      </c>
      <c r="I74" s="15" t="inlineStr">
        <is>
          <t>B</t>
        </is>
      </c>
      <c r="J74" s="17" t="n">
        <v>1</v>
      </c>
      <c r="K74" s="17" t="n"/>
      <c r="L74" s="18">
        <f>J74-IF(K74="",0,K74)</f>
        <v/>
      </c>
      <c r="M74" s="15" t="inlineStr">
        <is>
          <t>Stück</t>
        </is>
      </c>
      <c r="N74" s="15" t="inlineStr">
        <is>
          <t>gut</t>
        </is>
      </c>
      <c r="O74" s="19" t="n"/>
      <c r="P74" s="19" t="inlineStr">
        <is>
          <t>entfällt</t>
        </is>
      </c>
      <c r="Q74" s="19" t="n"/>
      <c r="R74" s="20" t="n"/>
      <c r="S74" s="20" t="n">
        <v>150</v>
      </c>
      <c r="T74" s="19" t="inlineStr">
        <is>
          <t>VHB</t>
        </is>
      </c>
      <c r="U74" s="21">
        <f>L74*S74</f>
        <v/>
      </c>
      <c r="V74" s="15" t="inlineStr">
        <is>
          <t>nur Abholung</t>
        </is>
      </c>
      <c r="W74" s="15" t="inlineStr">
        <is>
          <t>F-092</t>
        </is>
      </c>
      <c r="X74" s="19" t="inlineStr">
        <is>
          <t>ja</t>
        </is>
      </c>
      <c r="Y74" s="19" t="n"/>
      <c r="Z74" s="19" t="inlineStr">
        <is>
          <t>verfügbar</t>
        </is>
      </c>
      <c r="AA74" s="19" t="n"/>
      <c r="AB74" s="19" t="n"/>
      <c r="AC74" s="19" t="n"/>
      <c r="AD74" s="19" t="n"/>
      <c r="AE74" s="20" t="n"/>
      <c r="AF74" s="21">
        <f>IF(K74="","",K74*AE74)</f>
        <v/>
      </c>
      <c r="AG74" s="19" t="n"/>
      <c r="AH74" s="19" t="n"/>
      <c r="AI74" s="19" t="n"/>
      <c r="AJ74" s="19" t="n"/>
      <c r="AK74" s="19" t="n"/>
      <c r="AL74" s="19" t="n"/>
      <c r="AM74" s="16" t="inlineStr">
        <is>
          <t>1 Bild im Bild</t>
        </is>
      </c>
      <c r="AN74" s="22" t="n"/>
    </row>
    <row r="75" ht="30" customHeight="1">
      <c r="A75" s="15" t="inlineStr">
        <is>
          <t>K-076</t>
        </is>
      </c>
      <c r="B75" s="15" t="n"/>
      <c r="C75" s="15" t="n"/>
      <c r="D75" s="15" t="inlineStr">
        <is>
          <t>NU01</t>
        </is>
      </c>
      <c r="E75" s="15" t="inlineStr">
        <is>
          <t>Tretmülleimer 30 l</t>
        </is>
      </c>
      <c r="F75" s="16" t="inlineStr">
        <is>
          <t>Brabantia, schwarz, 30 Liter</t>
        </is>
      </c>
      <c r="G75" s="15" t="inlineStr">
        <is>
          <t>Sonstiges</t>
        </is>
      </c>
      <c r="H75" s="15" t="inlineStr">
        <is>
          <t>Flur</t>
        </is>
      </c>
      <c r="I75" s="15" t="inlineStr">
        <is>
          <t>C</t>
        </is>
      </c>
      <c r="J75" s="17" t="n">
        <v>1</v>
      </c>
      <c r="K75" s="17" t="n"/>
      <c r="L75" s="18">
        <f>J75-IF(K75="",0,K75)</f>
        <v/>
      </c>
      <c r="M75" s="15" t="inlineStr">
        <is>
          <t>Stück</t>
        </is>
      </c>
      <c r="N75" s="15" t="inlineStr">
        <is>
          <t>gut</t>
        </is>
      </c>
      <c r="O75" s="19" t="n"/>
      <c r="P75" s="19" t="inlineStr">
        <is>
          <t>entfällt</t>
        </is>
      </c>
      <c r="Q75" s="19" t="n"/>
      <c r="R75" s="20" t="n"/>
      <c r="S75" s="20" t="n">
        <v>60</v>
      </c>
      <c r="T75" s="19" t="inlineStr">
        <is>
          <t>VHB</t>
        </is>
      </c>
      <c r="U75" s="21">
        <f>L75*S75</f>
        <v/>
      </c>
      <c r="V75" s="15" t="inlineStr">
        <is>
          <t>Versand möglich</t>
        </is>
      </c>
      <c r="W75" s="15" t="inlineStr">
        <is>
          <t>F-075</t>
        </is>
      </c>
      <c r="X75" s="19" t="inlineStr">
        <is>
          <t>ja</t>
        </is>
      </c>
      <c r="Y75" s="19" t="n"/>
      <c r="Z75" s="19" t="inlineStr">
        <is>
          <t>verfügbar</t>
        </is>
      </c>
      <c r="AA75" s="19" t="n"/>
      <c r="AB75" s="19" t="n"/>
      <c r="AC75" s="19" t="n"/>
      <c r="AD75" s="19" t="n"/>
      <c r="AE75" s="20" t="n"/>
      <c r="AF75" s="21">
        <f>IF(K75="","",K75*AE75)</f>
        <v/>
      </c>
      <c r="AG75" s="19" t="n"/>
      <c r="AH75" s="19" t="n"/>
      <c r="AI75" s="19" t="n"/>
      <c r="AJ75" s="19" t="n"/>
      <c r="AK75" s="19" t="n"/>
      <c r="AL75" s="19" t="n"/>
      <c r="AM75" s="16" t="inlineStr">
        <is>
          <t>1 Stück im Bild</t>
        </is>
      </c>
      <c r="AN75" s="22" t="n"/>
    </row>
    <row r="76" ht="30" customHeight="1">
      <c r="A76" s="15" t="inlineStr">
        <is>
          <t>K-081</t>
        </is>
      </c>
      <c r="B76" s="15" t="n"/>
      <c r="C76" s="15" t="n"/>
      <c r="D76" s="15" t="inlineStr">
        <is>
          <t>BA09</t>
        </is>
      </c>
      <c r="E76" s="15" t="inlineStr">
        <is>
          <t>Clivie im Topf</t>
        </is>
      </c>
      <c r="F76" s="16" t="inlineStr">
        <is>
          <t>Klivie, Zimmerpflanze</t>
        </is>
      </c>
      <c r="G76" s="15" t="inlineStr">
        <is>
          <t>Pflanzen</t>
        </is>
      </c>
      <c r="H76" s="15" t="inlineStr">
        <is>
          <t>Personal</t>
        </is>
      </c>
      <c r="I76" s="15" t="inlineStr">
        <is>
          <t>C</t>
        </is>
      </c>
      <c r="J76" s="17" t="n">
        <v>1</v>
      </c>
      <c r="K76" s="17" t="n"/>
      <c r="L76" s="18">
        <f>J76-IF(K76="",0,K76)</f>
        <v/>
      </c>
      <c r="M76" s="15" t="inlineStr">
        <is>
          <t>Stück</t>
        </is>
      </c>
      <c r="N76" s="15" t="inlineStr">
        <is>
          <t>gut</t>
        </is>
      </c>
      <c r="O76" s="19" t="n"/>
      <c r="P76" s="19" t="inlineStr">
        <is>
          <t>entfällt</t>
        </is>
      </c>
      <c r="Q76" s="19" t="n"/>
      <c r="R76" s="20" t="n"/>
      <c r="S76" s="20" t="n">
        <v>30</v>
      </c>
      <c r="T76" s="19" t="inlineStr">
        <is>
          <t>VHB</t>
        </is>
      </c>
      <c r="U76" s="21">
        <f>L76*S76</f>
        <v/>
      </c>
      <c r="V76" s="15" t="inlineStr">
        <is>
          <t>nur Abholung</t>
        </is>
      </c>
      <c r="W76" s="15" t="inlineStr">
        <is>
          <t>F-045</t>
        </is>
      </c>
      <c r="X76" s="19" t="inlineStr">
        <is>
          <t>ja</t>
        </is>
      </c>
      <c r="Y76" s="19" t="n"/>
      <c r="Z76" s="19" t="inlineStr">
        <is>
          <t>verfügbar</t>
        </is>
      </c>
      <c r="AA76" s="19" t="n"/>
      <c r="AB76" s="19" t="n"/>
      <c r="AC76" s="19" t="n"/>
      <c r="AD76" s="19" t="n"/>
      <c r="AE76" s="20" t="n"/>
      <c r="AF76" s="21">
        <f>IF(K76="","",K76*AE76)</f>
        <v/>
      </c>
      <c r="AG76" s="19" t="n"/>
      <c r="AH76" s="19" t="n"/>
      <c r="AI76" s="19" t="n"/>
      <c r="AJ76" s="19" t="n"/>
      <c r="AK76" s="19" t="n"/>
      <c r="AL76" s="19" t="n"/>
      <c r="AM76" s="16" t="inlineStr">
        <is>
          <t>1 Pflanze im Bild</t>
        </is>
      </c>
      <c r="AN76" s="22" t="n"/>
    </row>
    <row r="77" ht="30" customHeight="1">
      <c r="A77" s="15" t="inlineStr">
        <is>
          <t>K-088</t>
        </is>
      </c>
      <c r="B77" s="15" t="n"/>
      <c r="C77" s="15" t="n"/>
      <c r="D77" s="15" t="inlineStr">
        <is>
          <t>BA10</t>
        </is>
      </c>
      <c r="E77" s="15" t="inlineStr">
        <is>
          <t>Bogenlampe Chrom</t>
        </is>
      </c>
      <c r="F77" s="16" t="inlineStr">
        <is>
          <t>Bogenleuchte, Chromgestell, weißer Kunststoffschirm</t>
        </is>
      </c>
      <c r="G77" s="15" t="inlineStr">
        <is>
          <t>Leuchten</t>
        </is>
      </c>
      <c r="H77" s="15" t="inlineStr">
        <is>
          <t>Ruhe- / Schlafraum</t>
        </is>
      </c>
      <c r="I77" s="15" t="inlineStr">
        <is>
          <t>B</t>
        </is>
      </c>
      <c r="J77" s="17" t="n">
        <v>1</v>
      </c>
      <c r="K77" s="17" t="n"/>
      <c r="L77" s="18">
        <f>J77-IF(K77="",0,K77)</f>
        <v/>
      </c>
      <c r="M77" s="15" t="inlineStr">
        <is>
          <t>Stück</t>
        </is>
      </c>
      <c r="N77" s="15" t="inlineStr">
        <is>
          <t>gut</t>
        </is>
      </c>
      <c r="O77" s="19" t="n"/>
      <c r="P77" s="19" t="inlineStr">
        <is>
          <t>entfällt</t>
        </is>
      </c>
      <c r="Q77" s="19" t="n"/>
      <c r="R77" s="20" t="n"/>
      <c r="S77" s="20" t="n">
        <v>130</v>
      </c>
      <c r="T77" s="19" t="inlineStr">
        <is>
          <t>VHB</t>
        </is>
      </c>
      <c r="U77" s="21">
        <f>L77*S77</f>
        <v/>
      </c>
      <c r="V77" s="15" t="inlineStr">
        <is>
          <t>nur Abholung</t>
        </is>
      </c>
      <c r="W77" s="15" t="inlineStr">
        <is>
          <t>F-059</t>
        </is>
      </c>
      <c r="X77" s="19" t="inlineStr">
        <is>
          <t>ja</t>
        </is>
      </c>
      <c r="Y77" s="19" t="n"/>
      <c r="Z77" s="19" t="inlineStr">
        <is>
          <t>verfügbar</t>
        </is>
      </c>
      <c r="AA77" s="19" t="n"/>
      <c r="AB77" s="19" t="n"/>
      <c r="AC77" s="19" t="n"/>
      <c r="AD77" s="19" t="n"/>
      <c r="AE77" s="20" t="n"/>
      <c r="AF77" s="21">
        <f>IF(K77="","",K77*AE77)</f>
        <v/>
      </c>
      <c r="AG77" s="19" t="n"/>
      <c r="AH77" s="19" t="n"/>
      <c r="AI77" s="19" t="n"/>
      <c r="AJ77" s="19" t="n"/>
      <c r="AK77" s="19" t="n"/>
      <c r="AL77" s="19" t="n"/>
      <c r="AM77" s="16" t="inlineStr">
        <is>
          <t>1 Leuchte im Bild</t>
        </is>
      </c>
      <c r="AN77" s="22" t="n"/>
    </row>
    <row r="78" ht="30" customHeight="1">
      <c r="A78" s="15" t="inlineStr">
        <is>
          <t>K-095</t>
        </is>
      </c>
      <c r="B78" s="15" t="n"/>
      <c r="C78" s="15" t="n"/>
      <c r="D78" s="15" t="inlineStr">
        <is>
          <t>BA10</t>
        </is>
      </c>
      <c r="E78" s="15" t="inlineStr">
        <is>
          <t>Käfigleuchte mit Holzsockel</t>
        </is>
      </c>
      <c r="F78" s="16" t="inlineStr">
        <is>
          <t>Kleine Tischleuchte, Drahtkäfig auf Holzfuß</t>
        </is>
      </c>
      <c r="G78" s="15" t="inlineStr">
        <is>
          <t>Leuchten</t>
        </is>
      </c>
      <c r="H78" s="15" t="inlineStr">
        <is>
          <t>Ruhe- / Schlafraum</t>
        </is>
      </c>
      <c r="I78" s="15" t="inlineStr">
        <is>
          <t>C</t>
        </is>
      </c>
      <c r="J78" s="17" t="n">
        <v>1</v>
      </c>
      <c r="K78" s="17" t="n"/>
      <c r="L78" s="18">
        <f>J78-IF(K78="",0,K78)</f>
        <v/>
      </c>
      <c r="M78" s="15" t="inlineStr">
        <is>
          <t>Stück</t>
        </is>
      </c>
      <c r="N78" s="15" t="inlineStr">
        <is>
          <t>gut</t>
        </is>
      </c>
      <c r="O78" s="19" t="n"/>
      <c r="P78" s="19" t="inlineStr">
        <is>
          <t>entfällt</t>
        </is>
      </c>
      <c r="Q78" s="19" t="n"/>
      <c r="R78" s="20" t="n"/>
      <c r="S78" s="20" t="n">
        <v>30</v>
      </c>
      <c r="T78" s="19" t="inlineStr">
        <is>
          <t>VHB</t>
        </is>
      </c>
      <c r="U78" s="21">
        <f>L78*S78</f>
        <v/>
      </c>
      <c r="V78" s="15" t="inlineStr">
        <is>
          <t>Versand möglich</t>
        </is>
      </c>
      <c r="W78" s="15" t="inlineStr">
        <is>
          <t>F-061</t>
        </is>
      </c>
      <c r="X78" s="19" t="inlineStr">
        <is>
          <t>ja</t>
        </is>
      </c>
      <c r="Y78" s="19" t="n"/>
      <c r="Z78" s="19" t="inlineStr">
        <is>
          <t>verfügbar</t>
        </is>
      </c>
      <c r="AA78" s="19" t="n"/>
      <c r="AB78" s="19" t="n"/>
      <c r="AC78" s="19" t="n"/>
      <c r="AD78" s="19" t="n"/>
      <c r="AE78" s="20" t="n"/>
      <c r="AF78" s="21">
        <f>IF(K78="","",K78*AE78)</f>
        <v/>
      </c>
      <c r="AG78" s="19" t="n"/>
      <c r="AH78" s="19" t="n"/>
      <c r="AI78" s="19" t="n"/>
      <c r="AJ78" s="19" t="n"/>
      <c r="AK78" s="19" t="n"/>
      <c r="AL78" s="19" t="n"/>
      <c r="AM78" s="16" t="inlineStr">
        <is>
          <t>1 Stück im Bild</t>
        </is>
      </c>
      <c r="AN78" s="22" t="n"/>
    </row>
    <row r="79" ht="30" customHeight="1">
      <c r="A79" s="15" t="inlineStr">
        <is>
          <t>K-098</t>
        </is>
      </c>
      <c r="B79" s="15" t="n"/>
      <c r="C79" s="15" t="n"/>
      <c r="D79" s="15" t="inlineStr">
        <is>
          <t>BA04</t>
        </is>
      </c>
      <c r="E79" s="15" t="inlineStr">
        <is>
          <t>Sessel Birke mit Bezug</t>
        </is>
      </c>
      <c r="F79" s="16" t="inlineStr">
        <is>
          <t>IKEA Poäng, Birke, heller Bezug</t>
        </is>
      </c>
      <c r="G79" s="15" t="inlineStr">
        <is>
          <t>Möbel</t>
        </is>
      </c>
      <c r="H79" s="15" t="inlineStr">
        <is>
          <t>Gruppenraum 4</t>
        </is>
      </c>
      <c r="I79" s="15" t="inlineStr">
        <is>
          <t>C</t>
        </is>
      </c>
      <c r="J79" s="17" t="n">
        <v>1</v>
      </c>
      <c r="K79" s="17" t="n"/>
      <c r="L79" s="18">
        <f>J79-IF(K79="",0,K79)</f>
        <v/>
      </c>
      <c r="M79" s="15" t="inlineStr">
        <is>
          <t>Stück</t>
        </is>
      </c>
      <c r="N79" s="15" t="inlineStr">
        <is>
          <t>gebraucht</t>
        </is>
      </c>
      <c r="O79" s="19" t="n"/>
      <c r="P79" s="19" t="inlineStr">
        <is>
          <t>entfällt</t>
        </is>
      </c>
      <c r="Q79" s="19" t="n"/>
      <c r="R79" s="20" t="n"/>
      <c r="S79" s="20" t="n">
        <v>45</v>
      </c>
      <c r="T79" s="19" t="inlineStr">
        <is>
          <t>VHB</t>
        </is>
      </c>
      <c r="U79" s="21">
        <f>L79*S79</f>
        <v/>
      </c>
      <c r="V79" s="15" t="inlineStr">
        <is>
          <t>nur Abholung</t>
        </is>
      </c>
      <c r="W79" s="15" t="inlineStr">
        <is>
          <t>F-063</t>
        </is>
      </c>
      <c r="X79" s="19" t="inlineStr">
        <is>
          <t>ja</t>
        </is>
      </c>
      <c r="Y79" s="19" t="n"/>
      <c r="Z79" s="19" t="inlineStr">
        <is>
          <t>verfügbar</t>
        </is>
      </c>
      <c r="AA79" s="19" t="n"/>
      <c r="AB79" s="19" t="n"/>
      <c r="AC79" s="19" t="n"/>
      <c r="AD79" s="19" t="n"/>
      <c r="AE79" s="20" t="n"/>
      <c r="AF79" s="21">
        <f>IF(K79="","",K79*AE79)</f>
        <v/>
      </c>
      <c r="AG79" s="19" t="n"/>
      <c r="AH79" s="19" t="n"/>
      <c r="AI79" s="19" t="n"/>
      <c r="AJ79" s="19" t="n"/>
      <c r="AK79" s="19" t="n"/>
      <c r="AL79" s="19" t="n"/>
      <c r="AM79" s="16" t="inlineStr">
        <is>
          <t>1 Sessel im Bild</t>
        </is>
      </c>
      <c r="AN79" s="22" t="n"/>
    </row>
    <row r="80" ht="30" customHeight="1">
      <c r="A80" s="15" t="inlineStr">
        <is>
          <t>K-104</t>
        </is>
      </c>
      <c r="B80" s="15" t="n"/>
      <c r="C80" s="15" t="n"/>
      <c r="D80" s="15" t="inlineStr">
        <is>
          <t>NU01</t>
        </is>
      </c>
      <c r="E80" s="15" t="inlineStr">
        <is>
          <t>Deko-Pilze Beton auf Holzfuß</t>
        </is>
      </c>
      <c r="F80" s="16" t="inlineStr">
        <is>
          <t>Dekopilze, Betonkopf auf Holzstiel, zwei Größen</t>
        </is>
      </c>
      <c r="G80" s="15" t="inlineStr">
        <is>
          <t>Deko</t>
        </is>
      </c>
      <c r="H80" s="15" t="inlineStr">
        <is>
          <t>Flur</t>
        </is>
      </c>
      <c r="I80" s="15" t="inlineStr">
        <is>
          <t>C</t>
        </is>
      </c>
      <c r="J80" s="17" t="n">
        <v>2</v>
      </c>
      <c r="K80" s="17" t="n"/>
      <c r="L80" s="18">
        <f>J80-IF(K80="",0,K80)</f>
        <v/>
      </c>
      <c r="M80" s="15" t="inlineStr">
        <is>
          <t>Stück</t>
        </is>
      </c>
      <c r="N80" s="15" t="inlineStr">
        <is>
          <t>gut</t>
        </is>
      </c>
      <c r="O80" s="19" t="n"/>
      <c r="P80" s="19" t="inlineStr">
        <is>
          <t>entfällt</t>
        </is>
      </c>
      <c r="Q80" s="19" t="n"/>
      <c r="R80" s="20" t="n"/>
      <c r="S80" s="20" t="n">
        <v>15</v>
      </c>
      <c r="T80" s="19" t="inlineStr">
        <is>
          <t>VHB</t>
        </is>
      </c>
      <c r="U80" s="21">
        <f>L80*S80</f>
        <v/>
      </c>
      <c r="V80" s="15" t="inlineStr">
        <is>
          <t>Versand möglich</t>
        </is>
      </c>
      <c r="W80" s="15" t="inlineStr">
        <is>
          <t>F-074</t>
        </is>
      </c>
      <c r="X80" s="19" t="inlineStr">
        <is>
          <t>ja</t>
        </is>
      </c>
      <c r="Y80" s="19" t="n"/>
      <c r="Z80" s="19" t="inlineStr">
        <is>
          <t>verfügbar</t>
        </is>
      </c>
      <c r="AA80" s="19" t="n"/>
      <c r="AB80" s="19" t="n"/>
      <c r="AC80" s="19" t="n"/>
      <c r="AD80" s="19" t="n"/>
      <c r="AE80" s="20" t="n"/>
      <c r="AF80" s="21">
        <f>IF(K80="","",K80*AE80)</f>
        <v/>
      </c>
      <c r="AG80" s="19" t="n"/>
      <c r="AH80" s="19" t="n"/>
      <c r="AI80" s="19" t="n"/>
      <c r="AJ80" s="19" t="n"/>
      <c r="AK80" s="19" t="n"/>
      <c r="AL80" s="19" t="n"/>
      <c r="AM80" s="16" t="inlineStr">
        <is>
          <t>2 Stück im Bild</t>
        </is>
      </c>
      <c r="AN80" s="22" t="n"/>
    </row>
    <row r="81" ht="30" customHeight="1">
      <c r="A81" s="15" t="inlineStr">
        <is>
          <t>K-105</t>
        </is>
      </c>
      <c r="B81" s="15" t="n"/>
      <c r="C81" s="15" t="n"/>
      <c r="D81" s="15" t="inlineStr">
        <is>
          <t>NU01</t>
        </is>
      </c>
      <c r="E81" s="15" t="inlineStr">
        <is>
          <t>Leuchtkasten mit Steckbuchstaben</t>
        </is>
      </c>
      <c r="F81" s="16" t="inlineStr">
        <is>
          <t>Lightbox A4 mit Buchstabensatz</t>
        </is>
      </c>
      <c r="G81" s="15" t="inlineStr">
        <is>
          <t>Deko</t>
        </is>
      </c>
      <c r="H81" s="15" t="inlineStr">
        <is>
          <t>Flur</t>
        </is>
      </c>
      <c r="I81" s="15" t="inlineStr">
        <is>
          <t>C</t>
        </is>
      </c>
      <c r="J81" s="17" t="n">
        <v>1</v>
      </c>
      <c r="K81" s="17" t="n"/>
      <c r="L81" s="18">
        <f>J81-IF(K81="",0,K81)</f>
        <v/>
      </c>
      <c r="M81" s="15" t="inlineStr">
        <is>
          <t>Stück</t>
        </is>
      </c>
      <c r="N81" s="15" t="inlineStr">
        <is>
          <t>gut</t>
        </is>
      </c>
      <c r="O81" s="19" t="n"/>
      <c r="P81" s="19" t="inlineStr">
        <is>
          <t>entfällt</t>
        </is>
      </c>
      <c r="Q81" s="19" t="n"/>
      <c r="R81" s="20" t="n"/>
      <c r="S81" s="20" t="n">
        <v>25</v>
      </c>
      <c r="T81" s="19" t="inlineStr">
        <is>
          <t>VHB</t>
        </is>
      </c>
      <c r="U81" s="21">
        <f>L81*S81</f>
        <v/>
      </c>
      <c r="V81" s="15" t="inlineStr">
        <is>
          <t>Versand möglich</t>
        </is>
      </c>
      <c r="W81" s="15" t="inlineStr">
        <is>
          <t>F-074</t>
        </is>
      </c>
      <c r="X81" s="19" t="inlineStr">
        <is>
          <t>ja</t>
        </is>
      </c>
      <c r="Y81" s="19" t="n"/>
      <c r="Z81" s="19" t="inlineStr">
        <is>
          <t>verfügbar</t>
        </is>
      </c>
      <c r="AA81" s="19" t="n"/>
      <c r="AB81" s="19" t="n"/>
      <c r="AC81" s="19" t="n"/>
      <c r="AD81" s="19" t="n"/>
      <c r="AE81" s="20" t="n"/>
      <c r="AF81" s="21">
        <f>IF(K81="","",K81*AE81)</f>
        <v/>
      </c>
      <c r="AG81" s="19" t="n"/>
      <c r="AH81" s="19" t="n"/>
      <c r="AI81" s="19" t="n"/>
      <c r="AJ81" s="19" t="n"/>
      <c r="AK81" s="19" t="n"/>
      <c r="AL81" s="19" t="n"/>
      <c r="AM81" s="16" t="inlineStr">
        <is>
          <t>1 Stück im Bild</t>
        </is>
      </c>
      <c r="AN81" s="22" t="n"/>
    </row>
    <row r="82" ht="30" customHeight="1">
      <c r="A82" s="15" t="inlineStr">
        <is>
          <t>K-109</t>
        </is>
      </c>
      <c r="B82" s="15" t="n"/>
      <c r="C82" s="15" t="n"/>
      <c r="D82" s="15" t="inlineStr">
        <is>
          <t>BU04</t>
        </is>
      </c>
      <c r="E82" s="15" t="inlineStr">
        <is>
          <t>Vase Keramik gestreift</t>
        </is>
      </c>
      <c r="F82" s="16" t="inlineStr">
        <is>
          <t>Vase schwarz-weiß gestreift, hoch</t>
        </is>
      </c>
      <c r="G82" s="15" t="inlineStr">
        <is>
          <t>Deko</t>
        </is>
      </c>
      <c r="H82" s="15" t="inlineStr">
        <is>
          <t>Gruppenraum</t>
        </is>
      </c>
      <c r="I82" s="15" t="inlineStr">
        <is>
          <t>C</t>
        </is>
      </c>
      <c r="J82" s="17" t="n">
        <v>1</v>
      </c>
      <c r="K82" s="17" t="n"/>
      <c r="L82" s="18">
        <f>J82-IF(K82="",0,K82)</f>
        <v/>
      </c>
      <c r="M82" s="15" t="inlineStr">
        <is>
          <t>Stück</t>
        </is>
      </c>
      <c r="N82" s="15" t="inlineStr">
        <is>
          <t>gut</t>
        </is>
      </c>
      <c r="O82" s="19" t="n"/>
      <c r="P82" s="19" t="inlineStr">
        <is>
          <t>entfällt</t>
        </is>
      </c>
      <c r="Q82" s="19" t="n"/>
      <c r="R82" s="20" t="n"/>
      <c r="S82" s="20" t="n">
        <v>20</v>
      </c>
      <c r="T82" s="19" t="inlineStr">
        <is>
          <t>VHB</t>
        </is>
      </c>
      <c r="U82" s="21">
        <f>L82*S82</f>
        <v/>
      </c>
      <c r="V82" s="15" t="inlineStr">
        <is>
          <t>Versand möglich</t>
        </is>
      </c>
      <c r="W82" s="15" t="inlineStr">
        <is>
          <t>F-078</t>
        </is>
      </c>
      <c r="X82" s="19" t="inlineStr">
        <is>
          <t>ja</t>
        </is>
      </c>
      <c r="Y82" s="19" t="n"/>
      <c r="Z82" s="19" t="inlineStr">
        <is>
          <t>verfügbar</t>
        </is>
      </c>
      <c r="AA82" s="19" t="n"/>
      <c r="AB82" s="19" t="n"/>
      <c r="AC82" s="19" t="n"/>
      <c r="AD82" s="19" t="n"/>
      <c r="AE82" s="20" t="n"/>
      <c r="AF82" s="21">
        <f>IF(K82="","",K82*AE82)</f>
        <v/>
      </c>
      <c r="AG82" s="19" t="n"/>
      <c r="AH82" s="19" t="n"/>
      <c r="AI82" s="19" t="n"/>
      <c r="AJ82" s="19" t="n"/>
      <c r="AK82" s="19" t="n"/>
      <c r="AL82" s="19" t="n"/>
      <c r="AM82" s="16" t="inlineStr">
        <is>
          <t>1 Stück im Bild</t>
        </is>
      </c>
      <c r="AN82" s="22" t="n"/>
    </row>
    <row r="83" ht="30" customHeight="1">
      <c r="A83" s="15" t="inlineStr">
        <is>
          <t>K-111</t>
        </is>
      </c>
      <c r="B83" s="15" t="n"/>
      <c r="C83" s="15" t="n"/>
      <c r="D83" s="15" t="inlineStr">
        <is>
          <t>BU04</t>
        </is>
      </c>
      <c r="E83" s="15" t="inlineStr">
        <is>
          <t>Holz-LKW Spielzeug</t>
        </is>
      </c>
      <c r="F83" s="16" t="inlineStr">
        <is>
          <t>Großer Spielzeug-LKW aus Holz, Kipper</t>
        </is>
      </c>
      <c r="G83" s="15" t="inlineStr">
        <is>
          <t>Kita-Ausstattung</t>
        </is>
      </c>
      <c r="H83" s="15" t="inlineStr">
        <is>
          <t>Gruppenraum</t>
        </is>
      </c>
      <c r="I83" s="15" t="inlineStr">
        <is>
          <t>C</t>
        </is>
      </c>
      <c r="J83" s="17" t="n">
        <v>1</v>
      </c>
      <c r="K83" s="17" t="n"/>
      <c r="L83" s="18">
        <f>J83-IF(K83="",0,K83)</f>
        <v/>
      </c>
      <c r="M83" s="15" t="inlineStr">
        <is>
          <t>Stück</t>
        </is>
      </c>
      <c r="N83" s="15" t="inlineStr">
        <is>
          <t>gut</t>
        </is>
      </c>
      <c r="O83" s="19" t="n"/>
      <c r="P83" s="19" t="inlineStr">
        <is>
          <t>entfällt</t>
        </is>
      </c>
      <c r="Q83" s="19" t="n"/>
      <c r="R83" s="20" t="n"/>
      <c r="S83" s="20" t="n">
        <v>25</v>
      </c>
      <c r="T83" s="19" t="inlineStr">
        <is>
          <t>VHB</t>
        </is>
      </c>
      <c r="U83" s="21">
        <f>L83*S83</f>
        <v/>
      </c>
      <c r="V83" s="15" t="inlineStr">
        <is>
          <t>Versand möglich</t>
        </is>
      </c>
      <c r="W83" s="15" t="inlineStr">
        <is>
          <t>F-078</t>
        </is>
      </c>
      <c r="X83" s="19" t="inlineStr">
        <is>
          <t>ja</t>
        </is>
      </c>
      <c r="Y83" s="19" t="n"/>
      <c r="Z83" s="19" t="inlineStr">
        <is>
          <t>verfügbar</t>
        </is>
      </c>
      <c r="AA83" s="19" t="n"/>
      <c r="AB83" s="19" t="n"/>
      <c r="AC83" s="19" t="n"/>
      <c r="AD83" s="19" t="n"/>
      <c r="AE83" s="20" t="n"/>
      <c r="AF83" s="21">
        <f>IF(K83="","",K83*AE83)</f>
        <v/>
      </c>
      <c r="AG83" s="19" t="n"/>
      <c r="AH83" s="19" t="n"/>
      <c r="AI83" s="19" t="n"/>
      <c r="AJ83" s="19" t="n"/>
      <c r="AK83" s="19" t="n"/>
      <c r="AL83" s="19" t="n"/>
      <c r="AM83" s="16" t="inlineStr">
        <is>
          <t>1 Stück im Bild</t>
        </is>
      </c>
      <c r="AN83" s="22" t="n"/>
    </row>
    <row r="84" ht="30" customHeight="1">
      <c r="A84" s="15" t="inlineStr">
        <is>
          <t>K-112</t>
        </is>
      </c>
      <c r="B84" s="15" t="n"/>
      <c r="C84" s="15" t="n"/>
      <c r="D84" s="15" t="inlineStr">
        <is>
          <t>BU04</t>
        </is>
      </c>
      <c r="E84" s="15" t="inlineStr">
        <is>
          <t>Deko-Haus Metall mit Pompons</t>
        </is>
      </c>
      <c r="F84" s="16" t="inlineStr">
        <is>
          <t>Hausform aus Metalldraht mit roten Wollbommeln</t>
        </is>
      </c>
      <c r="G84" s="15" t="inlineStr">
        <is>
          <t>Deko</t>
        </is>
      </c>
      <c r="H84" s="15" t="inlineStr">
        <is>
          <t>Gruppenraum</t>
        </is>
      </c>
      <c r="I84" s="15" t="inlineStr">
        <is>
          <t>C</t>
        </is>
      </c>
      <c r="J84" s="17" t="n">
        <v>1</v>
      </c>
      <c r="K84" s="17" t="n"/>
      <c r="L84" s="18">
        <f>J84-IF(K84="",0,K84)</f>
        <v/>
      </c>
      <c r="M84" s="15" t="inlineStr">
        <is>
          <t>Stück</t>
        </is>
      </c>
      <c r="N84" s="15" t="inlineStr">
        <is>
          <t>gut</t>
        </is>
      </c>
      <c r="O84" s="19" t="n"/>
      <c r="P84" s="19" t="inlineStr">
        <is>
          <t>entfällt</t>
        </is>
      </c>
      <c r="Q84" s="19" t="n"/>
      <c r="R84" s="20" t="n"/>
      <c r="S84" s="20" t="n">
        <v>20</v>
      </c>
      <c r="T84" s="19" t="inlineStr">
        <is>
          <t>VHB</t>
        </is>
      </c>
      <c r="U84" s="21">
        <f>L84*S84</f>
        <v/>
      </c>
      <c r="V84" s="15" t="inlineStr">
        <is>
          <t>Versand möglich</t>
        </is>
      </c>
      <c r="W84" s="15" t="inlineStr">
        <is>
          <t>F-078</t>
        </is>
      </c>
      <c r="X84" s="19" t="inlineStr">
        <is>
          <t>ja</t>
        </is>
      </c>
      <c r="Y84" s="19" t="n"/>
      <c r="Z84" s="19" t="inlineStr">
        <is>
          <t>verfügbar</t>
        </is>
      </c>
      <c r="AA84" s="19" t="n"/>
      <c r="AB84" s="19" t="n"/>
      <c r="AC84" s="19" t="n"/>
      <c r="AD84" s="19" t="n"/>
      <c r="AE84" s="20" t="n"/>
      <c r="AF84" s="21">
        <f>IF(K84="","",K84*AE84)</f>
        <v/>
      </c>
      <c r="AG84" s="19" t="n"/>
      <c r="AH84" s="19" t="n"/>
      <c r="AI84" s="19" t="n"/>
      <c r="AJ84" s="19" t="n"/>
      <c r="AK84" s="19" t="n"/>
      <c r="AL84" s="19" t="n"/>
      <c r="AM84" s="16" t="inlineStr">
        <is>
          <t>1 Stück im Bild</t>
        </is>
      </c>
      <c r="AN84" s="22" t="n"/>
    </row>
    <row r="85" ht="30" customHeight="1">
      <c r="A85" s="15" t="inlineStr">
        <is>
          <t>K-114</t>
        </is>
      </c>
      <c r="B85" s="15" t="n"/>
      <c r="C85" s="15" t="n"/>
      <c r="D85" s="15" t="inlineStr">
        <is>
          <t>BU04</t>
        </is>
      </c>
      <c r="E85" s="15" t="inlineStr">
        <is>
          <t>Schülerstuhl grau</t>
        </is>
      </c>
      <c r="F85" s="16" t="inlineStr">
        <is>
          <t>Kunststoffschale grau, Metallgestell, höhenverstellbar</t>
        </is>
      </c>
      <c r="G85" s="15" t="inlineStr">
        <is>
          <t>Kita-Ausstattung</t>
        </is>
      </c>
      <c r="H85" s="15" t="inlineStr">
        <is>
          <t>Gruppenraum</t>
        </is>
      </c>
      <c r="I85" s="15" t="inlineStr">
        <is>
          <t>C</t>
        </is>
      </c>
      <c r="J85" s="17" t="n">
        <v>1</v>
      </c>
      <c r="K85" s="17" t="n"/>
      <c r="L85" s="18">
        <f>J85-IF(K85="",0,K85)</f>
        <v/>
      </c>
      <c r="M85" s="15" t="inlineStr">
        <is>
          <t>Stück</t>
        </is>
      </c>
      <c r="N85" s="15" t="inlineStr">
        <is>
          <t>gebraucht</t>
        </is>
      </c>
      <c r="O85" s="19" t="n"/>
      <c r="P85" s="19" t="inlineStr">
        <is>
          <t>entfällt</t>
        </is>
      </c>
      <c r="Q85" s="19" t="n"/>
      <c r="R85" s="20" t="n"/>
      <c r="S85" s="20" t="n">
        <v>25</v>
      </c>
      <c r="T85" s="19" t="inlineStr">
        <is>
          <t>VHB</t>
        </is>
      </c>
      <c r="U85" s="21">
        <f>L85*S85</f>
        <v/>
      </c>
      <c r="V85" s="15" t="inlineStr">
        <is>
          <t>Versand möglich</t>
        </is>
      </c>
      <c r="W85" s="15" t="inlineStr">
        <is>
          <t>F-079</t>
        </is>
      </c>
      <c r="X85" s="19" t="inlineStr">
        <is>
          <t>ja</t>
        </is>
      </c>
      <c r="Y85" s="19" t="n"/>
      <c r="Z85" s="19" t="inlineStr">
        <is>
          <t>verfügbar</t>
        </is>
      </c>
      <c r="AA85" s="19" t="n"/>
      <c r="AB85" s="19" t="n"/>
      <c r="AC85" s="19" t="n"/>
      <c r="AD85" s="19" t="n"/>
      <c r="AE85" s="20" t="n"/>
      <c r="AF85" s="21">
        <f>IF(K85="","",K85*AE85)</f>
        <v/>
      </c>
      <c r="AG85" s="19" t="n"/>
      <c r="AH85" s="19" t="n"/>
      <c r="AI85" s="19" t="n"/>
      <c r="AJ85" s="19" t="n"/>
      <c r="AK85" s="19" t="n"/>
      <c r="AL85" s="19" t="n"/>
      <c r="AM85" s="16" t="inlineStr">
        <is>
          <t>1 Stuhl im Bild - vermutlich mehrere vorhanden</t>
        </is>
      </c>
      <c r="AN85" s="22" t="n"/>
    </row>
    <row r="86" ht="30" customHeight="1">
      <c r="A86" s="15" t="inlineStr">
        <is>
          <t>K-122</t>
        </is>
      </c>
      <c r="B86" s="15" t="n"/>
      <c r="C86" s="15" t="n"/>
      <c r="D86" s="15" t="inlineStr">
        <is>
          <t>TE02</t>
        </is>
      </c>
      <c r="E86" s="15" t="inlineStr">
        <is>
          <t>Biohort Freizeitbox weiß (Dachterrasse)</t>
        </is>
      </c>
      <c r="F86" s="16" t="inlineStr">
        <is>
          <t>Metall-Auflagenbox, weiß, abschließbar, wetterfest, Made in Austria</t>
        </is>
      </c>
      <c r="G86" s="15" t="inlineStr">
        <is>
          <t>Garten</t>
        </is>
      </c>
      <c r="H86" s="15" t="inlineStr">
        <is>
          <t>Dachterrasse</t>
        </is>
      </c>
      <c r="I86" s="15" t="inlineStr">
        <is>
          <t>A</t>
        </is>
      </c>
      <c r="J86" s="17" t="n">
        <v>1</v>
      </c>
      <c r="K86" s="17" t="n"/>
      <c r="L86" s="18">
        <f>J86-IF(K86="",0,K86)</f>
        <v/>
      </c>
      <c r="M86" s="15" t="inlineStr">
        <is>
          <t>Stück</t>
        </is>
      </c>
      <c r="N86" s="15" t="inlineStr">
        <is>
          <t>gut</t>
        </is>
      </c>
      <c r="O86" s="19" t="n"/>
      <c r="P86" s="19" t="inlineStr">
        <is>
          <t>entfällt</t>
        </is>
      </c>
      <c r="Q86" s="19" t="n"/>
      <c r="R86" s="20" t="n"/>
      <c r="S86" s="20" t="n">
        <v>220</v>
      </c>
      <c r="T86" s="19" t="inlineStr">
        <is>
          <t>VHB</t>
        </is>
      </c>
      <c r="U86" s="21">
        <f>L86*S86</f>
        <v/>
      </c>
      <c r="V86" s="15" t="inlineStr">
        <is>
          <t>nur Abholung</t>
        </is>
      </c>
      <c r="W86" s="15" t="inlineStr">
        <is>
          <t>F-108</t>
        </is>
      </c>
      <c r="X86" s="19" t="inlineStr">
        <is>
          <t>ja</t>
        </is>
      </c>
      <c r="Y86" s="19" t="n"/>
      <c r="Z86" s="19" t="inlineStr">
        <is>
          <t>verfügbar</t>
        </is>
      </c>
      <c r="AA86" s="19" t="n"/>
      <c r="AB86" s="19" t="n"/>
      <c r="AC86" s="19" t="n"/>
      <c r="AD86" s="19" t="n"/>
      <c r="AE86" s="20" t="n"/>
      <c r="AF86" s="21">
        <f>IF(K86="","",K86*AE86)</f>
        <v/>
      </c>
      <c r="AG86" s="19" t="n"/>
      <c r="AH86" s="19" t="n"/>
      <c r="AI86" s="19" t="n"/>
      <c r="AJ86" s="19" t="n"/>
      <c r="AK86" s="19" t="n"/>
      <c r="AL86" s="19" t="n"/>
      <c r="AM86" s="16" t="inlineStr">
        <is>
          <t>1 Box im Bild - bitte prüfen ob 2 oder 3 Boxen gesamt</t>
        </is>
      </c>
      <c r="AN86" s="22" t="n"/>
    </row>
    <row r="87" ht="30" customHeight="1">
      <c r="A87" s="15" t="inlineStr">
        <is>
          <t>K-124</t>
        </is>
      </c>
      <c r="B87" s="15" t="n"/>
      <c r="C87" s="15" t="n"/>
      <c r="D87" s="15" t="inlineStr">
        <is>
          <t>TE01</t>
        </is>
      </c>
      <c r="E87" s="15" t="inlineStr">
        <is>
          <t>Schutzhülle für Gartentisch</t>
        </is>
      </c>
      <c r="F87" s="16" t="inlineStr">
        <is>
          <t>Abdeckhaube schwarz, wetterfest</t>
        </is>
      </c>
      <c r="G87" s="15" t="inlineStr">
        <is>
          <t>Garten</t>
        </is>
      </c>
      <c r="H87" s="15" t="inlineStr">
        <is>
          <t>Terrasse</t>
        </is>
      </c>
      <c r="I87" s="15" t="inlineStr">
        <is>
          <t>C</t>
        </is>
      </c>
      <c r="J87" s="17" t="n">
        <v>1</v>
      </c>
      <c r="K87" s="17" t="n"/>
      <c r="L87" s="18">
        <f>J87-IF(K87="",0,K87)</f>
        <v/>
      </c>
      <c r="M87" s="15" t="inlineStr">
        <is>
          <t>Stück</t>
        </is>
      </c>
      <c r="N87" s="15" t="inlineStr">
        <is>
          <t>gebraucht</t>
        </is>
      </c>
      <c r="O87" s="19" t="n"/>
      <c r="P87" s="19" t="inlineStr">
        <is>
          <t>entfällt</t>
        </is>
      </c>
      <c r="Q87" s="19" t="n"/>
      <c r="R87" s="20" t="n"/>
      <c r="S87" s="20" t="n">
        <v>20</v>
      </c>
      <c r="T87" s="19" t="inlineStr">
        <is>
          <t>VHB</t>
        </is>
      </c>
      <c r="U87" s="21">
        <f>L87*S87</f>
        <v/>
      </c>
      <c r="V87" s="15" t="inlineStr">
        <is>
          <t>Versand möglich</t>
        </is>
      </c>
      <c r="W87" s="15" t="inlineStr">
        <is>
          <t>F-095</t>
        </is>
      </c>
      <c r="X87" s="19" t="inlineStr">
        <is>
          <t>ja</t>
        </is>
      </c>
      <c r="Y87" s="19" t="n"/>
      <c r="Z87" s="19" t="inlineStr">
        <is>
          <t>verfügbar</t>
        </is>
      </c>
      <c r="AA87" s="19" t="n"/>
      <c r="AB87" s="19" t="n"/>
      <c r="AC87" s="19" t="n"/>
      <c r="AD87" s="19" t="n"/>
      <c r="AE87" s="20" t="n"/>
      <c r="AF87" s="21">
        <f>IF(K87="","",K87*AE87)</f>
        <v/>
      </c>
      <c r="AG87" s="19" t="n"/>
      <c r="AH87" s="19" t="n"/>
      <c r="AI87" s="19" t="n"/>
      <c r="AJ87" s="19" t="n"/>
      <c r="AK87" s="19" t="n"/>
      <c r="AL87" s="19" t="n"/>
      <c r="AM87" s="16" t="inlineStr">
        <is>
          <t>1 Stück im Bild</t>
        </is>
      </c>
      <c r="AN87" s="22" t="n"/>
    </row>
    <row r="88" ht="30" customHeight="1">
      <c r="A88" s="15" t="inlineStr">
        <is>
          <t>K-126</t>
        </is>
      </c>
      <c r="B88" s="15" t="n"/>
      <c r="C88" s="15" t="n"/>
      <c r="D88" s="15" t="inlineStr">
        <is>
          <t>TE01</t>
        </is>
      </c>
      <c r="E88" s="15" t="inlineStr">
        <is>
          <t>Auflagenbox Rattanoptik</t>
        </is>
      </c>
      <c r="F88" s="16" t="inlineStr">
        <is>
          <t>Kunststoff-Auflagenbox in Rattanoptik, braun</t>
        </is>
      </c>
      <c r="G88" s="15" t="inlineStr">
        <is>
          <t>Garten</t>
        </is>
      </c>
      <c r="H88" s="15" t="inlineStr">
        <is>
          <t>Terrasse</t>
        </is>
      </c>
      <c r="I88" s="15" t="inlineStr">
        <is>
          <t>C</t>
        </is>
      </c>
      <c r="J88" s="17" t="n">
        <v>1</v>
      </c>
      <c r="K88" s="17" t="n"/>
      <c r="L88" s="18">
        <f>J88-IF(K88="",0,K88)</f>
        <v/>
      </c>
      <c r="M88" s="15" t="inlineStr">
        <is>
          <t>Stück</t>
        </is>
      </c>
      <c r="N88" s="15" t="inlineStr">
        <is>
          <t>gebraucht</t>
        </is>
      </c>
      <c r="O88" s="19" t="n"/>
      <c r="P88" s="19" t="inlineStr">
        <is>
          <t>entfällt</t>
        </is>
      </c>
      <c r="Q88" s="19" t="n"/>
      <c r="R88" s="20" t="n"/>
      <c r="S88" s="20" t="n">
        <v>60</v>
      </c>
      <c r="T88" s="19" t="inlineStr">
        <is>
          <t>VHB</t>
        </is>
      </c>
      <c r="U88" s="21">
        <f>L88*S88</f>
        <v/>
      </c>
      <c r="V88" s="15" t="inlineStr">
        <is>
          <t>nur Abholung</t>
        </is>
      </c>
      <c r="W88" s="15" t="inlineStr">
        <is>
          <t>F-096</t>
        </is>
      </c>
      <c r="X88" s="19" t="inlineStr">
        <is>
          <t>ja</t>
        </is>
      </c>
      <c r="Y88" s="19" t="n"/>
      <c r="Z88" s="19" t="inlineStr">
        <is>
          <t>verfügbar</t>
        </is>
      </c>
      <c r="AA88" s="19" t="n"/>
      <c r="AB88" s="19" t="n"/>
      <c r="AC88" s="19" t="n"/>
      <c r="AD88" s="19" t="n"/>
      <c r="AE88" s="20" t="n"/>
      <c r="AF88" s="21">
        <f>IF(K88="","",K88*AE88)</f>
        <v/>
      </c>
      <c r="AG88" s="19" t="n"/>
      <c r="AH88" s="19" t="n"/>
      <c r="AI88" s="19" t="n"/>
      <c r="AJ88" s="19" t="n"/>
      <c r="AK88" s="19" t="n"/>
      <c r="AL88" s="19" t="n"/>
      <c r="AM88" s="16" t="inlineStr">
        <is>
          <t>1 Box im Bild</t>
        </is>
      </c>
      <c r="AN88" s="22" t="n"/>
    </row>
    <row r="89" ht="30" customHeight="1">
      <c r="A89" s="15" t="inlineStr">
        <is>
          <t>K-129</t>
        </is>
      </c>
      <c r="B89" s="15" t="n"/>
      <c r="C89" s="15" t="n"/>
      <c r="D89" s="15" t="inlineStr">
        <is>
          <t>GA01</t>
        </is>
      </c>
      <c r="E89" s="15" t="inlineStr">
        <is>
          <t>Gardena Schlauchbox</t>
        </is>
      </c>
      <c r="F89" s="16" t="inlineStr">
        <is>
          <t>Wandschlauchbox mit automatischem Aufroller</t>
        </is>
      </c>
      <c r="G89" s="15" t="inlineStr">
        <is>
          <t>Garten</t>
        </is>
      </c>
      <c r="H89" s="15" t="inlineStr">
        <is>
          <t>Gartenanlage</t>
        </is>
      </c>
      <c r="I89" s="15" t="inlineStr">
        <is>
          <t>C</t>
        </is>
      </c>
      <c r="J89" s="17" t="n">
        <v>1</v>
      </c>
      <c r="K89" s="17" t="n"/>
      <c r="L89" s="18">
        <f>J89-IF(K89="",0,K89)</f>
        <v/>
      </c>
      <c r="M89" s="15" t="inlineStr">
        <is>
          <t>Stück</t>
        </is>
      </c>
      <c r="N89" s="15" t="inlineStr">
        <is>
          <t>gut</t>
        </is>
      </c>
      <c r="O89" s="19" t="n"/>
      <c r="P89" s="19" t="inlineStr">
        <is>
          <t>entfällt</t>
        </is>
      </c>
      <c r="Q89" s="19" t="n"/>
      <c r="R89" s="20" t="n"/>
      <c r="S89" s="20" t="n">
        <v>60</v>
      </c>
      <c r="T89" s="19" t="inlineStr">
        <is>
          <t>VHB</t>
        </is>
      </c>
      <c r="U89" s="21">
        <f>L89*S89</f>
        <v/>
      </c>
      <c r="V89" s="15" t="inlineStr">
        <is>
          <t>nur Abholung</t>
        </is>
      </c>
      <c r="W89" s="15" t="inlineStr">
        <is>
          <t>F-100</t>
        </is>
      </c>
      <c r="X89" s="19" t="inlineStr">
        <is>
          <t>ja</t>
        </is>
      </c>
      <c r="Y89" s="19" t="n"/>
      <c r="Z89" s="19" t="inlineStr">
        <is>
          <t>verfügbar</t>
        </is>
      </c>
      <c r="AA89" s="19" t="n"/>
      <c r="AB89" s="19" t="n"/>
      <c r="AC89" s="19" t="n"/>
      <c r="AD89" s="19" t="n"/>
      <c r="AE89" s="20" t="n"/>
      <c r="AF89" s="21">
        <f>IF(K89="","",K89*AE89)</f>
        <v/>
      </c>
      <c r="AG89" s="19" t="n"/>
      <c r="AH89" s="19" t="n"/>
      <c r="AI89" s="19" t="n"/>
      <c r="AJ89" s="19" t="n"/>
      <c r="AK89" s="19" t="n"/>
      <c r="AL89" s="19" t="n"/>
      <c r="AM89" s="16" t="inlineStr">
        <is>
          <t>1 Stück im Bild</t>
        </is>
      </c>
      <c r="AN89" s="22" t="n"/>
    </row>
    <row r="90" ht="30" customHeight="1">
      <c r="A90" s="15" t="inlineStr">
        <is>
          <t>K-131</t>
        </is>
      </c>
      <c r="B90" s="15" t="n"/>
      <c r="C90" s="15" t="n"/>
      <c r="D90" s="15" t="inlineStr">
        <is>
          <t>TE02</t>
        </is>
      </c>
      <c r="E90" s="15" t="inlineStr">
        <is>
          <t>Stapelstuhl anthrazit, Designform</t>
        </is>
      </c>
      <c r="F90" s="16" t="inlineStr">
        <is>
          <t>Kunststoff-Schalenstuhl mit Armlehnen, anthrazit, stapelbar</t>
        </is>
      </c>
      <c r="G90" s="15" t="inlineStr">
        <is>
          <t>Garten</t>
        </is>
      </c>
      <c r="H90" s="15" t="inlineStr">
        <is>
          <t>Dachterrasse</t>
        </is>
      </c>
      <c r="I90" s="15" t="inlineStr">
        <is>
          <t>B</t>
        </is>
      </c>
      <c r="J90" s="17" t="n">
        <v>4</v>
      </c>
      <c r="K90" s="17" t="n"/>
      <c r="L90" s="18">
        <f>J90-IF(K90="",0,K90)</f>
        <v/>
      </c>
      <c r="M90" s="15" t="inlineStr">
        <is>
          <t>Stück</t>
        </is>
      </c>
      <c r="N90" s="15" t="inlineStr">
        <is>
          <t>gut</t>
        </is>
      </c>
      <c r="O90" s="19" t="n"/>
      <c r="P90" s="19" t="inlineStr">
        <is>
          <t>entfällt</t>
        </is>
      </c>
      <c r="Q90" s="19" t="n"/>
      <c r="R90" s="20" t="n"/>
      <c r="S90" s="20" t="n">
        <v>35</v>
      </c>
      <c r="T90" s="19" t="inlineStr">
        <is>
          <t>VHB</t>
        </is>
      </c>
      <c r="U90" s="21">
        <f>L90*S90</f>
        <v/>
      </c>
      <c r="V90" s="15" t="inlineStr">
        <is>
          <t>nur Abholung</t>
        </is>
      </c>
      <c r="W90" s="15" t="inlineStr">
        <is>
          <t>F-101</t>
        </is>
      </c>
      <c r="X90" s="19" t="inlineStr">
        <is>
          <t>ja</t>
        </is>
      </c>
      <c r="Y90" s="19" t="n"/>
      <c r="Z90" s="19" t="inlineStr">
        <is>
          <t>verfügbar</t>
        </is>
      </c>
      <c r="AA90" s="19" t="n"/>
      <c r="AB90" s="19" t="n"/>
      <c r="AC90" s="19" t="n"/>
      <c r="AD90" s="19" t="n"/>
      <c r="AE90" s="20" t="n"/>
      <c r="AF90" s="21">
        <f>IF(K90="","",K90*AE90)</f>
        <v/>
      </c>
      <c r="AG90" s="19" t="n"/>
      <c r="AH90" s="19" t="n"/>
      <c r="AI90" s="19" t="n"/>
      <c r="AJ90" s="19" t="n"/>
      <c r="AK90" s="19" t="n"/>
      <c r="AL90" s="19" t="n"/>
      <c r="AM90" s="16" t="inlineStr">
        <is>
          <t>4 Stück im Bild</t>
        </is>
      </c>
      <c r="AN90" s="22" t="n"/>
    </row>
    <row r="91" ht="30" customHeight="1">
      <c r="A91" s="15" t="inlineStr">
        <is>
          <t>K-134</t>
        </is>
      </c>
      <c r="B91" s="15" t="n"/>
      <c r="C91" s="15" t="n"/>
      <c r="D91" s="15" t="inlineStr">
        <is>
          <t>TE02</t>
        </is>
      </c>
      <c r="E91" s="15" t="inlineStr">
        <is>
          <t>Loungesessel Kunststoff weiß</t>
        </is>
      </c>
      <c r="F91" s="16" t="inlineStr">
        <is>
          <t>Stapelbarer Loungesessel aus Kunststoff, weiß</t>
        </is>
      </c>
      <c r="G91" s="15" t="inlineStr">
        <is>
          <t>Garten</t>
        </is>
      </c>
      <c r="H91" s="15" t="inlineStr">
        <is>
          <t>Dachterrasse</t>
        </is>
      </c>
      <c r="I91" s="15" t="inlineStr">
        <is>
          <t>C</t>
        </is>
      </c>
      <c r="J91" s="17" t="n">
        <v>2</v>
      </c>
      <c r="K91" s="17" t="n"/>
      <c r="L91" s="18">
        <f>J91-IF(K91="",0,K91)</f>
        <v/>
      </c>
      <c r="M91" s="15" t="inlineStr">
        <is>
          <t>Stück</t>
        </is>
      </c>
      <c r="N91" s="15" t="inlineStr">
        <is>
          <t>gebraucht</t>
        </is>
      </c>
      <c r="O91" s="19" t="n"/>
      <c r="P91" s="19" t="inlineStr">
        <is>
          <t>entfällt</t>
        </is>
      </c>
      <c r="Q91" s="19" t="n"/>
      <c r="R91" s="20" t="n"/>
      <c r="S91" s="20" t="n">
        <v>60</v>
      </c>
      <c r="T91" s="19" t="inlineStr">
        <is>
          <t>VHB</t>
        </is>
      </c>
      <c r="U91" s="21">
        <f>L91*S91</f>
        <v/>
      </c>
      <c r="V91" s="15" t="inlineStr">
        <is>
          <t>nur Abholung</t>
        </is>
      </c>
      <c r="W91" s="15" t="inlineStr">
        <is>
          <t>F-104</t>
        </is>
      </c>
      <c r="X91" s="19" t="inlineStr">
        <is>
          <t>ja</t>
        </is>
      </c>
      <c r="Y91" s="19" t="n"/>
      <c r="Z91" s="19" t="inlineStr">
        <is>
          <t>verfügbar</t>
        </is>
      </c>
      <c r="AA91" s="19" t="n"/>
      <c r="AB91" s="19" t="n"/>
      <c r="AC91" s="19" t="n"/>
      <c r="AD91" s="19" t="n"/>
      <c r="AE91" s="20" t="n"/>
      <c r="AF91" s="21">
        <f>IF(K91="","",K91*AE91)</f>
        <v/>
      </c>
      <c r="AG91" s="19" t="n"/>
      <c r="AH91" s="19" t="n"/>
      <c r="AI91" s="19" t="n"/>
      <c r="AJ91" s="19" t="n"/>
      <c r="AK91" s="19" t="n"/>
      <c r="AL91" s="19" t="n"/>
      <c r="AM91" s="16" t="inlineStr">
        <is>
          <t>2 Stück gestapelt im Bild</t>
        </is>
      </c>
      <c r="AN91" s="22" t="n"/>
    </row>
    <row r="92" ht="30" customHeight="1">
      <c r="A92" s="15" t="inlineStr">
        <is>
          <t>K-135</t>
        </is>
      </c>
      <c r="B92" s="15" t="n"/>
      <c r="C92" s="15" t="n"/>
      <c r="D92" s="15" t="inlineStr">
        <is>
          <t>TE02</t>
        </is>
      </c>
      <c r="E92" s="15" t="inlineStr">
        <is>
          <t>Rattansessel schwarz-weiß</t>
        </is>
      </c>
      <c r="F92" s="16" t="inlineStr">
        <is>
          <t>Polyrattan-Sessel, schwarz-weiß gestreift</t>
        </is>
      </c>
      <c r="G92" s="15" t="inlineStr">
        <is>
          <t>Garten</t>
        </is>
      </c>
      <c r="H92" s="15" t="inlineStr">
        <is>
          <t>Dachterrasse</t>
        </is>
      </c>
      <c r="I92" s="15" t="inlineStr">
        <is>
          <t>C</t>
        </is>
      </c>
      <c r="J92" s="17" t="n">
        <v>1</v>
      </c>
      <c r="K92" s="17" t="n"/>
      <c r="L92" s="18">
        <f>J92-IF(K92="",0,K92)</f>
        <v/>
      </c>
      <c r="M92" s="15" t="inlineStr">
        <is>
          <t>Stück</t>
        </is>
      </c>
      <c r="N92" s="15" t="inlineStr">
        <is>
          <t>gebraucht</t>
        </is>
      </c>
      <c r="O92" s="19" t="n"/>
      <c r="P92" s="19" t="inlineStr">
        <is>
          <t>entfällt</t>
        </is>
      </c>
      <c r="Q92" s="19" t="n"/>
      <c r="R92" s="20" t="n"/>
      <c r="S92" s="20" t="n">
        <v>70</v>
      </c>
      <c r="T92" s="19" t="inlineStr">
        <is>
          <t>VHB</t>
        </is>
      </c>
      <c r="U92" s="21">
        <f>L92*S92</f>
        <v/>
      </c>
      <c r="V92" s="15" t="inlineStr">
        <is>
          <t>nur Abholung</t>
        </is>
      </c>
      <c r="W92" s="15" t="inlineStr">
        <is>
          <t>F-104</t>
        </is>
      </c>
      <c r="X92" s="19" t="inlineStr">
        <is>
          <t>ja</t>
        </is>
      </c>
      <c r="Y92" s="19" t="n"/>
      <c r="Z92" s="19" t="inlineStr">
        <is>
          <t>verfügbar</t>
        </is>
      </c>
      <c r="AA92" s="19" t="n"/>
      <c r="AB92" s="19" t="n"/>
      <c r="AC92" s="19" t="n"/>
      <c r="AD92" s="19" t="n"/>
      <c r="AE92" s="20" t="n"/>
      <c r="AF92" s="21">
        <f>IF(K92="","",K92*AE92)</f>
        <v/>
      </c>
      <c r="AG92" s="19" t="n"/>
      <c r="AH92" s="19" t="n"/>
      <c r="AI92" s="19" t="n"/>
      <c r="AJ92" s="19" t="n"/>
      <c r="AK92" s="19" t="n"/>
      <c r="AL92" s="19" t="n"/>
      <c r="AM92" s="16" t="inlineStr">
        <is>
          <t>1 Sessel im Bild</t>
        </is>
      </c>
      <c r="AN92" s="22" t="n"/>
    </row>
    <row r="93" ht="30" customHeight="1">
      <c r="A93" s="15" t="inlineStr">
        <is>
          <t>K-136</t>
        </is>
      </c>
      <c r="B93" s="15" t="n"/>
      <c r="C93" s="15" t="n"/>
      <c r="D93" s="15" t="inlineStr">
        <is>
          <t>TE02</t>
        </is>
      </c>
      <c r="E93" s="15" t="inlineStr">
        <is>
          <t>Kinder-Gartenstuhl rot</t>
        </is>
      </c>
      <c r="F93" s="16" t="inlineStr">
        <is>
          <t>Kunststoff-Gartenstuhl in Kindergröße, rot</t>
        </is>
      </c>
      <c r="G93" s="15" t="inlineStr">
        <is>
          <t>Garten</t>
        </is>
      </c>
      <c r="H93" s="15" t="inlineStr">
        <is>
          <t>Dachterrasse</t>
        </is>
      </c>
      <c r="I93" s="15" t="inlineStr">
        <is>
          <t>C</t>
        </is>
      </c>
      <c r="J93" s="17" t="n">
        <v>3</v>
      </c>
      <c r="K93" s="17" t="n"/>
      <c r="L93" s="18">
        <f>J93-IF(K93="",0,K93)</f>
        <v/>
      </c>
      <c r="M93" s="15" t="inlineStr">
        <is>
          <t>Stück</t>
        </is>
      </c>
      <c r="N93" s="15" t="inlineStr">
        <is>
          <t>gebraucht</t>
        </is>
      </c>
      <c r="O93" s="19" t="n"/>
      <c r="P93" s="19" t="inlineStr">
        <is>
          <t>entfällt</t>
        </is>
      </c>
      <c r="Q93" s="19" t="n"/>
      <c r="R93" s="20" t="n"/>
      <c r="S93" s="20" t="n">
        <v>15</v>
      </c>
      <c r="T93" s="19" t="inlineStr">
        <is>
          <t>VHB</t>
        </is>
      </c>
      <c r="U93" s="21">
        <f>L93*S93</f>
        <v/>
      </c>
      <c r="V93" s="15" t="inlineStr">
        <is>
          <t>Versand möglich</t>
        </is>
      </c>
      <c r="W93" s="15" t="inlineStr">
        <is>
          <t>F-104</t>
        </is>
      </c>
      <c r="X93" s="19" t="inlineStr">
        <is>
          <t>ja</t>
        </is>
      </c>
      <c r="Y93" s="19" t="n"/>
      <c r="Z93" s="19" t="inlineStr">
        <is>
          <t>verfügbar</t>
        </is>
      </c>
      <c r="AA93" s="19" t="n"/>
      <c r="AB93" s="19" t="n"/>
      <c r="AC93" s="19" t="n"/>
      <c r="AD93" s="19" t="n"/>
      <c r="AE93" s="20" t="n"/>
      <c r="AF93" s="21">
        <f>IF(K93="","",K93*AE93)</f>
        <v/>
      </c>
      <c r="AG93" s="19" t="n"/>
      <c r="AH93" s="19" t="n"/>
      <c r="AI93" s="19" t="n"/>
      <c r="AJ93" s="19" t="n"/>
      <c r="AK93" s="19" t="n"/>
      <c r="AL93" s="19" t="n"/>
      <c r="AM93" s="16" t="inlineStr">
        <is>
          <t>ca. 3 Stück im Bild - bitte nachzählen</t>
        </is>
      </c>
      <c r="AN93" s="22" t="n"/>
    </row>
    <row r="94" ht="30" customHeight="1">
      <c r="A94" s="15" t="inlineStr">
        <is>
          <t>K-137</t>
        </is>
      </c>
      <c r="B94" s="15" t="n"/>
      <c r="C94" s="15" t="n"/>
      <c r="D94" s="15" t="inlineStr">
        <is>
          <t>TE02</t>
        </is>
      </c>
      <c r="E94" s="15" t="inlineStr">
        <is>
          <t>Teak-Klappstuhl</t>
        </is>
      </c>
      <c r="F94" s="16" t="inlineStr">
        <is>
          <t>Gartenklappstuhl aus Hartholz/Teak</t>
        </is>
      </c>
      <c r="G94" s="15" t="inlineStr">
        <is>
          <t>Garten</t>
        </is>
      </c>
      <c r="H94" s="15" t="inlineStr">
        <is>
          <t>Dachterrasse</t>
        </is>
      </c>
      <c r="I94" s="15" t="inlineStr">
        <is>
          <t>A</t>
        </is>
      </c>
      <c r="J94" s="17" t="n">
        <v>6</v>
      </c>
      <c r="K94" s="17" t="n"/>
      <c r="L94" s="18">
        <f>J94-IF(K94="",0,K94)</f>
        <v/>
      </c>
      <c r="M94" s="15" t="inlineStr">
        <is>
          <t>Stück</t>
        </is>
      </c>
      <c r="N94" s="15" t="inlineStr">
        <is>
          <t>gebraucht</t>
        </is>
      </c>
      <c r="O94" s="19" t="n"/>
      <c r="P94" s="19" t="inlineStr">
        <is>
          <t>entfällt</t>
        </is>
      </c>
      <c r="Q94" s="19" t="n"/>
      <c r="R94" s="20" t="n"/>
      <c r="S94" s="20" t="n">
        <v>55</v>
      </c>
      <c r="T94" s="19" t="inlineStr">
        <is>
          <t>VHB</t>
        </is>
      </c>
      <c r="U94" s="21">
        <f>L94*S94</f>
        <v/>
      </c>
      <c r="V94" s="15" t="inlineStr">
        <is>
          <t>nur Abholung</t>
        </is>
      </c>
      <c r="W94" s="15" t="inlineStr">
        <is>
          <t>F-105</t>
        </is>
      </c>
      <c r="X94" s="19" t="inlineStr">
        <is>
          <t>ja</t>
        </is>
      </c>
      <c r="Y94" s="19" t="n"/>
      <c r="Z94" s="19" t="inlineStr">
        <is>
          <t>verfügbar</t>
        </is>
      </c>
      <c r="AA94" s="19" t="n"/>
      <c r="AB94" s="19" t="n"/>
      <c r="AC94" s="19" t="n"/>
      <c r="AD94" s="19" t="n"/>
      <c r="AE94" s="20" t="n"/>
      <c r="AF94" s="21">
        <f>IF(K94="","",K94*AE94)</f>
        <v/>
      </c>
      <c r="AG94" s="19" t="n"/>
      <c r="AH94" s="19" t="n"/>
      <c r="AI94" s="19" t="n"/>
      <c r="AJ94" s="19" t="n"/>
      <c r="AK94" s="19" t="n"/>
      <c r="AL94" s="19" t="n"/>
      <c r="AM94" s="16" t="inlineStr">
        <is>
          <t>ca. 6 Stück im Bild - bitte nachzählen</t>
        </is>
      </c>
      <c r="AN94" s="22" t="n"/>
    </row>
    <row r="95" ht="30" customHeight="1">
      <c r="A95" s="15" t="inlineStr">
        <is>
          <t>K-141</t>
        </is>
      </c>
      <c r="B95" s="15" t="n"/>
      <c r="C95" s="15" t="n"/>
      <c r="D95" s="15" t="inlineStr">
        <is>
          <t>TE02</t>
        </is>
      </c>
      <c r="E95" s="15" t="inlineStr">
        <is>
          <t>Bistro-Set schwarz Metall</t>
        </is>
      </c>
      <c r="F95" s="16" t="inlineStr">
        <is>
          <t>Gartentisch mit 2 Stühlen, schwarzes Metall, klappbar</t>
        </is>
      </c>
      <c r="G95" s="15" t="inlineStr">
        <is>
          <t>Garten</t>
        </is>
      </c>
      <c r="H95" s="15" t="inlineStr">
        <is>
          <t>Dachterrasse</t>
        </is>
      </c>
      <c r="I95" s="15" t="inlineStr">
        <is>
          <t>C</t>
        </is>
      </c>
      <c r="J95" s="17" t="n">
        <v>1</v>
      </c>
      <c r="K95" s="17" t="n"/>
      <c r="L95" s="18">
        <f>J95-IF(K95="",0,K95)</f>
        <v/>
      </c>
      <c r="M95" s="15" t="inlineStr">
        <is>
          <t>Set</t>
        </is>
      </c>
      <c r="N95" s="15" t="inlineStr">
        <is>
          <t>gebraucht</t>
        </is>
      </c>
      <c r="O95" s="19" t="n"/>
      <c r="P95" s="19" t="inlineStr">
        <is>
          <t>entfällt</t>
        </is>
      </c>
      <c r="Q95" s="19" t="n"/>
      <c r="R95" s="20" t="n"/>
      <c r="S95" s="20" t="n">
        <v>90</v>
      </c>
      <c r="T95" s="19" t="inlineStr">
        <is>
          <t>VHB</t>
        </is>
      </c>
      <c r="U95" s="21">
        <f>L95*S95</f>
        <v/>
      </c>
      <c r="V95" s="15" t="inlineStr">
        <is>
          <t>nur Abholung</t>
        </is>
      </c>
      <c r="W95" s="15" t="inlineStr">
        <is>
          <t>F-107</t>
        </is>
      </c>
      <c r="X95" s="19" t="inlineStr">
        <is>
          <t>ja</t>
        </is>
      </c>
      <c r="Y95" s="19" t="n"/>
      <c r="Z95" s="19" t="inlineStr">
        <is>
          <t>verfügbar</t>
        </is>
      </c>
      <c r="AA95" s="19" t="n"/>
      <c r="AB95" s="19" t="n"/>
      <c r="AC95" s="19" t="n"/>
      <c r="AD95" s="19" t="n"/>
      <c r="AE95" s="20" t="n"/>
      <c r="AF95" s="21">
        <f>IF(K95="","",K95*AE95)</f>
        <v/>
      </c>
      <c r="AG95" s="19" t="n"/>
      <c r="AH95" s="19" t="n"/>
      <c r="AI95" s="19" t="n"/>
      <c r="AJ95" s="19" t="n"/>
      <c r="AK95" s="19" t="n"/>
      <c r="AL95" s="19" t="n"/>
      <c r="AM95" s="16" t="inlineStr">
        <is>
          <t>1 Tisch mit 2 Stühlen im Bild</t>
        </is>
      </c>
      <c r="AN95" s="22" t="n"/>
    </row>
    <row r="96" ht="30" customHeight="1">
      <c r="A96" s="15" t="inlineStr">
        <is>
          <t>NE01-01</t>
        </is>
      </c>
      <c r="B96" s="15" t="inlineStr">
        <is>
          <t>K-001</t>
        </is>
      </c>
      <c r="C96" s="15" t="n"/>
      <c r="D96" s="15" t="inlineStr">
        <is>
          <t>NE01</t>
        </is>
      </c>
      <c r="E96" s="15" t="inlineStr">
        <is>
          <t>Deko-Hirschkopf weiß</t>
        </is>
      </c>
      <c r="F96" s="16" t="inlineStr">
        <is>
          <t>Kunstharz, weiß, mit schwarzem Geweih, auf Holzschild, Wandmontage</t>
        </is>
      </c>
      <c r="G96" s="15" t="inlineStr">
        <is>
          <t>Deko</t>
        </is>
      </c>
      <c r="H96" s="15" t="inlineStr">
        <is>
          <t>Flur</t>
        </is>
      </c>
      <c r="I96" s="15" t="inlineStr">
        <is>
          <t>C</t>
        </is>
      </c>
      <c r="J96" s="17" t="n">
        <v>1</v>
      </c>
      <c r="K96" s="17" t="n"/>
      <c r="L96" s="18">
        <f>J96-IF(K96="",0,K96)</f>
        <v/>
      </c>
      <c r="M96" s="15" t="inlineStr">
        <is>
          <t>Stück</t>
        </is>
      </c>
      <c r="N96" s="15" t="inlineStr">
        <is>
          <t>gut</t>
        </is>
      </c>
      <c r="O96" s="19" t="n"/>
      <c r="P96" s="19" t="inlineStr">
        <is>
          <t>ja</t>
        </is>
      </c>
      <c r="Q96" s="19" t="n"/>
      <c r="R96" s="20" t="n"/>
      <c r="S96" s="20" t="n">
        <v>45</v>
      </c>
      <c r="T96" s="19" t="inlineStr">
        <is>
          <t>VHB</t>
        </is>
      </c>
      <c r="U96" s="21">
        <f>L96*S96</f>
        <v/>
      </c>
      <c r="V96" s="15" t="inlineStr">
        <is>
          <t>Versand möglich</t>
        </is>
      </c>
      <c r="W96" s="15" t="inlineStr">
        <is>
          <t>F-001</t>
        </is>
      </c>
      <c r="X96" s="19" t="inlineStr">
        <is>
          <t>ja</t>
        </is>
      </c>
      <c r="Y96" s="19" t="n"/>
      <c r="Z96" s="19" t="inlineStr">
        <is>
          <t>verfügbar</t>
        </is>
      </c>
      <c r="AA96" s="19" t="n"/>
      <c r="AB96" s="19" t="inlineStr">
        <is>
          <t>Schwarzwald</t>
        </is>
      </c>
      <c r="AC96" s="19" t="n"/>
      <c r="AD96" s="19" t="n"/>
      <c r="AE96" s="20" t="n"/>
      <c r="AF96" s="21">
        <f>IF(K96="","",K96*AE96)</f>
        <v/>
      </c>
      <c r="AG96" s="19" t="n"/>
      <c r="AH96" s="19" t="n"/>
      <c r="AI96" s="19" t="n"/>
      <c r="AJ96" s="19" t="n"/>
      <c r="AK96" s="19" t="n"/>
      <c r="AL96" s="19" t="n"/>
      <c r="AM96" s="16" t="inlineStr">
        <is>
          <t>1 Stück im Bild</t>
        </is>
      </c>
      <c r="AN96" s="22" t="n"/>
    </row>
    <row r="97" ht="30" customHeight="1">
      <c r="A97" s="15" t="inlineStr">
        <is>
          <t>NE01-02</t>
        </is>
      </c>
      <c r="B97" s="15" t="inlineStr">
        <is>
          <t>K-020</t>
        </is>
      </c>
      <c r="C97" s="15" t="n"/>
      <c r="D97" s="15" t="inlineStr">
        <is>
          <t>NE01</t>
        </is>
      </c>
      <c r="E97" s="15" t="inlineStr">
        <is>
          <t>Trachtenfotografie gerahmt, schwarz</t>
        </is>
      </c>
      <c r="F97" s="16" t="inlineStr">
        <is>
          <t>Fotodruck im schwarzen Rahmen mit Passepartout, ca. 30 x 40 cm - Kaufware</t>
        </is>
      </c>
      <c r="G97" s="15" t="inlineStr">
        <is>
          <t>Kunst</t>
        </is>
      </c>
      <c r="H97" s="15" t="inlineStr">
        <is>
          <t>Flur</t>
        </is>
      </c>
      <c r="I97" s="15" t="inlineStr">
        <is>
          <t>B</t>
        </is>
      </c>
      <c r="J97" s="17" t="n">
        <v>5</v>
      </c>
      <c r="K97" s="17" t="n"/>
      <c r="L97" s="18">
        <f>J97-IF(K97="",0,K97)</f>
        <v/>
      </c>
      <c r="M97" s="15" t="inlineStr">
        <is>
          <t>Stück</t>
        </is>
      </c>
      <c r="N97" s="15" t="inlineStr">
        <is>
          <t>gut</t>
        </is>
      </c>
      <c r="O97" s="19" t="n"/>
      <c r="P97" s="19" t="inlineStr">
        <is>
          <t>ja</t>
        </is>
      </c>
      <c r="Q97" s="19" t="n"/>
      <c r="R97" s="20" t="n"/>
      <c r="S97" s="20" t="n">
        <v>45</v>
      </c>
      <c r="T97" s="19" t="inlineStr">
        <is>
          <t>VHB</t>
        </is>
      </c>
      <c r="U97" s="21">
        <f>L97*S97</f>
        <v/>
      </c>
      <c r="V97" s="15" t="inlineStr">
        <is>
          <t>Versand möglich</t>
        </is>
      </c>
      <c r="W97" s="15" t="inlineStr">
        <is>
          <t>F-014</t>
        </is>
      </c>
      <c r="X97" s="19" t="inlineStr">
        <is>
          <t>ja</t>
        </is>
      </c>
      <c r="Y97" s="19" t="inlineStr">
        <is>
          <t>ja</t>
        </is>
      </c>
      <c r="Z97" s="19" t="inlineStr">
        <is>
          <t>verfügbar</t>
        </is>
      </c>
      <c r="AA97" s="19" t="n"/>
      <c r="AB97" s="19" t="inlineStr">
        <is>
          <t>Schwarzwald</t>
        </is>
      </c>
      <c r="AC97" s="19" t="n"/>
      <c r="AD97" s="19" t="n"/>
      <c r="AE97" s="20" t="n"/>
      <c r="AF97" s="21">
        <f>IF(K97="","",K97*AE97)</f>
        <v/>
      </c>
      <c r="AG97" s="19" t="n"/>
      <c r="AH97" s="19" t="n"/>
      <c r="AI97" s="19" t="n"/>
      <c r="AJ97" s="19" t="n"/>
      <c r="AK97" s="19" t="n"/>
      <c r="AL97" s="19" t="n"/>
      <c r="AM97" s="16" t="inlineStr">
        <is>
          <t>5 Rahmen im Bild</t>
        </is>
      </c>
      <c r="AN97" s="22" t="n"/>
    </row>
    <row r="98" ht="30" customHeight="1">
      <c r="A98" s="15" t="inlineStr">
        <is>
          <t>NE01-03</t>
        </is>
      </c>
      <c r="B98" s="15" t="inlineStr">
        <is>
          <t>K-047</t>
        </is>
      </c>
      <c r="C98" s="15" t="n"/>
      <c r="D98" s="15" t="inlineStr">
        <is>
          <t>NE01</t>
        </is>
      </c>
      <c r="E98" s="15" t="inlineStr">
        <is>
          <t>Trachtenportrait gerahmt, klein</t>
        </is>
      </c>
      <c r="F98" s="16" t="inlineStr">
        <is>
          <t>Fotodruck gerahmt, kleinformatig - Kaufware</t>
        </is>
      </c>
      <c r="G98" s="15" t="inlineStr">
        <is>
          <t>Kunst</t>
        </is>
      </c>
      <c r="H98" s="15" t="inlineStr">
        <is>
          <t>Flur</t>
        </is>
      </c>
      <c r="I98" s="15" t="inlineStr">
        <is>
          <t>C</t>
        </is>
      </c>
      <c r="J98" s="17" t="n">
        <v>3</v>
      </c>
      <c r="K98" s="17" t="n"/>
      <c r="L98" s="18">
        <f>J98-IF(K98="",0,K98)</f>
        <v/>
      </c>
      <c r="M98" s="15" t="inlineStr">
        <is>
          <t>Stück</t>
        </is>
      </c>
      <c r="N98" s="15" t="inlineStr">
        <is>
          <t>gut</t>
        </is>
      </c>
      <c r="O98" s="19" t="n"/>
      <c r="P98" s="19" t="inlineStr">
        <is>
          <t>ja</t>
        </is>
      </c>
      <c r="Q98" s="19" t="n"/>
      <c r="R98" s="20" t="n"/>
      <c r="S98" s="20" t="n">
        <v>35</v>
      </c>
      <c r="T98" s="19" t="inlineStr">
        <is>
          <t>VHB</t>
        </is>
      </c>
      <c r="U98" s="21">
        <f>L98*S98</f>
        <v/>
      </c>
      <c r="V98" s="15" t="inlineStr">
        <is>
          <t>Versand möglich</t>
        </is>
      </c>
      <c r="W98" s="15" t="inlineStr">
        <is>
          <t>F-029</t>
        </is>
      </c>
      <c r="X98" s="19" t="inlineStr">
        <is>
          <t>ja</t>
        </is>
      </c>
      <c r="Y98" s="19" t="inlineStr">
        <is>
          <t>ja</t>
        </is>
      </c>
      <c r="Z98" s="19" t="inlineStr">
        <is>
          <t>verfügbar</t>
        </is>
      </c>
      <c r="AA98" s="19" t="n"/>
      <c r="AB98" s="19" t="inlineStr">
        <is>
          <t>Schwarzwald</t>
        </is>
      </c>
      <c r="AC98" s="19" t="n"/>
      <c r="AD98" s="19" t="n"/>
      <c r="AE98" s="20" t="n"/>
      <c r="AF98" s="21">
        <f>IF(K98="","",K98*AE98)</f>
        <v/>
      </c>
      <c r="AG98" s="19" t="n"/>
      <c r="AH98" s="19" t="n"/>
      <c r="AI98" s="19" t="n"/>
      <c r="AJ98" s="19" t="n"/>
      <c r="AK98" s="19" t="n"/>
      <c r="AL98" s="19" t="n"/>
      <c r="AM98" s="16" t="inlineStr">
        <is>
          <t>3 Rahmen im Bild</t>
        </is>
      </c>
      <c r="AN98" s="22" t="n"/>
    </row>
    <row r="99" ht="30" customHeight="1">
      <c r="A99" s="15" t="inlineStr">
        <is>
          <t>NE01-04</t>
        </is>
      </c>
      <c r="B99" s="15" t="inlineStr">
        <is>
          <t>K-049</t>
        </is>
      </c>
      <c r="C99" s="15" t="n"/>
      <c r="D99" s="15" t="inlineStr">
        <is>
          <t>NE01</t>
        </is>
      </c>
      <c r="E99" s="15" t="inlineStr">
        <is>
          <t>Gemälde Bollenhut abstrakt, schwarz-weiß</t>
        </is>
      </c>
      <c r="F99" s="16" t="inlineStr">
        <is>
          <t>Acryl auf Leinwand, ca. 90 x 90 cm - Eigenarbeit einer Privatperson</t>
        </is>
      </c>
      <c r="G99" s="15" t="inlineStr">
        <is>
          <t>Kunst</t>
        </is>
      </c>
      <c r="H99" s="15" t="inlineStr">
        <is>
          <t>Flur</t>
        </is>
      </c>
      <c r="I99" s="15" t="inlineStr">
        <is>
          <t>B</t>
        </is>
      </c>
      <c r="J99" s="17" t="n">
        <v>1</v>
      </c>
      <c r="K99" s="17" t="n"/>
      <c r="L99" s="18">
        <f>J99-IF(K99="",0,K99)</f>
        <v/>
      </c>
      <c r="M99" s="15" t="inlineStr">
        <is>
          <t>Stück</t>
        </is>
      </c>
      <c r="N99" s="15" t="inlineStr">
        <is>
          <t>gut</t>
        </is>
      </c>
      <c r="O99" s="19" t="n"/>
      <c r="P99" s="19" t="inlineStr">
        <is>
          <t>ja</t>
        </is>
      </c>
      <c r="Q99" s="19" t="n"/>
      <c r="R99" s="20" t="n"/>
      <c r="S99" s="20" t="n">
        <v>150</v>
      </c>
      <c r="T99" s="19" t="inlineStr">
        <is>
          <t>VHB</t>
        </is>
      </c>
      <c r="U99" s="21">
        <f>L99*S99</f>
        <v/>
      </c>
      <c r="V99" s="15" t="inlineStr">
        <is>
          <t>nur Abholung</t>
        </is>
      </c>
      <c r="W99" s="15" t="inlineStr">
        <is>
          <t>F-030</t>
        </is>
      </c>
      <c r="X99" s="19" t="inlineStr">
        <is>
          <t>ja</t>
        </is>
      </c>
      <c r="Y99" s="19" t="n"/>
      <c r="Z99" s="19" t="inlineStr">
        <is>
          <t>verfügbar</t>
        </is>
      </c>
      <c r="AA99" s="19" t="n"/>
      <c r="AB99" s="19" t="inlineStr">
        <is>
          <t>Schwarzwald</t>
        </is>
      </c>
      <c r="AC99" s="19" t="n"/>
      <c r="AD99" s="19" t="n"/>
      <c r="AE99" s="20" t="n"/>
      <c r="AF99" s="21">
        <f>IF(K99="","",K99*AE99)</f>
        <v/>
      </c>
      <c r="AG99" s="19" t="n"/>
      <c r="AH99" s="19" t="n"/>
      <c r="AI99" s="19" t="n"/>
      <c r="AJ99" s="19" t="n"/>
      <c r="AK99" s="19" t="n"/>
      <c r="AL99" s="19" t="n"/>
      <c r="AM99" s="16" t="inlineStr">
        <is>
          <t>1 Bild im Bild</t>
        </is>
      </c>
      <c r="AN99" s="22" t="n"/>
    </row>
    <row r="100" ht="30" customHeight="1">
      <c r="A100" s="15" t="inlineStr">
        <is>
          <t>NE01-05</t>
        </is>
      </c>
      <c r="B100" s="15" t="inlineStr">
        <is>
          <t>K-050</t>
        </is>
      </c>
      <c r="C100" s="15" t="n"/>
      <c r="D100" s="15" t="inlineStr">
        <is>
          <t>NE01</t>
        </is>
      </c>
      <c r="E100" s="15" t="inlineStr">
        <is>
          <t>Sansevieria groß im Übertopf</t>
        </is>
      </c>
      <c r="F100" s="16" t="inlineStr">
        <is>
          <t>Bogenhanf, große Pflanze, weißer Übertopf</t>
        </is>
      </c>
      <c r="G100" s="15" t="inlineStr">
        <is>
          <t>Pflanzen</t>
        </is>
      </c>
      <c r="H100" s="15" t="inlineStr">
        <is>
          <t>Flur</t>
        </is>
      </c>
      <c r="I100" s="15" t="inlineStr">
        <is>
          <t>C</t>
        </is>
      </c>
      <c r="J100" s="17" t="n">
        <v>1</v>
      </c>
      <c r="K100" s="17" t="n"/>
      <c r="L100" s="18">
        <f>J100-IF(K100="",0,K100)</f>
        <v/>
      </c>
      <c r="M100" s="15" t="inlineStr">
        <is>
          <t>Stück</t>
        </is>
      </c>
      <c r="N100" s="15" t="inlineStr">
        <is>
          <t>gut</t>
        </is>
      </c>
      <c r="O100" s="19" t="n"/>
      <c r="P100" s="19" t="inlineStr">
        <is>
          <t>ja</t>
        </is>
      </c>
      <c r="Q100" s="19" t="n"/>
      <c r="R100" s="20" t="n"/>
      <c r="S100" s="20" t="n">
        <v>60</v>
      </c>
      <c r="T100" s="19" t="inlineStr">
        <is>
          <t>VHB</t>
        </is>
      </c>
      <c r="U100" s="21">
        <f>L100*S100</f>
        <v/>
      </c>
      <c r="V100" s="15" t="inlineStr">
        <is>
          <t>nur Abholung</t>
        </is>
      </c>
      <c r="W100" s="15" t="inlineStr">
        <is>
          <t>F-031</t>
        </is>
      </c>
      <c r="X100" s="19" t="inlineStr">
        <is>
          <t>ja</t>
        </is>
      </c>
      <c r="Y100" s="19" t="n"/>
      <c r="Z100" s="19" t="inlineStr">
        <is>
          <t>verfügbar</t>
        </is>
      </c>
      <c r="AA100" s="19" t="n"/>
      <c r="AB100" s="19" t="n"/>
      <c r="AC100" s="19" t="n"/>
      <c r="AD100" s="19" t="n"/>
      <c r="AE100" s="20" t="n"/>
      <c r="AF100" s="21">
        <f>IF(K100="","",K100*AE100)</f>
        <v/>
      </c>
      <c r="AG100" s="19" t="n"/>
      <c r="AH100" s="19" t="n"/>
      <c r="AI100" s="19" t="n"/>
      <c r="AJ100" s="19" t="n"/>
      <c r="AK100" s="19" t="n"/>
      <c r="AL100" s="19" t="n"/>
      <c r="AM100" s="16" t="inlineStr">
        <is>
          <t>1 Pflanze im Bild</t>
        </is>
      </c>
      <c r="AN100" s="22" t="n"/>
    </row>
    <row r="101" ht="30" customHeight="1">
      <c r="A101" s="15" t="inlineStr">
        <is>
          <t>NE01-06</t>
        </is>
      </c>
      <c r="B101" s="15" t="inlineStr">
        <is>
          <t>K-051</t>
        </is>
      </c>
      <c r="C101" s="15" t="n"/>
      <c r="D101" s="15" t="inlineStr">
        <is>
          <t>NE01</t>
        </is>
      </c>
      <c r="E101" s="15" t="inlineStr">
        <is>
          <t>Gemälde Bollenhut rot-weiß</t>
        </is>
      </c>
      <c r="F101" s="16" t="inlineStr">
        <is>
          <t>Acryl auf Leinwand, ca. 50 x 60 cm - Eigenarbeit einer Privatperson</t>
        </is>
      </c>
      <c r="G101" s="15" t="inlineStr">
        <is>
          <t>Kunst</t>
        </is>
      </c>
      <c r="H101" s="15" t="inlineStr">
        <is>
          <t>Flur</t>
        </is>
      </c>
      <c r="I101" s="15" t="inlineStr">
        <is>
          <t>B</t>
        </is>
      </c>
      <c r="J101" s="17" t="n">
        <v>1</v>
      </c>
      <c r="K101" s="17" t="n"/>
      <c r="L101" s="18">
        <f>J101-IF(K101="",0,K101)</f>
        <v/>
      </c>
      <c r="M101" s="15" t="inlineStr">
        <is>
          <t>Stück</t>
        </is>
      </c>
      <c r="N101" s="15" t="inlineStr">
        <is>
          <t>gut</t>
        </is>
      </c>
      <c r="O101" s="19" t="n"/>
      <c r="P101" s="19" t="inlineStr">
        <is>
          <t>ja</t>
        </is>
      </c>
      <c r="Q101" s="19" t="n"/>
      <c r="R101" s="20" t="n"/>
      <c r="S101" s="20" t="n">
        <v>140</v>
      </c>
      <c r="T101" s="19" t="inlineStr">
        <is>
          <t>VHB</t>
        </is>
      </c>
      <c r="U101" s="21">
        <f>L101*S101</f>
        <v/>
      </c>
      <c r="V101" s="15" t="inlineStr">
        <is>
          <t>Versand möglich</t>
        </is>
      </c>
      <c r="W101" s="15" t="inlineStr">
        <is>
          <t>F-032</t>
        </is>
      </c>
      <c r="X101" s="19" t="inlineStr">
        <is>
          <t>ja</t>
        </is>
      </c>
      <c r="Y101" s="19" t="n"/>
      <c r="Z101" s="19" t="inlineStr">
        <is>
          <t>verfügbar</t>
        </is>
      </c>
      <c r="AA101" s="19" t="n"/>
      <c r="AB101" s="19" t="inlineStr">
        <is>
          <t>Schwarzwald</t>
        </is>
      </c>
      <c r="AC101" s="19" t="n"/>
      <c r="AD101" s="19" t="n"/>
      <c r="AE101" s="20" t="n"/>
      <c r="AF101" s="21">
        <f>IF(K101="","",K101*AE101)</f>
        <v/>
      </c>
      <c r="AG101" s="19" t="n"/>
      <c r="AH101" s="19" t="n"/>
      <c r="AI101" s="19" t="n"/>
      <c r="AJ101" s="19" t="n"/>
      <c r="AK101" s="19" t="n"/>
      <c r="AL101" s="19" t="n"/>
      <c r="AM101" s="16" t="inlineStr">
        <is>
          <t>1 Bild im Bild</t>
        </is>
      </c>
      <c r="AN101" s="22" t="n"/>
    </row>
    <row r="102" ht="30" customHeight="1">
      <c r="A102" s="15" t="inlineStr">
        <is>
          <t>NE01-07</t>
        </is>
      </c>
      <c r="B102" s="15" t="inlineStr">
        <is>
          <t>K-052</t>
        </is>
      </c>
      <c r="C102" s="15" t="n"/>
      <c r="D102" s="15" t="inlineStr">
        <is>
          <t>NE01</t>
        </is>
      </c>
      <c r="E102" s="15" t="inlineStr">
        <is>
          <t>Holz-Schriftzug Heimat</t>
        </is>
      </c>
      <c r="F102" s="16" t="inlineStr">
        <is>
          <t>Dekoschriftzug aus Holz</t>
        </is>
      </c>
      <c r="G102" s="15" t="inlineStr">
        <is>
          <t>Deko</t>
        </is>
      </c>
      <c r="H102" s="15" t="inlineStr">
        <is>
          <t>Flur</t>
        </is>
      </c>
      <c r="I102" s="15" t="inlineStr">
        <is>
          <t>C</t>
        </is>
      </c>
      <c r="J102" s="17" t="n">
        <v>1</v>
      </c>
      <c r="K102" s="17" t="n"/>
      <c r="L102" s="18">
        <f>J102-IF(K102="",0,K102)</f>
        <v/>
      </c>
      <c r="M102" s="15" t="inlineStr">
        <is>
          <t>Stück</t>
        </is>
      </c>
      <c r="N102" s="15" t="inlineStr">
        <is>
          <t>gut</t>
        </is>
      </c>
      <c r="O102" s="19" t="n"/>
      <c r="P102" s="19" t="inlineStr">
        <is>
          <t>ja</t>
        </is>
      </c>
      <c r="Q102" s="19" t="n"/>
      <c r="R102" s="20" t="n"/>
      <c r="S102" s="20" t="n">
        <v>25</v>
      </c>
      <c r="T102" s="19" t="inlineStr">
        <is>
          <t>VHB</t>
        </is>
      </c>
      <c r="U102" s="21">
        <f>L102*S102</f>
        <v/>
      </c>
      <c r="V102" s="15" t="inlineStr">
        <is>
          <t>Versand möglich</t>
        </is>
      </c>
      <c r="W102" s="15" t="inlineStr">
        <is>
          <t>F-032</t>
        </is>
      </c>
      <c r="X102" s="19" t="inlineStr">
        <is>
          <t>ja</t>
        </is>
      </c>
      <c r="Y102" s="19" t="n"/>
      <c r="Z102" s="19" t="inlineStr">
        <is>
          <t>verfügbar</t>
        </is>
      </c>
      <c r="AA102" s="19" t="n"/>
      <c r="AB102" s="19" t="inlineStr">
        <is>
          <t>Schwarzwald</t>
        </is>
      </c>
      <c r="AC102" s="19" t="n"/>
      <c r="AD102" s="19" t="n"/>
      <c r="AE102" s="20" t="n"/>
      <c r="AF102" s="21">
        <f>IF(K102="","",K102*AE102)</f>
        <v/>
      </c>
      <c r="AG102" s="19" t="n"/>
      <c r="AH102" s="19" t="n"/>
      <c r="AI102" s="19" t="n"/>
      <c r="AJ102" s="19" t="n"/>
      <c r="AK102" s="19" t="n"/>
      <c r="AL102" s="19" t="n"/>
      <c r="AM102" s="16" t="inlineStr">
        <is>
          <t>1 Stück im Bild</t>
        </is>
      </c>
      <c r="AN102" s="22" t="n"/>
    </row>
    <row r="103" ht="30" customHeight="1">
      <c r="A103" s="15" t="inlineStr">
        <is>
          <t>NE01-08</t>
        </is>
      </c>
      <c r="B103" s="15" t="inlineStr">
        <is>
          <t>K-053</t>
        </is>
      </c>
      <c r="C103" s="15" t="n"/>
      <c r="D103" s="15" t="inlineStr">
        <is>
          <t>NE01</t>
        </is>
      </c>
      <c r="E103" s="15" t="inlineStr">
        <is>
          <t>Zamioculcas im Übertopf</t>
        </is>
      </c>
      <c r="F103" s="16" t="inlineStr">
        <is>
          <t>Glücksfeder, weißer Übertopf</t>
        </is>
      </c>
      <c r="G103" s="15" t="inlineStr">
        <is>
          <t>Pflanzen</t>
        </is>
      </c>
      <c r="H103" s="15" t="inlineStr">
        <is>
          <t>Flur</t>
        </is>
      </c>
      <c r="I103" s="15" t="inlineStr">
        <is>
          <t>C</t>
        </is>
      </c>
      <c r="J103" s="17" t="n">
        <v>1</v>
      </c>
      <c r="K103" s="17" t="n"/>
      <c r="L103" s="18">
        <f>J103-IF(K103="",0,K103)</f>
        <v/>
      </c>
      <c r="M103" s="15" t="inlineStr">
        <is>
          <t>Stück</t>
        </is>
      </c>
      <c r="N103" s="15" t="inlineStr">
        <is>
          <t>gut</t>
        </is>
      </c>
      <c r="O103" s="19" t="n"/>
      <c r="P103" s="19" t="inlineStr">
        <is>
          <t>ja</t>
        </is>
      </c>
      <c r="Q103" s="19" t="n"/>
      <c r="R103" s="20" t="n"/>
      <c r="S103" s="20" t="n">
        <v>60</v>
      </c>
      <c r="T103" s="19" t="inlineStr">
        <is>
          <t>VHB</t>
        </is>
      </c>
      <c r="U103" s="21">
        <f>L103*S103</f>
        <v/>
      </c>
      <c r="V103" s="15" t="inlineStr">
        <is>
          <t>nur Abholung</t>
        </is>
      </c>
      <c r="W103" s="15" t="inlineStr">
        <is>
          <t>F-033</t>
        </is>
      </c>
      <c r="X103" s="19" t="inlineStr">
        <is>
          <t>ja</t>
        </is>
      </c>
      <c r="Y103" s="19" t="n"/>
      <c r="Z103" s="19" t="inlineStr">
        <is>
          <t>verfügbar</t>
        </is>
      </c>
      <c r="AA103" s="19" t="n"/>
      <c r="AB103" s="19" t="n"/>
      <c r="AC103" s="19" t="n"/>
      <c r="AD103" s="19" t="n"/>
      <c r="AE103" s="20" t="n"/>
      <c r="AF103" s="21">
        <f>IF(K103="","",K103*AE103)</f>
        <v/>
      </c>
      <c r="AG103" s="19" t="n"/>
      <c r="AH103" s="19" t="n"/>
      <c r="AI103" s="19" t="n"/>
      <c r="AJ103" s="19" t="n"/>
      <c r="AK103" s="19" t="n"/>
      <c r="AL103" s="19" t="n"/>
      <c r="AM103" s="16" t="inlineStr">
        <is>
          <t>1 Pflanze im Bild</t>
        </is>
      </c>
      <c r="AN103" s="22" t="n"/>
    </row>
    <row r="104" ht="30" customHeight="1">
      <c r="A104" s="15" t="inlineStr">
        <is>
          <t>NE01-09</t>
        </is>
      </c>
      <c r="B104" s="15" t="inlineStr">
        <is>
          <t>K-054</t>
        </is>
      </c>
      <c r="C104" s="15" t="n"/>
      <c r="D104" s="15" t="inlineStr">
        <is>
          <t>NE01</t>
        </is>
      </c>
      <c r="E104" s="15" t="inlineStr">
        <is>
          <t>Wanddeko Fadenbild schwarz</t>
        </is>
      </c>
      <c r="F104" s="16" t="inlineStr">
        <is>
          <t>Schwarzes Fadenbild auf rundem Holzreif, zwei Größen</t>
        </is>
      </c>
      <c r="G104" s="15" t="inlineStr">
        <is>
          <t>Deko</t>
        </is>
      </c>
      <c r="H104" s="15" t="inlineStr">
        <is>
          <t>Flur</t>
        </is>
      </c>
      <c r="I104" s="15" t="inlineStr">
        <is>
          <t>C</t>
        </is>
      </c>
      <c r="J104" s="17" t="n">
        <v>2</v>
      </c>
      <c r="K104" s="17" t="n"/>
      <c r="L104" s="18">
        <f>J104-IF(K104="",0,K104)</f>
        <v/>
      </c>
      <c r="M104" s="15" t="inlineStr">
        <is>
          <t>Stück</t>
        </is>
      </c>
      <c r="N104" s="15" t="inlineStr">
        <is>
          <t>gut</t>
        </is>
      </c>
      <c r="O104" s="19" t="n"/>
      <c r="P104" s="19" t="inlineStr">
        <is>
          <t>nein</t>
        </is>
      </c>
      <c r="Q104" s="19" t="n"/>
      <c r="R104" s="20" t="n"/>
      <c r="S104" s="20" t="n">
        <v>35</v>
      </c>
      <c r="T104" s="19" t="inlineStr">
        <is>
          <t>VHB</t>
        </is>
      </c>
      <c r="U104" s="21">
        <f>L104*S104</f>
        <v/>
      </c>
      <c r="V104" s="15" t="inlineStr">
        <is>
          <t>Versand möglich</t>
        </is>
      </c>
      <c r="W104" s="15" t="inlineStr">
        <is>
          <t>F-034</t>
        </is>
      </c>
      <c r="X104" s="19" t="inlineStr">
        <is>
          <t>nein</t>
        </is>
      </c>
      <c r="Y104" s="19" t="n"/>
      <c r="Z104" s="19" t="inlineStr">
        <is>
          <t>entfällt</t>
        </is>
      </c>
      <c r="AA104" s="19" t="n"/>
      <c r="AB104" s="19" t="n"/>
      <c r="AC104" s="19" t="n"/>
      <c r="AD104" s="19" t="n"/>
      <c r="AE104" s="20" t="n"/>
      <c r="AF104" s="21">
        <f>IF(K104="","",K104*AE104)</f>
        <v/>
      </c>
      <c r="AG104" s="19" t="n"/>
      <c r="AH104" s="19" t="n"/>
      <c r="AI104" s="19" t="n"/>
      <c r="AJ104" s="19" t="n"/>
      <c r="AK104" s="19" t="n"/>
      <c r="AL104" s="19" t="n"/>
      <c r="AM104" s="16" t="inlineStr">
        <is>
          <t>2 Stück (klein und groß)</t>
        </is>
      </c>
      <c r="AN104" s="22" t="inlineStr">
        <is>
          <t>Nicht mehr vorhanden – von der Nutzerin am 24.09.2026 bestaetigt.</t>
        </is>
      </c>
    </row>
    <row r="105" ht="30" customHeight="1">
      <c r="A105" s="15" t="inlineStr">
        <is>
          <t>NE01-10</t>
        </is>
      </c>
      <c r="B105" s="15" t="inlineStr">
        <is>
          <t>K-055</t>
        </is>
      </c>
      <c r="C105" s="15" t="n"/>
      <c r="D105" s="15" t="inlineStr">
        <is>
          <t>NE01</t>
        </is>
      </c>
      <c r="E105" s="15" t="inlineStr">
        <is>
          <t>Deckenleuchte Pusteblume</t>
        </is>
      </c>
      <c r="F105" s="16" t="inlineStr">
        <is>
          <t>IKEA Maskros, weiß, zwei Größen</t>
        </is>
      </c>
      <c r="G105" s="15" t="inlineStr">
        <is>
          <t>Leuchten</t>
        </is>
      </c>
      <c r="H105" s="15" t="inlineStr">
        <is>
          <t>Flur</t>
        </is>
      </c>
      <c r="I105" s="15" t="inlineStr">
        <is>
          <t>C</t>
        </is>
      </c>
      <c r="J105" s="17" t="n">
        <v>2</v>
      </c>
      <c r="K105" s="17" t="n"/>
      <c r="L105" s="18">
        <f>J105-IF(K105="",0,K105)</f>
        <v/>
      </c>
      <c r="M105" s="15" t="inlineStr">
        <is>
          <t>Stück</t>
        </is>
      </c>
      <c r="N105" s="15" t="inlineStr">
        <is>
          <t>gut</t>
        </is>
      </c>
      <c r="O105" s="19" t="n"/>
      <c r="P105" s="19" t="inlineStr">
        <is>
          <t>ja</t>
        </is>
      </c>
      <c r="Q105" s="19" t="n"/>
      <c r="R105" s="20" t="n"/>
      <c r="S105" s="20" t="n">
        <v>35</v>
      </c>
      <c r="T105" s="19" t="inlineStr">
        <is>
          <t>VHB</t>
        </is>
      </c>
      <c r="U105" s="21">
        <f>L105*S105</f>
        <v/>
      </c>
      <c r="V105" s="15" t="inlineStr">
        <is>
          <t>nur Abholung</t>
        </is>
      </c>
      <c r="W105" s="15" t="inlineStr">
        <is>
          <t>F-036</t>
        </is>
      </c>
      <c r="X105" s="19" t="inlineStr">
        <is>
          <t>ja</t>
        </is>
      </c>
      <c r="Y105" s="19" t="n"/>
      <c r="Z105" s="19" t="inlineStr">
        <is>
          <t>verfügbar</t>
        </is>
      </c>
      <c r="AA105" s="19" t="n"/>
      <c r="AB105" s="19" t="n"/>
      <c r="AC105" s="19" t="n"/>
      <c r="AD105" s="19" t="n"/>
      <c r="AE105" s="20" t="n"/>
      <c r="AF105" s="21">
        <f>IF(K105="","",K105*AE105)</f>
        <v/>
      </c>
      <c r="AG105" s="19" t="n"/>
      <c r="AH105" s="19" t="n"/>
      <c r="AI105" s="19" t="n"/>
      <c r="AJ105" s="19" t="n"/>
      <c r="AK105" s="19" t="n"/>
      <c r="AL105" s="19" t="n"/>
      <c r="AM105" s="16" t="inlineStr">
        <is>
          <t>2 Stück (zwei Fotos, klein und groß)</t>
        </is>
      </c>
      <c r="AN105" s="22" t="n"/>
    </row>
    <row r="106" ht="30" customHeight="1">
      <c r="A106" s="15" t="inlineStr">
        <is>
          <t>NE01-11</t>
        </is>
      </c>
      <c r="B106" s="15" t="inlineStr">
        <is>
          <t>K-056</t>
        </is>
      </c>
      <c r="C106" s="15" t="n"/>
      <c r="D106" s="15" t="inlineStr">
        <is>
          <t>NE01</t>
        </is>
      </c>
      <c r="E106" s="15" t="inlineStr">
        <is>
          <t>Gemälde Bollenhut-Mädchen</t>
        </is>
      </c>
      <c r="F106" s="16" t="inlineStr">
        <is>
          <t>Acryl auf Leinwand, ca. 60 x 80 cm - Eigenarbeit einer Privatperson</t>
        </is>
      </c>
      <c r="G106" s="15" t="inlineStr">
        <is>
          <t>Kunst</t>
        </is>
      </c>
      <c r="H106" s="15" t="inlineStr">
        <is>
          <t>Flur</t>
        </is>
      </c>
      <c r="I106" s="15" t="inlineStr">
        <is>
          <t>B</t>
        </is>
      </c>
      <c r="J106" s="17" t="n">
        <v>1</v>
      </c>
      <c r="K106" s="17" t="n"/>
      <c r="L106" s="18">
        <f>J106-IF(K106="",0,K106)</f>
        <v/>
      </c>
      <c r="M106" s="15" t="inlineStr">
        <is>
          <t>Stück</t>
        </is>
      </c>
      <c r="N106" s="15" t="inlineStr">
        <is>
          <t>gut</t>
        </is>
      </c>
      <c r="O106" s="19" t="n"/>
      <c r="P106" s="19" t="inlineStr">
        <is>
          <t>ja</t>
        </is>
      </c>
      <c r="Q106" s="19" t="n"/>
      <c r="R106" s="20" t="n"/>
      <c r="S106" s="20" t="n">
        <v>360</v>
      </c>
      <c r="T106" s="19" t="inlineStr">
        <is>
          <t>VHB</t>
        </is>
      </c>
      <c r="U106" s="21">
        <f>L106*S106</f>
        <v/>
      </c>
      <c r="V106" s="15" t="inlineStr">
        <is>
          <t>nur Abholung</t>
        </is>
      </c>
      <c r="W106" s="15" t="inlineStr">
        <is>
          <t>F-037</t>
        </is>
      </c>
      <c r="X106" s="19" t="inlineStr">
        <is>
          <t>ja</t>
        </is>
      </c>
      <c r="Y106" s="19" t="n"/>
      <c r="Z106" s="19" t="inlineStr">
        <is>
          <t>verfügbar</t>
        </is>
      </c>
      <c r="AA106" s="19" t="n"/>
      <c r="AB106" s="19" t="inlineStr">
        <is>
          <t>Schwarzwald</t>
        </is>
      </c>
      <c r="AC106" s="19" t="n"/>
      <c r="AD106" s="19" t="n"/>
      <c r="AE106" s="20" t="n"/>
      <c r="AF106" s="21">
        <f>IF(K106="","",K106*AE106)</f>
        <v/>
      </c>
      <c r="AG106" s="19" t="n"/>
      <c r="AH106" s="19" t="n"/>
      <c r="AI106" s="19" t="n"/>
      <c r="AJ106" s="19" t="n"/>
      <c r="AK106" s="19" t="n"/>
      <c r="AL106" s="19" t="n"/>
      <c r="AM106" s="16" t="inlineStr">
        <is>
          <t>1 Bild im Bild</t>
        </is>
      </c>
      <c r="AN106" s="22" t="n"/>
    </row>
    <row r="107" ht="30" customHeight="1">
      <c r="A107" s="15" t="inlineStr">
        <is>
          <t>NE01-12</t>
        </is>
      </c>
      <c r="B107" s="15" t="inlineStr">
        <is>
          <t>K-057</t>
        </is>
      </c>
      <c r="C107" s="15" t="n"/>
      <c r="D107" s="15" t="inlineStr">
        <is>
          <t>NE01</t>
        </is>
      </c>
      <c r="E107" s="15" t="inlineStr">
        <is>
          <t>Gemälde Fuchs mit Bollenhut</t>
        </is>
      </c>
      <c r="F107" s="16" t="inlineStr">
        <is>
          <t>Acryl auf Leinwand, ca. 80 x 100 cm - Eigenarbeit einer Privatperson</t>
        </is>
      </c>
      <c r="G107" s="15" t="inlineStr">
        <is>
          <t>Kunst</t>
        </is>
      </c>
      <c r="H107" s="15" t="inlineStr">
        <is>
          <t>Flur</t>
        </is>
      </c>
      <c r="I107" s="15" t="inlineStr">
        <is>
          <t>B</t>
        </is>
      </c>
      <c r="J107" s="17" t="n">
        <v>1</v>
      </c>
      <c r="K107" s="17" t="n"/>
      <c r="L107" s="18">
        <f>J107-IF(K107="",0,K107)</f>
        <v/>
      </c>
      <c r="M107" s="15" t="inlineStr">
        <is>
          <t>Stück</t>
        </is>
      </c>
      <c r="N107" s="15" t="inlineStr">
        <is>
          <t>gut</t>
        </is>
      </c>
      <c r="O107" s="19" t="n"/>
      <c r="P107" s="19" t="inlineStr">
        <is>
          <t>ja</t>
        </is>
      </c>
      <c r="Q107" s="19" t="n"/>
      <c r="R107" s="20" t="n"/>
      <c r="S107" s="20" t="n">
        <v>180</v>
      </c>
      <c r="T107" s="19" t="inlineStr">
        <is>
          <t>VHB</t>
        </is>
      </c>
      <c r="U107" s="21">
        <f>L107*S107</f>
        <v/>
      </c>
      <c r="V107" s="15" t="inlineStr">
        <is>
          <t>nur Abholung</t>
        </is>
      </c>
      <c r="W107" s="15" t="inlineStr">
        <is>
          <t>F-038</t>
        </is>
      </c>
      <c r="X107" s="19" t="inlineStr">
        <is>
          <t>ja</t>
        </is>
      </c>
      <c r="Y107" s="19" t="n"/>
      <c r="Z107" s="19" t="inlineStr">
        <is>
          <t>verfügbar</t>
        </is>
      </c>
      <c r="AA107" s="19" t="n"/>
      <c r="AB107" s="19" t="inlineStr">
        <is>
          <t>Schwarzwald</t>
        </is>
      </c>
      <c r="AC107" s="19" t="n"/>
      <c r="AD107" s="19" t="n"/>
      <c r="AE107" s="20" t="n"/>
      <c r="AF107" s="21">
        <f>IF(K107="","",K107*AE107)</f>
        <v/>
      </c>
      <c r="AG107" s="19" t="n"/>
      <c r="AH107" s="19" t="n"/>
      <c r="AI107" s="19" t="n"/>
      <c r="AJ107" s="19" t="n"/>
      <c r="AK107" s="19" t="n"/>
      <c r="AL107" s="19" t="n"/>
      <c r="AM107" s="16" t="inlineStr">
        <is>
          <t>1 Bild im Bild</t>
        </is>
      </c>
      <c r="AN107" s="22" t="n"/>
    </row>
    <row r="108" ht="30" customHeight="1">
      <c r="A108" s="15" t="inlineStr">
        <is>
          <t>NE01-13</t>
        </is>
      </c>
      <c r="B108" s="15" t="inlineStr">
        <is>
          <t>K-058</t>
        </is>
      </c>
      <c r="C108" s="15" t="n"/>
      <c r="D108" s="15" t="inlineStr">
        <is>
          <t>NE01</t>
        </is>
      </c>
      <c r="E108" s="15" t="inlineStr">
        <is>
          <t>Gemälde Panorama, 3 Figuren</t>
        </is>
      </c>
      <c r="F108" s="16" t="inlineStr">
        <is>
          <t>Acryl auf Leinwand, Querformat ca. 120 x 40 cm - Eigenarbeit einer Privatperson</t>
        </is>
      </c>
      <c r="G108" s="15" t="inlineStr">
        <is>
          <t>Kunst</t>
        </is>
      </c>
      <c r="H108" s="15" t="inlineStr">
        <is>
          <t>Flur</t>
        </is>
      </c>
      <c r="I108" s="15" t="inlineStr">
        <is>
          <t>B</t>
        </is>
      </c>
      <c r="J108" s="17" t="n">
        <v>1</v>
      </c>
      <c r="K108" s="17" t="n"/>
      <c r="L108" s="18">
        <f>J108-IF(K108="",0,K108)</f>
        <v/>
      </c>
      <c r="M108" s="15" t="inlineStr">
        <is>
          <t>Stück</t>
        </is>
      </c>
      <c r="N108" s="15" t="inlineStr">
        <is>
          <t>gut</t>
        </is>
      </c>
      <c r="O108" s="19" t="n"/>
      <c r="P108" s="19" t="inlineStr">
        <is>
          <t>ja</t>
        </is>
      </c>
      <c r="Q108" s="19" t="n"/>
      <c r="R108" s="20" t="n"/>
      <c r="S108" s="20" t="n">
        <v>120</v>
      </c>
      <c r="T108" s="19" t="inlineStr">
        <is>
          <t>VHB</t>
        </is>
      </c>
      <c r="U108" s="21">
        <f>L108*S108</f>
        <v/>
      </c>
      <c r="V108" s="15" t="inlineStr">
        <is>
          <t>nur Abholung</t>
        </is>
      </c>
      <c r="W108" s="15" t="inlineStr">
        <is>
          <t>F-040</t>
        </is>
      </c>
      <c r="X108" s="19" t="inlineStr">
        <is>
          <t>ja</t>
        </is>
      </c>
      <c r="Y108" s="19" t="n"/>
      <c r="Z108" s="19" t="inlineStr">
        <is>
          <t>verfügbar</t>
        </is>
      </c>
      <c r="AA108" s="19" t="n"/>
      <c r="AB108" s="19" t="inlineStr">
        <is>
          <t>Schwarzwald</t>
        </is>
      </c>
      <c r="AC108" s="19" t="n"/>
      <c r="AD108" s="19" t="n"/>
      <c r="AE108" s="20" t="n"/>
      <c r="AF108" s="21">
        <f>IF(K108="","",K108*AE108)</f>
        <v/>
      </c>
      <c r="AG108" s="19" t="n"/>
      <c r="AH108" s="19" t="n"/>
      <c r="AI108" s="19" t="n"/>
      <c r="AJ108" s="19" t="n"/>
      <c r="AK108" s="19" t="n"/>
      <c r="AL108" s="19" t="n"/>
      <c r="AM108" s="16" t="inlineStr">
        <is>
          <t>1 Bild im Bild</t>
        </is>
      </c>
      <c r="AN108" s="22" t="n"/>
    </row>
    <row r="109" ht="30" customHeight="1">
      <c r="A109" s="15" t="inlineStr">
        <is>
          <t>NE01-14</t>
        </is>
      </c>
      <c r="B109" s="15" t="inlineStr">
        <is>
          <t>K-059</t>
        </is>
      </c>
      <c r="C109" s="15" t="n"/>
      <c r="D109" s="15" t="inlineStr">
        <is>
          <t>NE01</t>
        </is>
      </c>
      <c r="E109" s="15" t="inlineStr">
        <is>
          <t>Gemälde Panorama, 5 Figuren</t>
        </is>
      </c>
      <c r="F109" s="16" t="inlineStr">
        <is>
          <t>Acryl auf Leinwand, Querformat - Eigenarbeit einer Privatperson</t>
        </is>
      </c>
      <c r="G109" s="15" t="inlineStr">
        <is>
          <t>Kunst</t>
        </is>
      </c>
      <c r="H109" s="15" t="inlineStr">
        <is>
          <t>Flur</t>
        </is>
      </c>
      <c r="I109" s="15" t="inlineStr">
        <is>
          <t>B</t>
        </is>
      </c>
      <c r="J109" s="17" t="n">
        <v>1</v>
      </c>
      <c r="K109" s="17" t="n"/>
      <c r="L109" s="18">
        <f>J109-IF(K109="",0,K109)</f>
        <v/>
      </c>
      <c r="M109" s="15" t="inlineStr">
        <is>
          <t>Stück</t>
        </is>
      </c>
      <c r="N109" s="15" t="inlineStr">
        <is>
          <t>gut</t>
        </is>
      </c>
      <c r="O109" s="19" t="n"/>
      <c r="P109" s="19" t="inlineStr">
        <is>
          <t>ja</t>
        </is>
      </c>
      <c r="Q109" s="19" t="n"/>
      <c r="R109" s="20" t="n"/>
      <c r="S109" s="20" t="n">
        <v>120</v>
      </c>
      <c r="T109" s="19" t="inlineStr">
        <is>
          <t>VHB</t>
        </is>
      </c>
      <c r="U109" s="21">
        <f>L109*S109</f>
        <v/>
      </c>
      <c r="V109" s="15" t="inlineStr">
        <is>
          <t>nur Abholung</t>
        </is>
      </c>
      <c r="W109" s="15" t="inlineStr">
        <is>
          <t>F-041</t>
        </is>
      </c>
      <c r="X109" s="19" t="inlineStr">
        <is>
          <t>ja</t>
        </is>
      </c>
      <c r="Y109" s="19" t="n"/>
      <c r="Z109" s="19" t="inlineStr">
        <is>
          <t>verfügbar</t>
        </is>
      </c>
      <c r="AA109" s="19" t="n"/>
      <c r="AB109" s="19" t="inlineStr">
        <is>
          <t>Schwarzwald</t>
        </is>
      </c>
      <c r="AC109" s="19" t="n"/>
      <c r="AD109" s="19" t="n"/>
      <c r="AE109" s="20" t="n"/>
      <c r="AF109" s="21">
        <f>IF(K109="","",K109*AE109)</f>
        <v/>
      </c>
      <c r="AG109" s="19" t="n"/>
      <c r="AH109" s="19" t="n"/>
      <c r="AI109" s="19" t="n"/>
      <c r="AJ109" s="19" t="n"/>
      <c r="AK109" s="19" t="n"/>
      <c r="AL109" s="19" t="n"/>
      <c r="AM109" s="16" t="inlineStr">
        <is>
          <t>1 Bild im Bild</t>
        </is>
      </c>
      <c r="AN109" s="22" t="n"/>
    </row>
    <row r="110" ht="30" customHeight="1">
      <c r="A110" s="15" t="inlineStr">
        <is>
          <t>NE01-15</t>
        </is>
      </c>
      <c r="B110" s="15" t="inlineStr">
        <is>
          <t>K-066</t>
        </is>
      </c>
      <c r="C110" s="15" t="n"/>
      <c r="D110" s="15" t="inlineStr">
        <is>
          <t>NE01</t>
        </is>
      </c>
      <c r="E110" s="15" t="inlineStr">
        <is>
          <t>Deko-Tannenbaum schwarz</t>
        </is>
      </c>
      <c r="F110" s="16" t="inlineStr">
        <is>
          <t>Metall-Tannenbaum auf Holzsockel, schwarz, verschiedene Größen</t>
        </is>
      </c>
      <c r="G110" s="15" t="inlineStr">
        <is>
          <t>Deko</t>
        </is>
      </c>
      <c r="H110" s="15" t="inlineStr">
        <is>
          <t>Flur</t>
        </is>
      </c>
      <c r="I110" s="15" t="inlineStr">
        <is>
          <t>C</t>
        </is>
      </c>
      <c r="J110" s="17" t="n">
        <v>3</v>
      </c>
      <c r="K110" s="17" t="n"/>
      <c r="L110" s="18">
        <f>J110-IF(K110="",0,K110)</f>
        <v/>
      </c>
      <c r="M110" s="15" t="inlineStr">
        <is>
          <t>Stück</t>
        </is>
      </c>
      <c r="N110" s="15" t="inlineStr">
        <is>
          <t>gut</t>
        </is>
      </c>
      <c r="O110" s="19" t="n"/>
      <c r="P110" s="19" t="inlineStr">
        <is>
          <t>entfällt</t>
        </is>
      </c>
      <c r="Q110" s="19" t="n"/>
      <c r="R110" s="20" t="n"/>
      <c r="S110" s="20" t="n">
        <v>25</v>
      </c>
      <c r="T110" s="19" t="inlineStr">
        <is>
          <t>VHB</t>
        </is>
      </c>
      <c r="U110" s="21">
        <f>L110*S110</f>
        <v/>
      </c>
      <c r="V110" s="15" t="inlineStr">
        <is>
          <t>Versand möglich</t>
        </is>
      </c>
      <c r="W110" s="15" t="inlineStr">
        <is>
          <t>F-072</t>
        </is>
      </c>
      <c r="X110" s="19" t="inlineStr">
        <is>
          <t>ja</t>
        </is>
      </c>
      <c r="Y110" s="19" t="n"/>
      <c r="Z110" s="19" t="inlineStr">
        <is>
          <t>verfügbar</t>
        </is>
      </c>
      <c r="AA110" s="19" t="n"/>
      <c r="AB110" s="19" t="n"/>
      <c r="AC110" s="19" t="n"/>
      <c r="AD110" s="19" t="n"/>
      <c r="AE110" s="20" t="n"/>
      <c r="AF110" s="21">
        <f>IF(K110="","",K110*AE110)</f>
        <v/>
      </c>
      <c r="AG110" s="19" t="n"/>
      <c r="AH110" s="19" t="n"/>
      <c r="AI110" s="19" t="n"/>
      <c r="AJ110" s="19" t="n"/>
      <c r="AK110" s="19" t="n"/>
      <c r="AL110" s="19" t="n"/>
      <c r="AM110" s="16" t="inlineStr">
        <is>
          <t>3 Stück im Bild</t>
        </is>
      </c>
      <c r="AN110" s="22" t="inlineStr">
        <is>
          <t>Auf dem Erfassungsblatt NE01 durchgestrichen - die Stuecke stehen jetzt im Flur 1 und werden dort als BA01-03 gefuehrt.</t>
        </is>
      </c>
    </row>
    <row r="111" ht="30" customHeight="1">
      <c r="A111" s="15" t="inlineStr">
        <is>
          <t>NE01-16</t>
        </is>
      </c>
      <c r="B111" s="15" t="inlineStr">
        <is>
          <t>K-068</t>
        </is>
      </c>
      <c r="C111" s="15" t="n"/>
      <c r="D111" s="15" t="inlineStr">
        <is>
          <t>NE01</t>
        </is>
      </c>
      <c r="E111" s="15" t="inlineStr">
        <is>
          <t>Pflanze mit Topf</t>
        </is>
      </c>
      <c r="F111" s="16" t="inlineStr">
        <is>
          <t>Stoffschirm schwarz-weiß gemustert mit Fransenbesatz</t>
        </is>
      </c>
      <c r="G111" s="15" t="inlineStr">
        <is>
          <t>Pflanzen</t>
        </is>
      </c>
      <c r="H111" s="15" t="inlineStr">
        <is>
          <t>Flur</t>
        </is>
      </c>
      <c r="I111" s="15" t="inlineStr">
        <is>
          <t>C</t>
        </is>
      </c>
      <c r="J111" s="17" t="n">
        <v>1</v>
      </c>
      <c r="K111" s="17" t="n"/>
      <c r="L111" s="18">
        <f>J111-IF(K111="",0,K111)</f>
        <v/>
      </c>
      <c r="M111" s="15" t="inlineStr">
        <is>
          <t>Stück</t>
        </is>
      </c>
      <c r="N111" s="15" t="inlineStr">
        <is>
          <t>gut</t>
        </is>
      </c>
      <c r="O111" s="19" t="n"/>
      <c r="P111" s="19" t="inlineStr">
        <is>
          <t>ja</t>
        </is>
      </c>
      <c r="Q111" s="19" t="n"/>
      <c r="R111" s="20" t="n"/>
      <c r="S111" s="20" t="n">
        <v>20</v>
      </c>
      <c r="T111" s="19" t="inlineStr">
        <is>
          <t>VHB</t>
        </is>
      </c>
      <c r="U111" s="21">
        <f>L111*S111</f>
        <v/>
      </c>
      <c r="V111" s="15" t="inlineStr">
        <is>
          <t>nur Abholung</t>
        </is>
      </c>
      <c r="W111" s="15" t="inlineStr">
        <is>
          <t>F-073</t>
        </is>
      </c>
      <c r="X111" s="19" t="inlineStr">
        <is>
          <t>ja</t>
        </is>
      </c>
      <c r="Y111" s="19" t="n"/>
      <c r="Z111" s="19" t="inlineStr">
        <is>
          <t>verfügbar</t>
        </is>
      </c>
      <c r="AA111" s="19" t="n"/>
      <c r="AB111" s="19" t="n"/>
      <c r="AC111" s="19" t="n"/>
      <c r="AD111" s="19" t="n"/>
      <c r="AE111" s="20" t="n"/>
      <c r="AF111" s="21">
        <f>IF(K111="","",K111*AE111)</f>
        <v/>
      </c>
      <c r="AG111" s="19" t="n"/>
      <c r="AH111" s="19" t="n"/>
      <c r="AI111" s="19" t="n"/>
      <c r="AJ111" s="19" t="n"/>
      <c r="AK111" s="19" t="n"/>
      <c r="AL111" s="19" t="n"/>
      <c r="AM111" s="16" t="inlineStr">
        <is>
          <t>2 Stück im Bild</t>
        </is>
      </c>
      <c r="AN111" s="22" t="n"/>
    </row>
    <row r="112" ht="30" customHeight="1">
      <c r="A112" s="15" t="inlineStr">
        <is>
          <t>NE05-01</t>
        </is>
      </c>
      <c r="B112" s="15" t="inlineStr">
        <is>
          <t>K-023</t>
        </is>
      </c>
      <c r="C112" s="15" t="n"/>
      <c r="D112" s="15" t="inlineStr">
        <is>
          <t>NE05</t>
        </is>
      </c>
      <c r="E112" s="15" t="inlineStr">
        <is>
          <t>Massivholztisch mit Baumkante, Essbereich</t>
        </is>
      </c>
      <c r="F112" s="16" t="inlineStr">
        <is>
          <t>Massivholzplatte mit Baumkante, schwarzes Metallgestell mit Messingfüßen</t>
        </is>
      </c>
      <c r="G112" s="15" t="inlineStr">
        <is>
          <t>Möbel</t>
        </is>
      </c>
      <c r="H112" s="15" t="inlineStr">
        <is>
          <t>Speisesaal</t>
        </is>
      </c>
      <c r="I112" s="15" t="inlineStr">
        <is>
          <t>A</t>
        </is>
      </c>
      <c r="J112" s="17" t="n">
        <v>8</v>
      </c>
      <c r="K112" s="17" t="n"/>
      <c r="L112" s="18">
        <f>J112-IF(K112="",0,K112)</f>
        <v/>
      </c>
      <c r="M112" s="15" t="inlineStr">
        <is>
          <t>Stück</t>
        </is>
      </c>
      <c r="N112" s="15" t="inlineStr">
        <is>
          <t>gebraucht</t>
        </is>
      </c>
      <c r="O112" s="19" t="n"/>
      <c r="P112" s="19" t="inlineStr">
        <is>
          <t>ja</t>
        </is>
      </c>
      <c r="Q112" s="19" t="n"/>
      <c r="R112" s="20" t="n"/>
      <c r="S112" s="20" t="n">
        <v>450</v>
      </c>
      <c r="T112" s="19" t="inlineStr">
        <is>
          <t>VHB</t>
        </is>
      </c>
      <c r="U112" s="21">
        <f>L112*S112</f>
        <v/>
      </c>
      <c r="V112" s="15" t="inlineStr">
        <is>
          <t>nur Abholung</t>
        </is>
      </c>
      <c r="W112" s="15" t="inlineStr">
        <is>
          <t>F-016</t>
        </is>
      </c>
      <c r="X112" s="19" t="inlineStr">
        <is>
          <t>ja</t>
        </is>
      </c>
      <c r="Y112" s="19" t="n"/>
      <c r="Z112" s="19" t="inlineStr">
        <is>
          <t>verfügbar</t>
        </is>
      </c>
      <c r="AA112" s="19" t="n"/>
      <c r="AB112" s="19" t="n"/>
      <c r="AC112" s="19" t="n"/>
      <c r="AD112" s="19" t="n"/>
      <c r="AE112" s="20" t="n"/>
      <c r="AF112" s="21">
        <f>IF(K112="","",K112*AE112)</f>
        <v/>
      </c>
      <c r="AG112" s="19" t="n"/>
      <c r="AH112" s="19" t="n"/>
      <c r="AI112" s="19" t="n"/>
      <c r="AJ112" s="19" t="n"/>
      <c r="AK112" s="19" t="n"/>
      <c r="AL112" s="19" t="n"/>
      <c r="AM112" s="16" t="inlineStr">
        <is>
          <t>8 Tische, im Raum nachgezählt.</t>
        </is>
      </c>
      <c r="AN112" s="22" t="n"/>
    </row>
    <row r="113" ht="30" customHeight="1">
      <c r="A113" s="15" t="inlineStr">
        <is>
          <t>NE05-02</t>
        </is>
      </c>
      <c r="B113" s="15" t="inlineStr">
        <is>
          <t>K-024</t>
        </is>
      </c>
      <c r="C113" s="15" t="n"/>
      <c r="D113" s="15" t="inlineStr">
        <is>
          <t>NE05</t>
        </is>
      </c>
      <c r="E113" s="15" t="inlineStr">
        <is>
          <t>Sitzbank Massivholz</t>
        </is>
      </c>
      <c r="F113" s="16" t="inlineStr">
        <is>
          <t>Passend zu den Baumkantentischen, Massivholz mit Metallgestell</t>
        </is>
      </c>
      <c r="G113" s="15" t="inlineStr">
        <is>
          <t>Möbel</t>
        </is>
      </c>
      <c r="H113" s="15" t="inlineStr">
        <is>
          <t>Speisesaal</t>
        </is>
      </c>
      <c r="I113" s="15" t="inlineStr">
        <is>
          <t>B</t>
        </is>
      </c>
      <c r="J113" s="17" t="n">
        <v>9</v>
      </c>
      <c r="K113" s="17" t="n"/>
      <c r="L113" s="18">
        <f>J113-IF(K113="",0,K113)</f>
        <v/>
      </c>
      <c r="M113" s="15" t="inlineStr">
        <is>
          <t>Stück</t>
        </is>
      </c>
      <c r="N113" s="15" t="inlineStr">
        <is>
          <t>gebraucht</t>
        </is>
      </c>
      <c r="O113" s="19" t="n"/>
      <c r="P113" s="19" t="inlineStr">
        <is>
          <t>ja</t>
        </is>
      </c>
      <c r="Q113" s="19" t="n"/>
      <c r="R113" s="20" t="n"/>
      <c r="S113" s="20" t="n">
        <v>250</v>
      </c>
      <c r="T113" s="19" t="inlineStr">
        <is>
          <t>VHB</t>
        </is>
      </c>
      <c r="U113" s="21">
        <f>L113*S113</f>
        <v/>
      </c>
      <c r="V113" s="15" t="inlineStr">
        <is>
          <t>nur Abholung</t>
        </is>
      </c>
      <c r="W113" s="15" t="inlineStr">
        <is>
          <t>F-016</t>
        </is>
      </c>
      <c r="X113" s="19" t="inlineStr">
        <is>
          <t>ja</t>
        </is>
      </c>
      <c r="Y113" s="19" t="n"/>
      <c r="Z113" s="19" t="inlineStr">
        <is>
          <t>verfügbar</t>
        </is>
      </c>
      <c r="AA113" s="19" t="n"/>
      <c r="AB113" s="19" t="n"/>
      <c r="AC113" s="19" t="n"/>
      <c r="AD113" s="19" t="n"/>
      <c r="AE113" s="20" t="n"/>
      <c r="AF113" s="21">
        <f>IF(K113="","",K113*AE113)</f>
        <v/>
      </c>
      <c r="AG113" s="19" t="n"/>
      <c r="AH113" s="19" t="n"/>
      <c r="AI113" s="19" t="n"/>
      <c r="AJ113" s="19" t="n"/>
      <c r="AK113" s="19" t="n"/>
      <c r="AL113" s="19" t="n"/>
      <c r="AM113" s="16" t="inlineStr">
        <is>
          <t>9 Bänke, im Raum nachgezählt.</t>
        </is>
      </c>
      <c r="AN113" s="22" t="n"/>
    </row>
    <row r="114" ht="30" customHeight="1">
      <c r="A114" s="15" t="inlineStr">
        <is>
          <t>NE05-03</t>
        </is>
      </c>
      <c r="B114" s="15" t="inlineStr">
        <is>
          <t>K-028</t>
        </is>
      </c>
      <c r="C114" s="15" t="n"/>
      <c r="D114" s="15" t="inlineStr">
        <is>
          <t>NE05</t>
        </is>
      </c>
      <c r="E114" s="15" t="inlineStr">
        <is>
          <t>Kuckucksuhr groß, geschnitzt</t>
        </is>
      </c>
      <c r="F114" s="16" t="inlineStr">
        <is>
          <t>Schwarzwälder Kuckucksuhr, aufwendig geschnitzt mit Hirschkopf, Eulen und Jagdhorn</t>
        </is>
      </c>
      <c r="G114" s="15" t="inlineStr">
        <is>
          <t>Uhren</t>
        </is>
      </c>
      <c r="H114" s="15" t="inlineStr">
        <is>
          <t>Speisesaal</t>
        </is>
      </c>
      <c r="I114" s="15" t="inlineStr">
        <is>
          <t>A</t>
        </is>
      </c>
      <c r="J114" s="17" t="n">
        <v>1</v>
      </c>
      <c r="K114" s="17" t="n"/>
      <c r="L114" s="18">
        <f>J114-IF(K114="",0,K114)</f>
        <v/>
      </c>
      <c r="M114" s="15" t="inlineStr">
        <is>
          <t>Stück</t>
        </is>
      </c>
      <c r="N114" s="15" t="inlineStr">
        <is>
          <t>gut</t>
        </is>
      </c>
      <c r="O114" s="19" t="n"/>
      <c r="P114" s="19" t="inlineStr">
        <is>
          <t>ja</t>
        </is>
      </c>
      <c r="Q114" s="19" t="n"/>
      <c r="R114" s="20" t="n"/>
      <c r="S114" s="20" t="n">
        <v>550</v>
      </c>
      <c r="T114" s="19" t="inlineStr">
        <is>
          <t>VHB</t>
        </is>
      </c>
      <c r="U114" s="21">
        <f>L114*S114</f>
        <v/>
      </c>
      <c r="V114" s="15" t="inlineStr">
        <is>
          <t>nur Abholung</t>
        </is>
      </c>
      <c r="W114" s="15" t="inlineStr">
        <is>
          <t>F-017</t>
        </is>
      </c>
      <c r="X114" s="19" t="inlineStr">
        <is>
          <t>ja</t>
        </is>
      </c>
      <c r="Y114" s="19" t="n"/>
      <c r="Z114" s="19" t="inlineStr">
        <is>
          <t>verfügbar</t>
        </is>
      </c>
      <c r="AA114" s="19" t="n"/>
      <c r="AB114" s="19" t="inlineStr">
        <is>
          <t>Schwarzwald</t>
        </is>
      </c>
      <c r="AC114" s="19" t="n"/>
      <c r="AD114" s="19" t="n"/>
      <c r="AE114" s="20" t="n"/>
      <c r="AF114" s="21">
        <f>IF(K114="","",K114*AE114)</f>
        <v/>
      </c>
      <c r="AG114" s="19" t="n"/>
      <c r="AH114" s="19" t="n"/>
      <c r="AI114" s="19" t="n"/>
      <c r="AJ114" s="19" t="n"/>
      <c r="AK114" s="19" t="n"/>
      <c r="AL114" s="19" t="n"/>
      <c r="AM114" s="16" t="inlineStr">
        <is>
          <t>1 Stück im Bild</t>
        </is>
      </c>
      <c r="AN114" s="22" t="n"/>
    </row>
    <row r="115" ht="30" customHeight="1">
      <c r="A115" s="15" t="inlineStr">
        <is>
          <t>NU01-01</t>
        </is>
      </c>
      <c r="B115" s="15" t="inlineStr">
        <is>
          <t>K-031</t>
        </is>
      </c>
      <c r="C115" s="15" t="n"/>
      <c r="D115" s="15" t="inlineStr">
        <is>
          <t>NU01</t>
        </is>
      </c>
      <c r="E115" s="15" t="inlineStr">
        <is>
          <t>Vitra Alcove Sofa, rot</t>
        </is>
      </c>
      <c r="F115" s="16" t="inlineStr">
        <is>
          <t>Vitra Alcove, Design Ronan &amp; Erwan Bouroullec, rot, hohe Rückenwände, Chrombeine</t>
        </is>
      </c>
      <c r="G115" s="15" t="inlineStr">
        <is>
          <t>Designmöbel</t>
        </is>
      </c>
      <c r="H115" s="15" t="inlineStr">
        <is>
          <t>Flur</t>
        </is>
      </c>
      <c r="I115" s="15" t="inlineStr">
        <is>
          <t>A</t>
        </is>
      </c>
      <c r="J115" s="17" t="n">
        <v>2</v>
      </c>
      <c r="K115" s="17" t="n"/>
      <c r="L115" s="18">
        <f>J115-IF(K115="",0,K115)</f>
        <v/>
      </c>
      <c r="M115" s="15" t="inlineStr">
        <is>
          <t>Stück</t>
        </is>
      </c>
      <c r="N115" s="15" t="inlineStr">
        <is>
          <t>gebraucht</t>
        </is>
      </c>
      <c r="O115" s="19" t="n"/>
      <c r="P115" s="19" t="inlineStr">
        <is>
          <t>ja</t>
        </is>
      </c>
      <c r="Q115" s="19" t="n"/>
      <c r="R115" s="20" t="n"/>
      <c r="S115" s="20" t="n">
        <v>1600</v>
      </c>
      <c r="T115" s="19" t="inlineStr">
        <is>
          <t>VHB</t>
        </is>
      </c>
      <c r="U115" s="21">
        <f>L115*S115</f>
        <v/>
      </c>
      <c r="V115" s="15" t="inlineStr">
        <is>
          <t>nur Abholung</t>
        </is>
      </c>
      <c r="W115" s="15" t="inlineStr">
        <is>
          <t>F-019</t>
        </is>
      </c>
      <c r="X115" s="19" t="inlineStr">
        <is>
          <t>ja</t>
        </is>
      </c>
      <c r="Y115" s="19" t="n"/>
      <c r="Z115" s="19" t="inlineStr">
        <is>
          <t>verfügbar</t>
        </is>
      </c>
      <c r="AA115" s="19" t="inlineStr">
        <is>
          <t>Vitra</t>
        </is>
      </c>
      <c r="AB115" s="19" t="n"/>
      <c r="AC115" s="19" t="n"/>
      <c r="AD115" s="19" t="n"/>
      <c r="AE115" s="20" t="n"/>
      <c r="AF115" s="21">
        <f>IF(K115="","",K115*AE115)</f>
        <v/>
      </c>
      <c r="AG115" s="19" t="n"/>
      <c r="AH115" s="19" t="n"/>
      <c r="AI115" s="19" t="n"/>
      <c r="AJ115" s="19" t="n"/>
      <c r="AK115" s="19" t="n"/>
      <c r="AL115" s="19" t="n"/>
      <c r="AM115" s="16" t="inlineStr">
        <is>
          <t>2 Elemente im Bild - bitte prüfen ob 3</t>
        </is>
      </c>
      <c r="AN115" s="22" t="n"/>
    </row>
    <row r="116" ht="30" customHeight="1">
      <c r="A116" s="15" t="inlineStr">
        <is>
          <t>NU01-02</t>
        </is>
      </c>
      <c r="B116" s="15" t="inlineStr">
        <is>
          <t>K-034</t>
        </is>
      </c>
      <c r="C116" s="15" t="n"/>
      <c r="D116" s="15" t="inlineStr">
        <is>
          <t>NU01</t>
        </is>
      </c>
      <c r="E116" s="15" t="inlineStr">
        <is>
          <t>Kuckucksuhr, Wandgruppe</t>
        </is>
      </c>
      <c r="F116" s="16" t="inlineStr">
        <is>
          <t>Schwarzwälder Kuckucksuhren verschiedener Größe und Ausführung</t>
        </is>
      </c>
      <c r="G116" s="15" t="inlineStr">
        <is>
          <t>Uhren</t>
        </is>
      </c>
      <c r="H116" s="15" t="inlineStr">
        <is>
          <t>Flur</t>
        </is>
      </c>
      <c r="I116" s="15" t="inlineStr">
        <is>
          <t>A</t>
        </is>
      </c>
      <c r="J116" s="17" t="n">
        <v>5</v>
      </c>
      <c r="K116" s="17" t="n"/>
      <c r="L116" s="18">
        <f>J116-IF(K116="",0,K116)</f>
        <v/>
      </c>
      <c r="M116" s="15" t="inlineStr">
        <is>
          <t>Stück</t>
        </is>
      </c>
      <c r="N116" s="15" t="inlineStr">
        <is>
          <t>gut</t>
        </is>
      </c>
      <c r="O116" s="19" t="n"/>
      <c r="P116" s="19" t="inlineStr">
        <is>
          <t>ja</t>
        </is>
      </c>
      <c r="Q116" s="19" t="n"/>
      <c r="R116" s="20" t="n"/>
      <c r="S116" s="20" t="n">
        <v>150</v>
      </c>
      <c r="T116" s="19" t="inlineStr">
        <is>
          <t>VHB</t>
        </is>
      </c>
      <c r="U116" s="21">
        <f>L116*S116</f>
        <v/>
      </c>
      <c r="V116" s="15" t="inlineStr">
        <is>
          <t>Versand möglich</t>
        </is>
      </c>
      <c r="W116" s="15" t="inlineStr">
        <is>
          <t>F-109</t>
        </is>
      </c>
      <c r="X116" s="19" t="inlineStr">
        <is>
          <t>ja</t>
        </is>
      </c>
      <c r="Y116" s="19" t="n"/>
      <c r="Z116" s="19" t="inlineStr">
        <is>
          <t>verfügbar</t>
        </is>
      </c>
      <c r="AA116" s="19" t="n"/>
      <c r="AB116" s="19" t="inlineStr">
        <is>
          <t>Schwarzwald</t>
        </is>
      </c>
      <c r="AC116" s="19" t="n"/>
      <c r="AD116" s="19" t="n"/>
      <c r="AE116" s="20" t="n"/>
      <c r="AF116" s="21">
        <f>IF(K116="","",K116*AE116)</f>
        <v/>
      </c>
      <c r="AG116" s="19" t="n"/>
      <c r="AH116" s="19" t="n"/>
      <c r="AI116" s="19" t="n"/>
      <c r="AJ116" s="19" t="n"/>
      <c r="AK116" s="19" t="n"/>
      <c r="AL116" s="19" t="n"/>
      <c r="AM116" s="16" t="inlineStr">
        <is>
          <t>5 Uhren im Bild - bitte nachzählen</t>
        </is>
      </c>
      <c r="AN116" s="22" t="n"/>
    </row>
    <row r="117" ht="30" customHeight="1">
      <c r="A117" s="15" t="inlineStr">
        <is>
          <t>NU01-03</t>
        </is>
      </c>
      <c r="B117" s="15" t="inlineStr">
        <is>
          <t>K-035</t>
        </is>
      </c>
      <c r="C117" s="15" t="n"/>
      <c r="D117" s="15" t="inlineStr">
        <is>
          <t>NU01</t>
        </is>
      </c>
      <c r="E117" s="15" t="inlineStr">
        <is>
          <t>Dekoration in der Vitrine</t>
        </is>
      </c>
      <c r="F117" s="16" t="inlineStr">
        <is>
          <t>Dekoration in der Vitrine</t>
        </is>
      </c>
      <c r="G117" s="15" t="inlineStr">
        <is>
          <t>Deko</t>
        </is>
      </c>
      <c r="H117" s="15" t="inlineStr">
        <is>
          <t>Flur</t>
        </is>
      </c>
      <c r="I117" s="15" t="inlineStr">
        <is>
          <t>B</t>
        </is>
      </c>
      <c r="J117" s="17" t="n">
        <v>1</v>
      </c>
      <c r="K117" s="17" t="n"/>
      <c r="L117" s="18">
        <f>J117-IF(K117="",0,K117)</f>
        <v/>
      </c>
      <c r="M117" s="15" t="inlineStr">
        <is>
          <t>Stück</t>
        </is>
      </c>
      <c r="N117" s="15" t="inlineStr">
        <is>
          <t>gut</t>
        </is>
      </c>
      <c r="O117" s="19" t="n"/>
      <c r="P117" s="19" t="inlineStr">
        <is>
          <t>ja</t>
        </is>
      </c>
      <c r="Q117" s="19" t="n"/>
      <c r="R117" s="20" t="n"/>
      <c r="S117" s="20" t="n">
        <v>50</v>
      </c>
      <c r="T117" s="19" t="inlineStr">
        <is>
          <t>VHB</t>
        </is>
      </c>
      <c r="U117" s="21">
        <f>L117*S117</f>
        <v/>
      </c>
      <c r="V117" s="15" t="inlineStr">
        <is>
          <t>nur Abholung</t>
        </is>
      </c>
      <c r="W117" s="15" t="inlineStr">
        <is>
          <t>F-110</t>
        </is>
      </c>
      <c r="X117" s="19" t="inlineStr">
        <is>
          <t>ja</t>
        </is>
      </c>
      <c r="Y117" s="19" t="inlineStr">
        <is>
          <t>ja</t>
        </is>
      </c>
      <c r="Z117" s="19" t="inlineStr">
        <is>
          <t>verfügbar</t>
        </is>
      </c>
      <c r="AA117" s="19" t="n"/>
      <c r="AB117" s="19" t="n"/>
      <c r="AC117" s="19" t="n"/>
      <c r="AD117" s="19" t="n"/>
      <c r="AE117" s="20" t="n"/>
      <c r="AF117" s="21">
        <f>IF(K117="","",K117*AE117)</f>
        <v/>
      </c>
      <c r="AG117" s="19" t="n"/>
      <c r="AH117" s="19" t="n"/>
      <c r="AI117" s="19" t="n"/>
      <c r="AJ117" s="19" t="n"/>
      <c r="AK117" s="19" t="n"/>
      <c r="AL117" s="19" t="n"/>
      <c r="AM117" s="16" t="inlineStr">
        <is>
          <t>1 Stück im Bild (Inhalt nicht enthalten)</t>
        </is>
      </c>
      <c r="AN117" s="22" t="n"/>
    </row>
    <row r="118" ht="30" customHeight="1">
      <c r="A118" s="15" t="inlineStr">
        <is>
          <t>NU01-04</t>
        </is>
      </c>
      <c r="B118" s="15" t="inlineStr">
        <is>
          <t>K-060</t>
        </is>
      </c>
      <c r="C118" s="15" t="inlineStr">
        <is>
          <t>BE01-08</t>
        </is>
      </c>
      <c r="D118" s="15" t="inlineStr">
        <is>
          <t>NU01</t>
        </is>
      </c>
      <c r="E118" s="15" t="inlineStr">
        <is>
          <t>Gemälde Heimweh</t>
        </is>
      </c>
      <c r="F118" s="16" t="inlineStr">
        <is>
          <t>Acryl auf Leinwand, großformatig ca. 100 x 140 cm - Eigenarbeit einer Privatperson</t>
        </is>
      </c>
      <c r="G118" s="15" t="inlineStr">
        <is>
          <t>Kunst</t>
        </is>
      </c>
      <c r="H118" s="15" t="inlineStr">
        <is>
          <t>Flur</t>
        </is>
      </c>
      <c r="I118" s="15" t="inlineStr">
        <is>
          <t>B</t>
        </is>
      </c>
      <c r="J118" s="17" t="n">
        <v>1</v>
      </c>
      <c r="K118" s="17" t="n"/>
      <c r="L118" s="18">
        <f>J118-IF(K118="",0,K118)</f>
        <v/>
      </c>
      <c r="M118" s="15" t="inlineStr">
        <is>
          <t>Stück</t>
        </is>
      </c>
      <c r="N118" s="15" t="inlineStr">
        <is>
          <t>gut</t>
        </is>
      </c>
      <c r="O118" s="19" t="n"/>
      <c r="P118" s="19" t="inlineStr">
        <is>
          <t>ja</t>
        </is>
      </c>
      <c r="Q118" s="19" t="n"/>
      <c r="R118" s="20" t="n"/>
      <c r="S118" s="20" t="n">
        <v>450</v>
      </c>
      <c r="T118" s="19" t="inlineStr">
        <is>
          <t>VHB</t>
        </is>
      </c>
      <c r="U118" s="21">
        <f>L118*S118</f>
        <v/>
      </c>
      <c r="V118" s="15" t="inlineStr">
        <is>
          <t>nur Abholung</t>
        </is>
      </c>
      <c r="W118" s="15" t="inlineStr">
        <is>
          <t>F-049</t>
        </is>
      </c>
      <c r="X118" s="19" t="inlineStr">
        <is>
          <t>ja</t>
        </is>
      </c>
      <c r="Y118" s="19" t="n"/>
      <c r="Z118" s="19" t="inlineStr">
        <is>
          <t>verfügbar</t>
        </is>
      </c>
      <c r="AA118" s="19" t="n"/>
      <c r="AB118" s="19" t="inlineStr">
        <is>
          <t>Schwarzwald</t>
        </is>
      </c>
      <c r="AC118" s="19" t="n"/>
      <c r="AD118" s="19" t="n"/>
      <c r="AE118" s="20" t="n"/>
      <c r="AF118" s="21">
        <f>IF(K118="","",K118*AE118)</f>
        <v/>
      </c>
      <c r="AG118" s="19" t="n"/>
      <c r="AH118" s="19" t="n"/>
      <c r="AI118" s="19" t="n"/>
      <c r="AJ118" s="19" t="n"/>
      <c r="AK118" s="19" t="n"/>
      <c r="AL118" s="19" t="n"/>
      <c r="AM118" s="16" t="inlineStr">
        <is>
          <t>1 Bild. Es trägt zusätzlich den Post-it BE01-08 aus dem Flur 1 des Bestandsgebäudes – es ist nur ein Bild, nicht zwei. Eine Nahaufnahme steht auf Foto F-493.</t>
        </is>
      </c>
      <c r="AN118" s="22" t="inlineStr">
        <is>
          <t>Dasselbe Bild wurde zweimal beschriftet: NU01-04 und BE01-08. Menge bleibt 1.</t>
        </is>
      </c>
    </row>
    <row r="119" ht="30" customHeight="1">
      <c r="A119" s="15" t="inlineStr">
        <is>
          <t>NU01-05</t>
        </is>
      </c>
      <c r="B119" s="15" t="inlineStr">
        <is>
          <t>K-061</t>
        </is>
      </c>
      <c r="C119" s="15" t="n"/>
      <c r="D119" s="15" t="inlineStr">
        <is>
          <t>NU01</t>
        </is>
      </c>
      <c r="E119" s="15" t="inlineStr">
        <is>
          <t>Deko-Hirschkopf geometrisch</t>
        </is>
      </c>
      <c r="F119" s="16" t="inlineStr">
        <is>
          <t>Hirschkopf in geometrischer Form, Beton-/Holzoptik</t>
        </is>
      </c>
      <c r="G119" s="15" t="inlineStr">
        <is>
          <t>Deko</t>
        </is>
      </c>
      <c r="H119" s="15" t="inlineStr">
        <is>
          <t>Flur</t>
        </is>
      </c>
      <c r="I119" s="15" t="inlineStr">
        <is>
          <t>C</t>
        </is>
      </c>
      <c r="J119" s="17" t="n">
        <v>2</v>
      </c>
      <c r="K119" s="17" t="n"/>
      <c r="L119" s="18">
        <f>J119-IF(K119="",0,K119)</f>
        <v/>
      </c>
      <c r="M119" s="15" t="inlineStr">
        <is>
          <t>Stück</t>
        </is>
      </c>
      <c r="N119" s="15" t="inlineStr">
        <is>
          <t>gut</t>
        </is>
      </c>
      <c r="O119" s="19" t="n"/>
      <c r="P119" s="19" t="inlineStr">
        <is>
          <t>ja</t>
        </is>
      </c>
      <c r="Q119" s="19" t="n"/>
      <c r="R119" s="20" t="n"/>
      <c r="S119" s="20" t="n">
        <v>40</v>
      </c>
      <c r="T119" s="19" t="inlineStr">
        <is>
          <t>VHB</t>
        </is>
      </c>
      <c r="U119" s="21">
        <f>L119*S119</f>
        <v/>
      </c>
      <c r="V119" s="15" t="inlineStr">
        <is>
          <t>Versand möglich</t>
        </is>
      </c>
      <c r="W119" s="15" t="inlineStr">
        <is>
          <t>F-050</t>
        </is>
      </c>
      <c r="X119" s="19" t="inlineStr">
        <is>
          <t>ja</t>
        </is>
      </c>
      <c r="Y119" s="19" t="n"/>
      <c r="Z119" s="19" t="inlineStr">
        <is>
          <t>verfügbar</t>
        </is>
      </c>
      <c r="AA119" s="19" t="n"/>
      <c r="AB119" s="19" t="inlineStr">
        <is>
          <t>Schwarzwald</t>
        </is>
      </c>
      <c r="AC119" s="19" t="n"/>
      <c r="AD119" s="19" t="n"/>
      <c r="AE119" s="20" t="n"/>
      <c r="AF119" s="21">
        <f>IF(K119="","",K119*AE119)</f>
        <v/>
      </c>
      <c r="AG119" s="19" t="n"/>
      <c r="AH119" s="19" t="n"/>
      <c r="AI119" s="19" t="n"/>
      <c r="AJ119" s="19" t="n"/>
      <c r="AK119" s="19" t="n"/>
      <c r="AL119" s="19" t="n"/>
      <c r="AM119" s="16" t="inlineStr">
        <is>
          <t>1 Stück im Bild</t>
        </is>
      </c>
      <c r="AN119" s="22" t="n"/>
    </row>
    <row r="120" ht="30" customHeight="1">
      <c r="A120" s="15" t="inlineStr">
        <is>
          <t>NU01-06</t>
        </is>
      </c>
      <c r="B120" s="15" t="inlineStr">
        <is>
          <t>K-072</t>
        </is>
      </c>
      <c r="C120" s="15" t="n"/>
      <c r="D120" s="15" t="inlineStr">
        <is>
          <t>NU01</t>
        </is>
      </c>
      <c r="E120" s="15" t="inlineStr">
        <is>
          <t>Gemälde Marilyn mit Bollenhut</t>
        </is>
      </c>
      <c r="F120" s="16" t="inlineStr">
        <is>
          <t>Acryl auf Leinwand, großformatig ca. 120 x 120 cm - Eigenarbeit einer Privatperson</t>
        </is>
      </c>
      <c r="G120" s="15" t="inlineStr">
        <is>
          <t>Kunst</t>
        </is>
      </c>
      <c r="H120" s="15" t="inlineStr">
        <is>
          <t>Flur</t>
        </is>
      </c>
      <c r="I120" s="15" t="inlineStr">
        <is>
          <t>B</t>
        </is>
      </c>
      <c r="J120" s="17" t="n">
        <v>1</v>
      </c>
      <c r="K120" s="17" t="n"/>
      <c r="L120" s="18">
        <f>J120-IF(K120="",0,K120)</f>
        <v/>
      </c>
      <c r="M120" s="15" t="inlineStr">
        <is>
          <t>Stück</t>
        </is>
      </c>
      <c r="N120" s="15" t="inlineStr">
        <is>
          <t>gut</t>
        </is>
      </c>
      <c r="O120" s="19" t="n"/>
      <c r="P120" s="19" t="inlineStr">
        <is>
          <t>ja</t>
        </is>
      </c>
      <c r="Q120" s="19" t="n"/>
      <c r="R120" s="20" t="n"/>
      <c r="S120" s="20" t="n">
        <v>650</v>
      </c>
      <c r="T120" s="19" t="inlineStr">
        <is>
          <t>VHB</t>
        </is>
      </c>
      <c r="U120" s="21">
        <f>L120*S120</f>
        <v/>
      </c>
      <c r="V120" s="15" t="inlineStr">
        <is>
          <t>nur Abholung</t>
        </is>
      </c>
      <c r="W120" s="15" t="inlineStr">
        <is>
          <t>F-091</t>
        </is>
      </c>
      <c r="X120" s="19" t="inlineStr">
        <is>
          <t>ja</t>
        </is>
      </c>
      <c r="Y120" s="19" t="n"/>
      <c r="Z120" s="19" t="inlineStr">
        <is>
          <t>verfügbar</t>
        </is>
      </c>
      <c r="AA120" s="19" t="n"/>
      <c r="AB120" s="19" t="inlineStr">
        <is>
          <t>Schwarzwald</t>
        </is>
      </c>
      <c r="AC120" s="19" t="n"/>
      <c r="AD120" s="19" t="n"/>
      <c r="AE120" s="20" t="n"/>
      <c r="AF120" s="21">
        <f>IF(K120="","",K120*AE120)</f>
        <v/>
      </c>
      <c r="AG120" s="19" t="n"/>
      <c r="AH120" s="19" t="n"/>
      <c r="AI120" s="19" t="n"/>
      <c r="AJ120" s="19" t="n"/>
      <c r="AK120" s="19" t="n"/>
      <c r="AL120" s="19" t="n"/>
      <c r="AM120" s="16" t="inlineStr">
        <is>
          <t>1 Bild im Bild</t>
        </is>
      </c>
      <c r="AN120" s="22" t="n"/>
    </row>
    <row r="121" ht="30" customHeight="1">
      <c r="A121" s="15" t="inlineStr">
        <is>
          <t>NU01-07</t>
        </is>
      </c>
      <c r="B121" s="15" t="inlineStr">
        <is>
          <t>K-075</t>
        </is>
      </c>
      <c r="C121" s="15" t="n"/>
      <c r="D121" s="15" t="inlineStr">
        <is>
          <t>NU01</t>
        </is>
      </c>
      <c r="E121" s="15" t="inlineStr">
        <is>
          <t>Trachtenportrait gerahmt, klein</t>
        </is>
      </c>
      <c r="F121" s="16" t="inlineStr">
        <is>
          <t>Trachtenportrait gerahmt, klein</t>
        </is>
      </c>
      <c r="G121" s="15" t="inlineStr">
        <is>
          <t>Deko</t>
        </is>
      </c>
      <c r="H121" s="15" t="inlineStr">
        <is>
          <t>Flur</t>
        </is>
      </c>
      <c r="I121" s="15" t="inlineStr">
        <is>
          <t>C</t>
        </is>
      </c>
      <c r="J121" s="17" t="n">
        <v>1</v>
      </c>
      <c r="K121" s="17" t="n"/>
      <c r="L121" s="18">
        <f>J121-IF(K121="",0,K121)</f>
        <v/>
      </c>
      <c r="M121" s="15" t="inlineStr">
        <is>
          <t>Set</t>
        </is>
      </c>
      <c r="N121" s="15" t="inlineStr">
        <is>
          <t>gut</t>
        </is>
      </c>
      <c r="O121" s="19" t="n"/>
      <c r="P121" s="19" t="inlineStr">
        <is>
          <t>ja</t>
        </is>
      </c>
      <c r="Q121" s="19" t="n"/>
      <c r="R121" s="20" t="n"/>
      <c r="S121" s="20" t="n">
        <v>45</v>
      </c>
      <c r="T121" s="19" t="inlineStr">
        <is>
          <t>VHB</t>
        </is>
      </c>
      <c r="U121" s="21">
        <f>L121*S121</f>
        <v/>
      </c>
      <c r="V121" s="15" t="inlineStr">
        <is>
          <t>nur Abholung</t>
        </is>
      </c>
      <c r="W121" s="15" t="inlineStr">
        <is>
          <t>F-075</t>
        </is>
      </c>
      <c r="X121" s="19" t="inlineStr">
        <is>
          <t>ja</t>
        </is>
      </c>
      <c r="Y121" s="19" t="inlineStr">
        <is>
          <t>ja</t>
        </is>
      </c>
      <c r="Z121" s="19" t="inlineStr">
        <is>
          <t>verfügbar</t>
        </is>
      </c>
      <c r="AA121" s="19" t="n"/>
      <c r="AB121" s="19" t="inlineStr">
        <is>
          <t>Schwarzwald</t>
        </is>
      </c>
      <c r="AC121" s="19" t="n"/>
      <c r="AD121" s="19" t="n"/>
      <c r="AE121" s="20" t="n"/>
      <c r="AF121" s="21">
        <f>IF(K121="","",K121*AE121)</f>
        <v/>
      </c>
      <c r="AG121" s="19" t="n"/>
      <c r="AH121" s="19" t="n"/>
      <c r="AI121" s="19" t="n"/>
      <c r="AJ121" s="19" t="n"/>
      <c r="AK121" s="19" t="n"/>
      <c r="AL121" s="19" t="n"/>
      <c r="AM121" s="16" t="inlineStr">
        <is>
          <t>1 Stück im Bild</t>
        </is>
      </c>
      <c r="AN121" s="22" t="n"/>
    </row>
    <row r="122" ht="30" customHeight="1">
      <c r="A122" s="15" t="inlineStr">
        <is>
          <t>NU01-08</t>
        </is>
      </c>
      <c r="B122" s="15" t="inlineStr">
        <is>
          <t>K-103</t>
        </is>
      </c>
      <c r="C122" s="15" t="n"/>
      <c r="D122" s="15" t="inlineStr">
        <is>
          <t>NU01</t>
        </is>
      </c>
      <c r="E122" s="15" t="inlineStr">
        <is>
          <t>Trachtenfotografie gerahmt, weiß</t>
        </is>
      </c>
      <c r="F122" s="16" t="inlineStr">
        <is>
          <t>Fotodruck im weißen Rahmen, ca. 20 x 25 cm - Kaufware</t>
        </is>
      </c>
      <c r="G122" s="15" t="inlineStr">
        <is>
          <t>Kunst</t>
        </is>
      </c>
      <c r="H122" s="15" t="inlineStr">
        <is>
          <t>Flur</t>
        </is>
      </c>
      <c r="I122" s="15" t="inlineStr">
        <is>
          <t>C</t>
        </is>
      </c>
      <c r="J122" s="17" t="n">
        <v>5</v>
      </c>
      <c r="K122" s="17" t="n"/>
      <c r="L122" s="18">
        <f>J122-IF(K122="",0,K122)</f>
        <v/>
      </c>
      <c r="M122" s="15" t="inlineStr">
        <is>
          <t>Stück</t>
        </is>
      </c>
      <c r="N122" s="15" t="inlineStr">
        <is>
          <t>gut</t>
        </is>
      </c>
      <c r="O122" s="19" t="n"/>
      <c r="P122" s="19" t="inlineStr">
        <is>
          <t>ja</t>
        </is>
      </c>
      <c r="Q122" s="19" t="n"/>
      <c r="R122" s="20" t="n"/>
      <c r="S122" s="20" t="n">
        <v>35</v>
      </c>
      <c r="T122" s="19" t="inlineStr">
        <is>
          <t>VHB</t>
        </is>
      </c>
      <c r="U122" s="21">
        <f>L122*S122</f>
        <v/>
      </c>
      <c r="V122" s="15" t="inlineStr">
        <is>
          <t>Versand möglich</t>
        </is>
      </c>
      <c r="W122" s="15" t="inlineStr">
        <is>
          <t>F-074</t>
        </is>
      </c>
      <c r="X122" s="19" t="inlineStr">
        <is>
          <t>ja</t>
        </is>
      </c>
      <c r="Y122" s="19" t="inlineStr">
        <is>
          <t>ja</t>
        </is>
      </c>
      <c r="Z122" s="19" t="inlineStr">
        <is>
          <t>verfügbar</t>
        </is>
      </c>
      <c r="AA122" s="19" t="n"/>
      <c r="AB122" s="19" t="inlineStr">
        <is>
          <t>Schwarzwald</t>
        </is>
      </c>
      <c r="AC122" s="19" t="n"/>
      <c r="AD122" s="19" t="n"/>
      <c r="AE122" s="20" t="n"/>
      <c r="AF122" s="21">
        <f>IF(K122="","",K122*AE122)</f>
        <v/>
      </c>
      <c r="AG122" s="19" t="n"/>
      <c r="AH122" s="19" t="n"/>
      <c r="AI122" s="19" t="n"/>
      <c r="AJ122" s="19" t="n"/>
      <c r="AK122" s="19" t="n"/>
      <c r="AL122" s="19" t="n"/>
      <c r="AM122" s="16" t="inlineStr">
        <is>
          <t>5 Rahmen im Bild</t>
        </is>
      </c>
      <c r="AN122" s="22" t="n"/>
    </row>
    <row r="123" ht="30" customHeight="1">
      <c r="A123" s="15" t="inlineStr">
        <is>
          <t>NU01-09</t>
        </is>
      </c>
      <c r="B123" s="15" t="inlineStr">
        <is>
          <t>K-106</t>
        </is>
      </c>
      <c r="C123" s="15" t="n"/>
      <c r="D123" s="15" t="inlineStr">
        <is>
          <t>NU01</t>
        </is>
      </c>
      <c r="E123" s="15" t="inlineStr">
        <is>
          <t>Trachtenfotografie gerahmt, schwarz</t>
        </is>
      </c>
      <c r="F123" s="16" t="inlineStr">
        <is>
          <t>Fotodruck im schwarzen Rahmen mit Passepartout - Kaufware</t>
        </is>
      </c>
      <c r="G123" s="15" t="inlineStr">
        <is>
          <t>Kunst</t>
        </is>
      </c>
      <c r="H123" s="15" t="inlineStr">
        <is>
          <t>Flur</t>
        </is>
      </c>
      <c r="I123" s="15" t="inlineStr">
        <is>
          <t>C</t>
        </is>
      </c>
      <c r="J123" s="17" t="n">
        <v>4</v>
      </c>
      <c r="K123" s="17" t="n"/>
      <c r="L123" s="18">
        <f>J123-IF(K123="",0,K123)</f>
        <v/>
      </c>
      <c r="M123" s="15" t="inlineStr">
        <is>
          <t>Stück</t>
        </is>
      </c>
      <c r="N123" s="15" t="inlineStr">
        <is>
          <t>gut</t>
        </is>
      </c>
      <c r="O123" s="19" t="n"/>
      <c r="P123" s="19" t="inlineStr">
        <is>
          <t>ja</t>
        </is>
      </c>
      <c r="Q123" s="19" t="n"/>
      <c r="R123" s="20" t="n"/>
      <c r="S123" s="20" t="n">
        <v>35</v>
      </c>
      <c r="T123" s="19" t="inlineStr">
        <is>
          <t>VHB</t>
        </is>
      </c>
      <c r="U123" s="21">
        <f>L123*S123</f>
        <v/>
      </c>
      <c r="V123" s="15" t="inlineStr">
        <is>
          <t>Versand möglich</t>
        </is>
      </c>
      <c r="W123" s="15" t="inlineStr">
        <is>
          <t>F-075</t>
        </is>
      </c>
      <c r="X123" s="19" t="inlineStr">
        <is>
          <t>ja</t>
        </is>
      </c>
      <c r="Y123" s="19" t="inlineStr">
        <is>
          <t>ja</t>
        </is>
      </c>
      <c r="Z123" s="19" t="inlineStr">
        <is>
          <t>verfügbar</t>
        </is>
      </c>
      <c r="AA123" s="19" t="n"/>
      <c r="AB123" s="19" t="inlineStr">
        <is>
          <t>Schwarzwald</t>
        </is>
      </c>
      <c r="AC123" s="19" t="n"/>
      <c r="AD123" s="19" t="n"/>
      <c r="AE123" s="20" t="n"/>
      <c r="AF123" s="21">
        <f>IF(K123="","",K123*AE123)</f>
        <v/>
      </c>
      <c r="AG123" s="19" t="n"/>
      <c r="AH123" s="19" t="n"/>
      <c r="AI123" s="19" t="n"/>
      <c r="AJ123" s="19" t="n"/>
      <c r="AK123" s="19" t="n"/>
      <c r="AL123" s="19" t="n"/>
      <c r="AM123" s="16" t="inlineStr">
        <is>
          <t>4 Rahmen im Bild, ggf. mehr</t>
        </is>
      </c>
      <c r="AN123" s="22" t="n"/>
    </row>
    <row r="124" ht="30" customHeight="1">
      <c r="A124" s="15" t="inlineStr">
        <is>
          <t>NU01-10</t>
        </is>
      </c>
      <c r="B124" s="15" t="inlineStr">
        <is>
          <t>K-107</t>
        </is>
      </c>
      <c r="C124" s="15" t="n"/>
      <c r="D124" s="15" t="inlineStr">
        <is>
          <t>NU01</t>
        </is>
      </c>
      <c r="E124" s="15" t="inlineStr">
        <is>
          <t>Gemälde Panorama mit Tanne</t>
        </is>
      </c>
      <c r="F124" s="16" t="inlineStr">
        <is>
          <t>Acryl auf Leinwand, Querformat - Eigenarbeit einer Privatperson</t>
        </is>
      </c>
      <c r="G124" s="15" t="inlineStr">
        <is>
          <t>Kunst</t>
        </is>
      </c>
      <c r="H124" s="15" t="inlineStr">
        <is>
          <t>Flur</t>
        </is>
      </c>
      <c r="I124" s="15" t="inlineStr">
        <is>
          <t>B</t>
        </is>
      </c>
      <c r="J124" s="17" t="n">
        <v>2</v>
      </c>
      <c r="K124" s="17" t="n"/>
      <c r="L124" s="18">
        <f>J124-IF(K124="",0,K124)</f>
        <v/>
      </c>
      <c r="M124" s="15" t="inlineStr">
        <is>
          <t>Stück</t>
        </is>
      </c>
      <c r="N124" s="15" t="inlineStr">
        <is>
          <t>gut</t>
        </is>
      </c>
      <c r="O124" s="19" t="n"/>
      <c r="P124" s="19" t="inlineStr">
        <is>
          <t>ja</t>
        </is>
      </c>
      <c r="Q124" s="19" t="n"/>
      <c r="R124" s="20" t="n"/>
      <c r="S124" s="20" t="n">
        <v>120</v>
      </c>
      <c r="T124" s="19" t="inlineStr">
        <is>
          <t>VHB</t>
        </is>
      </c>
      <c r="U124" s="21">
        <f>L124*S124</f>
        <v/>
      </c>
      <c r="V124" s="15" t="inlineStr">
        <is>
          <t>nur Abholung</t>
        </is>
      </c>
      <c r="W124" s="15" t="inlineStr">
        <is>
          <t>F-076</t>
        </is>
      </c>
      <c r="X124" s="19" t="inlineStr">
        <is>
          <t>ja</t>
        </is>
      </c>
      <c r="Y124" s="19" t="n"/>
      <c r="Z124" s="19" t="inlineStr">
        <is>
          <t>verfügbar</t>
        </is>
      </c>
      <c r="AA124" s="19" t="n"/>
      <c r="AB124" s="19" t="inlineStr">
        <is>
          <t>Schwarzwald</t>
        </is>
      </c>
      <c r="AC124" s="19" t="n"/>
      <c r="AD124" s="19" t="n"/>
      <c r="AE124" s="20" t="n"/>
      <c r="AF124" s="21">
        <f>IF(K124="","",K124*AE124)</f>
        <v/>
      </c>
      <c r="AG124" s="19" t="n"/>
      <c r="AH124" s="19" t="n"/>
      <c r="AI124" s="19" t="n"/>
      <c r="AJ124" s="19" t="n"/>
      <c r="AK124" s="19" t="n"/>
      <c r="AL124" s="19" t="n"/>
      <c r="AM124" s="16" t="inlineStr">
        <is>
          <t>1 Bild im Bild</t>
        </is>
      </c>
      <c r="AN124" s="22" t="n"/>
    </row>
    <row r="125" ht="30" customHeight="1">
      <c r="A125" s="15" t="inlineStr">
        <is>
          <t>NU01-11</t>
        </is>
      </c>
      <c r="B125" s="15" t="inlineStr">
        <is>
          <t>K-108</t>
        </is>
      </c>
      <c r="C125" s="15" t="n"/>
      <c r="D125" s="15" t="inlineStr">
        <is>
          <t>NU01</t>
        </is>
      </c>
      <c r="E125" s="15" t="inlineStr">
        <is>
          <t>Bilderrahmen schwarz mit Strichfigur</t>
        </is>
      </c>
      <c r="F125" s="16" t="inlineStr">
        <is>
          <t>Gerahmte Drucke mit Bollenhut-Strichfiguren, schwarze Rahmen</t>
        </is>
      </c>
      <c r="G125" s="15" t="inlineStr">
        <is>
          <t>Kunst</t>
        </is>
      </c>
      <c r="H125" s="15" t="inlineStr">
        <is>
          <t>Flur</t>
        </is>
      </c>
      <c r="I125" s="15" t="inlineStr">
        <is>
          <t>C</t>
        </is>
      </c>
      <c r="J125" s="17" t="n">
        <v>4</v>
      </c>
      <c r="K125" s="17" t="n"/>
      <c r="L125" s="18">
        <f>J125-IF(K125="",0,K125)</f>
        <v/>
      </c>
      <c r="M125" s="15" t="inlineStr">
        <is>
          <t>Stück</t>
        </is>
      </c>
      <c r="N125" s="15" t="inlineStr">
        <is>
          <t>gut</t>
        </is>
      </c>
      <c r="O125" s="19" t="n"/>
      <c r="P125" s="19" t="inlineStr">
        <is>
          <t>ja</t>
        </is>
      </c>
      <c r="Q125" s="19" t="n"/>
      <c r="R125" s="20" t="n"/>
      <c r="S125" s="20" t="n">
        <v>15</v>
      </c>
      <c r="T125" s="19" t="inlineStr">
        <is>
          <t>VHB</t>
        </is>
      </c>
      <c r="U125" s="21">
        <f>L125*S125</f>
        <v/>
      </c>
      <c r="V125" s="15" t="inlineStr">
        <is>
          <t>Versand möglich</t>
        </is>
      </c>
      <c r="W125" s="15" t="inlineStr">
        <is>
          <t>F-077</t>
        </is>
      </c>
      <c r="X125" s="19" t="inlineStr">
        <is>
          <t>ja</t>
        </is>
      </c>
      <c r="Y125" s="19" t="n"/>
      <c r="Z125" s="19" t="inlineStr">
        <is>
          <t>verfügbar</t>
        </is>
      </c>
      <c r="AA125" s="19" t="n"/>
      <c r="AB125" s="19" t="n"/>
      <c r="AC125" s="19" t="n"/>
      <c r="AD125" s="19" t="n"/>
      <c r="AE125" s="20" t="n"/>
      <c r="AF125" s="21">
        <f>IF(K125="","",K125*AE125)</f>
        <v/>
      </c>
      <c r="AG125" s="19" t="n"/>
      <c r="AH125" s="19" t="n"/>
      <c r="AI125" s="19" t="n"/>
      <c r="AJ125" s="19" t="n"/>
      <c r="AK125" s="19" t="n"/>
      <c r="AL125" s="19" t="n"/>
      <c r="AM125" s="16" t="inlineStr">
        <is>
          <t>4 Rahmen erkennbar</t>
        </is>
      </c>
      <c r="AN125" s="22" t="n"/>
    </row>
    <row r="126" ht="30" customHeight="1">
      <c r="A126" s="15" t="inlineStr">
        <is>
          <t>NU01-12</t>
        </is>
      </c>
      <c r="B126" s="15" t="n"/>
      <c r="C126" s="15" t="n"/>
      <c r="D126" s="15" t="inlineStr">
        <is>
          <t>NU01</t>
        </is>
      </c>
      <c r="E126" s="15" t="inlineStr">
        <is>
          <t>Läufer dunkelgrau, IKEA Morum</t>
        </is>
      </c>
      <c r="F126" s="16" t="inlineStr">
        <is>
          <t>Flachgewebter Läufer in Dunkelgrau, IKEA Morum (In-/Outdoor-Qualität), strukturierte Webung. 15 gleiche Läufer aus den Fluren.</t>
        </is>
      </c>
      <c r="G126" s="15" t="inlineStr">
        <is>
          <t>Textilien</t>
        </is>
      </c>
      <c r="H126" s="15" t="inlineStr">
        <is>
          <t>Flur</t>
        </is>
      </c>
      <c r="I126" s="15" t="inlineStr">
        <is>
          <t>C</t>
        </is>
      </c>
      <c r="J126" s="17" t="n">
        <v>15</v>
      </c>
      <c r="K126" s="17" t="n"/>
      <c r="L126" s="18">
        <f>J126-IF(K126="",0,K126)</f>
        <v/>
      </c>
      <c r="M126" s="15" t="inlineStr">
        <is>
          <t>Stück</t>
        </is>
      </c>
      <c r="N126" s="15" t="inlineStr">
        <is>
          <t>gebraucht</t>
        </is>
      </c>
      <c r="O126" s="19" t="n"/>
      <c r="P126" s="19" t="inlineStr">
        <is>
          <t>ja</t>
        </is>
      </c>
      <c r="Q126" s="19" t="n"/>
      <c r="R126" s="20" t="n"/>
      <c r="S126" s="20" t="n">
        <v>20</v>
      </c>
      <c r="T126" s="19" t="inlineStr">
        <is>
          <t>VHB</t>
        </is>
      </c>
      <c r="U126" s="21">
        <f>L126*S126</f>
        <v/>
      </c>
      <c r="V126" s="15" t="inlineStr">
        <is>
          <t>nur Abholung</t>
        </is>
      </c>
      <c r="W126" s="15" t="inlineStr">
        <is>
          <t>F-134</t>
        </is>
      </c>
      <c r="X126" s="19" t="inlineStr">
        <is>
          <t>ja</t>
        </is>
      </c>
      <c r="Y126" s="19" t="n"/>
      <c r="Z126" s="19" t="inlineStr">
        <is>
          <t>verfügbar</t>
        </is>
      </c>
      <c r="AA126" s="19" t="inlineStr">
        <is>
          <t>IKEA</t>
        </is>
      </c>
      <c r="AB126" s="19" t="n"/>
      <c r="AC126" s="19" t="n"/>
      <c r="AD126" s="19" t="n"/>
      <c r="AE126" s="20" t="n"/>
      <c r="AF126" s="21">
        <f>IF(K126="","",K126*AE126)</f>
        <v/>
      </c>
      <c r="AG126" s="19" t="n"/>
      <c r="AH126" s="19" t="n"/>
      <c r="AI126" s="19" t="n"/>
      <c r="AJ126" s="19" t="n"/>
      <c r="AK126" s="19" t="n"/>
      <c r="AL126" s="19" t="n"/>
      <c r="AM126" s="16" t="inlineStr">
        <is>
          <t>15 Läufer laut Angabe im Haus – abgebildet ist einer davon.</t>
        </is>
      </c>
      <c r="AN126" s="22" t="n"/>
    </row>
    <row r="127" ht="30" customHeight="1">
      <c r="A127" s="15" t="inlineStr">
        <is>
          <t>NU02-01</t>
        </is>
      </c>
      <c r="B127" s="15" t="inlineStr">
        <is>
          <t>K-004</t>
        </is>
      </c>
      <c r="C127" s="15" t="n"/>
      <c r="D127" s="15" t="inlineStr">
        <is>
          <t>NU02</t>
        </is>
      </c>
      <c r="E127" s="15" t="inlineStr">
        <is>
          <t>Kommode weiß, 6 Schubladen</t>
        </is>
      </c>
      <c r="F127" s="16" t="inlineStr">
        <is>
          <t>IKEA Nordli, weiß, hoch, 6 Schubladen</t>
        </is>
      </c>
      <c r="G127" s="15" t="inlineStr">
        <is>
          <t>Möbel</t>
        </is>
      </c>
      <c r="H127" s="15" t="inlineStr">
        <is>
          <t>Gruppenraum 5</t>
        </is>
      </c>
      <c r="I127" s="15" t="inlineStr">
        <is>
          <t>B</t>
        </is>
      </c>
      <c r="J127" s="17" t="n">
        <v>1</v>
      </c>
      <c r="K127" s="17" t="n"/>
      <c r="L127" s="18">
        <f>J127-IF(K127="",0,K127)</f>
        <v/>
      </c>
      <c r="M127" s="15" t="inlineStr">
        <is>
          <t>Stück</t>
        </is>
      </c>
      <c r="N127" s="15" t="inlineStr">
        <is>
          <t>gebraucht</t>
        </is>
      </c>
      <c r="O127" s="19" t="n"/>
      <c r="P127" s="19" t="inlineStr">
        <is>
          <t>ja</t>
        </is>
      </c>
      <c r="Q127" s="19" t="n"/>
      <c r="R127" s="20" t="n"/>
      <c r="S127" s="20" t="n">
        <v>90</v>
      </c>
      <c r="T127" s="19" t="inlineStr">
        <is>
          <t>VHB</t>
        </is>
      </c>
      <c r="U127" s="21">
        <f>L127*S127</f>
        <v/>
      </c>
      <c r="V127" s="15" t="inlineStr">
        <is>
          <t>nur Abholung</t>
        </is>
      </c>
      <c r="W127" s="15" t="inlineStr">
        <is>
          <t>F-003</t>
        </is>
      </c>
      <c r="X127" s="19" t="inlineStr">
        <is>
          <t>ja</t>
        </is>
      </c>
      <c r="Y127" s="19" t="n"/>
      <c r="Z127" s="19" t="inlineStr">
        <is>
          <t>verfügbar</t>
        </is>
      </c>
      <c r="AA127" s="19" t="n"/>
      <c r="AB127" s="19" t="n"/>
      <c r="AC127" s="19" t="n"/>
      <c r="AD127" s="19" t="n"/>
      <c r="AE127" s="20" t="n"/>
      <c r="AF127" s="21">
        <f>IF(K127="","",K127*AE127)</f>
        <v/>
      </c>
      <c r="AG127" s="19" t="n"/>
      <c r="AH127" s="19" t="n"/>
      <c r="AI127" s="19" t="n"/>
      <c r="AJ127" s="19" t="n"/>
      <c r="AK127" s="19" t="n"/>
      <c r="AL127" s="19" t="n"/>
      <c r="AM127" s="16" t="inlineStr">
        <is>
          <t>1 Stück im Bild</t>
        </is>
      </c>
      <c r="AN127" s="22" t="n"/>
    </row>
    <row r="128" ht="30" customHeight="1">
      <c r="A128" s="15" t="inlineStr">
        <is>
          <t>NU03-01</t>
        </is>
      </c>
      <c r="B128" s="15" t="inlineStr">
        <is>
          <t>K-007</t>
        </is>
      </c>
      <c r="C128" s="15" t="n"/>
      <c r="D128" s="15" t="inlineStr">
        <is>
          <t>NU03</t>
        </is>
      </c>
      <c r="E128" s="15" t="inlineStr">
        <is>
          <t>Kommode weiß, hoch, 7 Schubladen</t>
        </is>
      </c>
      <c r="F128" s="16" t="inlineStr">
        <is>
          <t>IKEA Nordli, weiß, hohe Ausführung</t>
        </is>
      </c>
      <c r="G128" s="15" t="inlineStr">
        <is>
          <t>Möbel</t>
        </is>
      </c>
      <c r="H128" s="15" t="inlineStr">
        <is>
          <t>Schlafraum 4</t>
        </is>
      </c>
      <c r="I128" s="15" t="inlineStr">
        <is>
          <t>B</t>
        </is>
      </c>
      <c r="J128" s="17" t="n">
        <v>1</v>
      </c>
      <c r="K128" s="17" t="n"/>
      <c r="L128" s="18">
        <f>J128-IF(K128="",0,K128)</f>
        <v/>
      </c>
      <c r="M128" s="15" t="inlineStr">
        <is>
          <t>Stück</t>
        </is>
      </c>
      <c r="N128" s="15" t="inlineStr">
        <is>
          <t>gebraucht</t>
        </is>
      </c>
      <c r="O128" s="19" t="n"/>
      <c r="P128" s="19" t="inlineStr">
        <is>
          <t>ja</t>
        </is>
      </c>
      <c r="Q128" s="19" t="n"/>
      <c r="R128" s="20" t="n"/>
      <c r="S128" s="20" t="n">
        <v>110</v>
      </c>
      <c r="T128" s="19" t="inlineStr">
        <is>
          <t>VHB</t>
        </is>
      </c>
      <c r="U128" s="21">
        <f>L128*S128</f>
        <v/>
      </c>
      <c r="V128" s="15" t="inlineStr">
        <is>
          <t>nur Abholung</t>
        </is>
      </c>
      <c r="W128" s="15" t="inlineStr">
        <is>
          <t>F-004</t>
        </is>
      </c>
      <c r="X128" s="19" t="inlineStr">
        <is>
          <t>ja</t>
        </is>
      </c>
      <c r="Y128" s="19" t="n"/>
      <c r="Z128" s="19" t="inlineStr">
        <is>
          <t>verfügbar</t>
        </is>
      </c>
      <c r="AA128" s="19" t="n"/>
      <c r="AB128" s="19" t="n"/>
      <c r="AC128" s="19" t="n"/>
      <c r="AD128" s="19" t="n"/>
      <c r="AE128" s="20" t="n"/>
      <c r="AF128" s="21">
        <f>IF(K128="","",K128*AE128)</f>
        <v/>
      </c>
      <c r="AG128" s="19" t="n"/>
      <c r="AH128" s="19" t="n"/>
      <c r="AI128" s="19" t="n"/>
      <c r="AJ128" s="19" t="n"/>
      <c r="AK128" s="19" t="n"/>
      <c r="AL128" s="19" t="n"/>
      <c r="AM128" s="16" t="inlineStr">
        <is>
          <t>1 Stück im Bild</t>
        </is>
      </c>
      <c r="AN128" s="22" t="n"/>
    </row>
    <row r="129" ht="30" customHeight="1">
      <c r="A129" s="15" t="inlineStr">
        <is>
          <t>NU04-01</t>
        </is>
      </c>
      <c r="B129" s="15" t="inlineStr">
        <is>
          <t>K-008</t>
        </is>
      </c>
      <c r="C129" s="15" t="n"/>
      <c r="D129" s="15" t="inlineStr">
        <is>
          <t>NU04</t>
        </is>
      </c>
      <c r="E129" s="15" t="inlineStr">
        <is>
          <t>Wanddeko Hirschkopf Sperrholz</t>
        </is>
      </c>
      <c r="F129" s="16" t="inlineStr">
        <is>
          <t>3D-Stecksatz aus Sperrholz, schwarz lackiert, Wandmontage</t>
        </is>
      </c>
      <c r="G129" s="15" t="inlineStr">
        <is>
          <t>Deko</t>
        </is>
      </c>
      <c r="H129" s="15" t="inlineStr">
        <is>
          <t>Schlafraum 5</t>
        </is>
      </c>
      <c r="I129" s="15" t="inlineStr">
        <is>
          <t>C</t>
        </is>
      </c>
      <c r="J129" s="17" t="n">
        <v>3</v>
      </c>
      <c r="K129" s="17" t="n"/>
      <c r="L129" s="18">
        <f>J129-IF(K129="",0,K129)</f>
        <v/>
      </c>
      <c r="M129" s="15" t="inlineStr">
        <is>
          <t>Stück</t>
        </is>
      </c>
      <c r="N129" s="15" t="inlineStr">
        <is>
          <t>gut</t>
        </is>
      </c>
      <c r="O129" s="19" t="n"/>
      <c r="P129" s="19" t="inlineStr">
        <is>
          <t>ja</t>
        </is>
      </c>
      <c r="Q129" s="19" t="n"/>
      <c r="R129" s="20" t="n"/>
      <c r="S129" s="20" t="n">
        <v>20</v>
      </c>
      <c r="T129" s="19" t="inlineStr">
        <is>
          <t>VHB</t>
        </is>
      </c>
      <c r="U129" s="21">
        <f>L129*S129</f>
        <v/>
      </c>
      <c r="V129" s="15" t="inlineStr">
        <is>
          <t>Versand möglich</t>
        </is>
      </c>
      <c r="W129" s="15" t="inlineStr">
        <is>
          <t>F-005</t>
        </is>
      </c>
      <c r="X129" s="19" t="inlineStr">
        <is>
          <t>ja</t>
        </is>
      </c>
      <c r="Y129" s="19" t="n"/>
      <c r="Z129" s="19" t="inlineStr">
        <is>
          <t>verfügbar</t>
        </is>
      </c>
      <c r="AA129" s="19" t="n"/>
      <c r="AB129" s="19" t="n"/>
      <c r="AC129" s="19" t="n"/>
      <c r="AD129" s="19" t="n"/>
      <c r="AE129" s="20" t="n"/>
      <c r="AF129" s="21">
        <f>IF(K129="","",K129*AE129)</f>
        <v/>
      </c>
      <c r="AG129" s="19" t="n"/>
      <c r="AH129" s="19" t="n"/>
      <c r="AI129" s="19" t="n"/>
      <c r="AJ129" s="19" t="n"/>
      <c r="AK129" s="19" t="n"/>
      <c r="AL129" s="19" t="n"/>
      <c r="AM129" s="16" t="inlineStr">
        <is>
          <t>3 Stück im Bild</t>
        </is>
      </c>
      <c r="AN129" s="22" t="n"/>
    </row>
    <row r="130" ht="30" customHeight="1">
      <c r="A130" s="15" t="inlineStr">
        <is>
          <t>NU04-02</t>
        </is>
      </c>
      <c r="B130" s="15" t="inlineStr">
        <is>
          <t>K-009</t>
        </is>
      </c>
      <c r="C130" s="15" t="n"/>
      <c r="D130" s="15" t="inlineStr">
        <is>
          <t>NU04</t>
        </is>
      </c>
      <c r="E130" s="15" t="inlineStr">
        <is>
          <t>Kommode anthrazit, groß</t>
        </is>
      </c>
      <c r="F130" s="16" t="inlineStr">
        <is>
          <t>IKEA Nordli, anthrazit, große Kombination, ca. 12-14 Schubladen; 2 Schubladen bereits repariert; funktionsfähig</t>
        </is>
      </c>
      <c r="G130" s="15" t="inlineStr">
        <is>
          <t>Möbel</t>
        </is>
      </c>
      <c r="H130" s="15" t="inlineStr">
        <is>
          <t>Schlafraum 5</t>
        </is>
      </c>
      <c r="I130" s="15" t="inlineStr">
        <is>
          <t>B</t>
        </is>
      </c>
      <c r="J130" s="17" t="n">
        <v>1</v>
      </c>
      <c r="K130" s="17" t="n"/>
      <c r="L130" s="18">
        <f>J130-IF(K130="",0,K130)</f>
        <v/>
      </c>
      <c r="M130" s="15" t="inlineStr">
        <is>
          <t>Stück</t>
        </is>
      </c>
      <c r="N130" s="15" t="inlineStr">
        <is>
          <t>gebraucht</t>
        </is>
      </c>
      <c r="O130" s="19" t="n"/>
      <c r="P130" s="19" t="inlineStr">
        <is>
          <t>ja</t>
        </is>
      </c>
      <c r="Q130" s="19" t="n"/>
      <c r="R130" s="20" t="n"/>
      <c r="S130" s="20" t="n">
        <v>220</v>
      </c>
      <c r="T130" s="19" t="inlineStr">
        <is>
          <t>VHB</t>
        </is>
      </c>
      <c r="U130" s="21">
        <f>L130*S130</f>
        <v/>
      </c>
      <c r="V130" s="15" t="inlineStr">
        <is>
          <t>nur Abholung</t>
        </is>
      </c>
      <c r="W130" s="15" t="inlineStr">
        <is>
          <t>F-006</t>
        </is>
      </c>
      <c r="X130" s="19" t="inlineStr">
        <is>
          <t>ja</t>
        </is>
      </c>
      <c r="Y130" s="19" t="n"/>
      <c r="Z130" s="19" t="inlineStr">
        <is>
          <t>verfügbar</t>
        </is>
      </c>
      <c r="AA130" s="19" t="n"/>
      <c r="AB130" s="19" t="n"/>
      <c r="AC130" s="19" t="n"/>
      <c r="AD130" s="19" t="n"/>
      <c r="AE130" s="20" t="n"/>
      <c r="AF130" s="21">
        <f>IF(K130="","",K130*AE130)</f>
        <v/>
      </c>
      <c r="AG130" s="19" t="n"/>
      <c r="AH130" s="19" t="n"/>
      <c r="AI130" s="19" t="n"/>
      <c r="AJ130" s="19" t="n"/>
      <c r="AK130" s="19" t="n"/>
      <c r="AL130" s="19" t="n"/>
      <c r="AM130" s="16" t="inlineStr">
        <is>
          <t>1 große Einheit im Bild</t>
        </is>
      </c>
      <c r="AN130" s="22" t="n"/>
    </row>
    <row r="131" ht="30" customHeight="1">
      <c r="A131" s="15" t="inlineStr">
        <is>
          <t>NU04-03</t>
        </is>
      </c>
      <c r="B131" s="15" t="inlineStr">
        <is>
          <t>K-011</t>
        </is>
      </c>
      <c r="C131" s="15" t="n"/>
      <c r="D131" s="15" t="inlineStr">
        <is>
          <t>NU04</t>
        </is>
      </c>
      <c r="E131" s="15" t="inlineStr">
        <is>
          <t>Massivholztisch mit Baumkante</t>
        </is>
      </c>
      <c r="F131" s="16" t="inlineStr">
        <is>
          <t>Massivholzplatte mit natürlicher Baumkante, schwarzes Metallgestell, ca. 200 x 90 cm</t>
        </is>
      </c>
      <c r="G131" s="15" t="inlineStr">
        <is>
          <t>Möbel</t>
        </is>
      </c>
      <c r="H131" s="15" t="inlineStr">
        <is>
          <t>Schlafraum 5</t>
        </is>
      </c>
      <c r="I131" s="15" t="inlineStr">
        <is>
          <t>A</t>
        </is>
      </c>
      <c r="J131" s="17" t="n">
        <v>1</v>
      </c>
      <c r="K131" s="17" t="n"/>
      <c r="L131" s="18">
        <f>J131-IF(K131="",0,K131)</f>
        <v/>
      </c>
      <c r="M131" s="15" t="inlineStr">
        <is>
          <t>Stück</t>
        </is>
      </c>
      <c r="N131" s="15" t="inlineStr">
        <is>
          <t>gebraucht</t>
        </is>
      </c>
      <c r="O131" s="19" t="n"/>
      <c r="P131" s="19" t="inlineStr">
        <is>
          <t>ja</t>
        </is>
      </c>
      <c r="Q131" s="19" t="n"/>
      <c r="R131" s="20" t="n"/>
      <c r="S131" s="20" t="n">
        <v>450</v>
      </c>
      <c r="T131" s="19" t="inlineStr">
        <is>
          <t>VHB</t>
        </is>
      </c>
      <c r="U131" s="21">
        <f>L131*S131</f>
        <v/>
      </c>
      <c r="V131" s="15" t="inlineStr">
        <is>
          <t>nur Abholung</t>
        </is>
      </c>
      <c r="W131" s="15" t="inlineStr">
        <is>
          <t>F-007</t>
        </is>
      </c>
      <c r="X131" s="19" t="inlineStr">
        <is>
          <t>ja</t>
        </is>
      </c>
      <c r="Y131" s="19" t="n"/>
      <c r="Z131" s="19" t="inlineStr">
        <is>
          <t>verfügbar</t>
        </is>
      </c>
      <c r="AA131" s="19" t="n"/>
      <c r="AB131" s="19" t="n"/>
      <c r="AC131" s="19" t="n"/>
      <c r="AD131" s="19" t="n"/>
      <c r="AE131" s="20" t="n"/>
      <c r="AF131" s="21">
        <f>IF(K131="","",K131*AE131)</f>
        <v/>
      </c>
      <c r="AG131" s="19" t="n"/>
      <c r="AH131" s="19" t="n"/>
      <c r="AI131" s="19" t="n"/>
      <c r="AJ131" s="19" t="n"/>
      <c r="AK131" s="19" t="n"/>
      <c r="AL131" s="19" t="n"/>
      <c r="AM131" s="16" t="inlineStr">
        <is>
          <t>1 Tisch im Vordergrund, weitere im Hintergrund</t>
        </is>
      </c>
      <c r="AN131" s="22" t="n"/>
    </row>
    <row r="132" ht="30" customHeight="1">
      <c r="A132" s="15" t="inlineStr">
        <is>
          <t>NU04-04</t>
        </is>
      </c>
      <c r="B132" s="15" t="inlineStr">
        <is>
          <t>K-012</t>
        </is>
      </c>
      <c r="C132" s="15" t="n"/>
      <c r="D132" s="15" t="inlineStr">
        <is>
          <t>NU04</t>
        </is>
      </c>
      <c r="E132" s="15" t="inlineStr">
        <is>
          <t>Magnettafel grau, groß</t>
        </is>
      </c>
      <c r="F132" s="16" t="inlineStr">
        <is>
          <t>Magnet-/Schreibtafel, grau, beschriftet, Wandmontage</t>
        </is>
      </c>
      <c r="G132" s="15" t="inlineStr">
        <is>
          <t>Büro</t>
        </is>
      </c>
      <c r="H132" s="15" t="inlineStr">
        <is>
          <t>Schlafraum 5</t>
        </is>
      </c>
      <c r="I132" s="15" t="inlineStr">
        <is>
          <t>C</t>
        </is>
      </c>
      <c r="J132" s="17" t="n">
        <v>1</v>
      </c>
      <c r="K132" s="17" t="n"/>
      <c r="L132" s="18">
        <f>J132-IF(K132="",0,K132)</f>
        <v/>
      </c>
      <c r="M132" s="15" t="inlineStr">
        <is>
          <t>Stück</t>
        </is>
      </c>
      <c r="N132" s="15" t="inlineStr">
        <is>
          <t>gebraucht</t>
        </is>
      </c>
      <c r="O132" s="19" t="n"/>
      <c r="P132" s="19" t="inlineStr">
        <is>
          <t>ja</t>
        </is>
      </c>
      <c r="Q132" s="19" t="n"/>
      <c r="R132" s="20" t="n"/>
      <c r="S132" s="20" t="n">
        <v>45</v>
      </c>
      <c r="T132" s="19" t="inlineStr">
        <is>
          <t>VHB</t>
        </is>
      </c>
      <c r="U132" s="21">
        <f>L132*S132</f>
        <v/>
      </c>
      <c r="V132" s="15" t="inlineStr">
        <is>
          <t>nur Abholung</t>
        </is>
      </c>
      <c r="W132" s="15" t="inlineStr">
        <is>
          <t>F-008</t>
        </is>
      </c>
      <c r="X132" s="19" t="inlineStr">
        <is>
          <t>ja</t>
        </is>
      </c>
      <c r="Y132" s="19" t="n"/>
      <c r="Z132" s="19" t="inlineStr">
        <is>
          <t>verfügbar</t>
        </is>
      </c>
      <c r="AA132" s="19" t="n"/>
      <c r="AB132" s="19" t="n"/>
      <c r="AC132" s="19" t="n"/>
      <c r="AD132" s="19" t="n"/>
      <c r="AE132" s="20" t="n"/>
      <c r="AF132" s="21">
        <f>IF(K132="","",K132*AE132)</f>
        <v/>
      </c>
      <c r="AG132" s="19" t="n"/>
      <c r="AH132" s="19" t="n"/>
      <c r="AI132" s="19" t="n"/>
      <c r="AJ132" s="19" t="n"/>
      <c r="AK132" s="19" t="n"/>
      <c r="AL132" s="19" t="n"/>
      <c r="AM132" s="16" t="inlineStr">
        <is>
          <t>1 Stück im Bild</t>
        </is>
      </c>
      <c r="AN132" s="22" t="n"/>
    </row>
    <row r="133" ht="30" customHeight="1">
      <c r="A133" s="15" t="inlineStr">
        <is>
          <t>NU04-05</t>
        </is>
      </c>
      <c r="B133" s="15" t="inlineStr">
        <is>
          <t>K-014</t>
        </is>
      </c>
      <c r="C133" s="15" t="n"/>
      <c r="D133" s="15" t="inlineStr">
        <is>
          <t>NU04</t>
        </is>
      </c>
      <c r="E133" s="15" t="inlineStr">
        <is>
          <t>Hochflorteppich beige</t>
        </is>
      </c>
      <c r="F133" s="16" t="inlineStr">
        <is>
          <t>Hochflorteppich in Beige, IKEA Ådum. Gereinigt.</t>
        </is>
      </c>
      <c r="G133" s="15" t="inlineStr">
        <is>
          <t>Textilien</t>
        </is>
      </c>
      <c r="H133" s="15" t="inlineStr">
        <is>
          <t>Schlafraum 5</t>
        </is>
      </c>
      <c r="I133" s="15" t="inlineStr">
        <is>
          <t>C</t>
        </is>
      </c>
      <c r="J133" s="17" t="n">
        <v>2</v>
      </c>
      <c r="K133" s="17" t="n"/>
      <c r="L133" s="18">
        <f>J133-IF(K133="",0,K133)</f>
        <v/>
      </c>
      <c r="M133" s="15" t="inlineStr">
        <is>
          <t>Stück</t>
        </is>
      </c>
      <c r="N133" s="15" t="inlineStr">
        <is>
          <t>gebraucht</t>
        </is>
      </c>
      <c r="O133" s="19" t="inlineStr">
        <is>
          <t>120 × 240 cm</t>
        </is>
      </c>
      <c r="P133" s="19" t="inlineStr">
        <is>
          <t>ja</t>
        </is>
      </c>
      <c r="Q133" s="19" t="n"/>
      <c r="R133" s="20" t="n"/>
      <c r="S133" s="20" t="n">
        <v>35</v>
      </c>
      <c r="T133" s="19" t="inlineStr">
        <is>
          <t>VHB</t>
        </is>
      </c>
      <c r="U133" s="21">
        <f>L133*S133</f>
        <v/>
      </c>
      <c r="V133" s="15" t="inlineStr">
        <is>
          <t>Versand möglich</t>
        </is>
      </c>
      <c r="W133" s="15" t="inlineStr">
        <is>
          <t>F-009</t>
        </is>
      </c>
      <c r="X133" s="19" t="inlineStr">
        <is>
          <t>ja</t>
        </is>
      </c>
      <c r="Y133" s="19" t="n"/>
      <c r="Z133" s="19" t="inlineStr">
        <is>
          <t>verfügbar</t>
        </is>
      </c>
      <c r="AA133" s="19" t="inlineStr">
        <is>
          <t>IKEA</t>
        </is>
      </c>
      <c r="AB133" s="19" t="n"/>
      <c r="AC133" s="19" t="n"/>
      <c r="AD133" s="19" t="n"/>
      <c r="AE133" s="20" t="n"/>
      <c r="AF133" s="21">
        <f>IF(K133="","",K133*AE133)</f>
        <v/>
      </c>
      <c r="AG133" s="19" t="n"/>
      <c r="AH133" s="19" t="n"/>
      <c r="AI133" s="19" t="n"/>
      <c r="AJ133" s="19" t="n"/>
      <c r="AK133" s="19" t="n"/>
      <c r="AL133" s="19" t="n"/>
      <c r="AM133" s="16" t="inlineStr">
        <is>
          <t>2 Teppiche, Maße vom Erfassungsblatt.</t>
        </is>
      </c>
      <c r="AN133" s="22" t="n"/>
    </row>
    <row r="134" ht="30" customHeight="1">
      <c r="A134" s="15" t="inlineStr">
        <is>
          <t>NU04-06</t>
        </is>
      </c>
      <c r="B134" s="15" t="inlineStr">
        <is>
          <t>K-015</t>
        </is>
      </c>
      <c r="C134" s="15" t="n"/>
      <c r="D134" s="15" t="inlineStr">
        <is>
          <t>NU04</t>
        </is>
      </c>
      <c r="E134" s="15" t="inlineStr">
        <is>
          <t>Teppich schwarz-weiß Rautenmuster</t>
        </is>
      </c>
      <c r="F134" s="16" t="inlineStr">
        <is>
          <t>Flachgewebter Teppich mit schwarz-weißem Rautenmuster, IKEA Lappljung Ruta.</t>
        </is>
      </c>
      <c r="G134" s="15" t="inlineStr">
        <is>
          <t>Textilien</t>
        </is>
      </c>
      <c r="H134" s="15" t="inlineStr">
        <is>
          <t>Schlafraum 5</t>
        </is>
      </c>
      <c r="I134" s="15" t="inlineStr">
        <is>
          <t>C</t>
        </is>
      </c>
      <c r="J134" s="17" t="n">
        <v>2</v>
      </c>
      <c r="K134" s="17" t="n"/>
      <c r="L134" s="18">
        <f>J134-IF(K134="",0,K134)</f>
        <v/>
      </c>
      <c r="M134" s="15" t="inlineStr">
        <is>
          <t>Stück</t>
        </is>
      </c>
      <c r="N134" s="15" t="inlineStr">
        <is>
          <t>gebraucht</t>
        </is>
      </c>
      <c r="O134" s="19" t="inlineStr">
        <is>
          <t>200 × 300 cm</t>
        </is>
      </c>
      <c r="P134" s="19" t="inlineStr">
        <is>
          <t>ja</t>
        </is>
      </c>
      <c r="Q134" s="19" t="n"/>
      <c r="R134" s="20" t="n"/>
      <c r="S134" s="20" t="n">
        <v>30</v>
      </c>
      <c r="T134" s="19" t="inlineStr">
        <is>
          <t>VHB</t>
        </is>
      </c>
      <c r="U134" s="21">
        <f>L134*S134</f>
        <v/>
      </c>
      <c r="V134" s="15" t="inlineStr">
        <is>
          <t>Versand möglich</t>
        </is>
      </c>
      <c r="W134" s="15" t="inlineStr">
        <is>
          <t>F-011</t>
        </is>
      </c>
      <c r="X134" s="19" t="inlineStr">
        <is>
          <t>ja</t>
        </is>
      </c>
      <c r="Y134" s="19" t="n"/>
      <c r="Z134" s="19" t="inlineStr">
        <is>
          <t>verfügbar</t>
        </is>
      </c>
      <c r="AA134" s="19" t="inlineStr">
        <is>
          <t>IKEA</t>
        </is>
      </c>
      <c r="AB134" s="19" t="n"/>
      <c r="AC134" s="19" t="n"/>
      <c r="AD134" s="19" t="n"/>
      <c r="AE134" s="20" t="n"/>
      <c r="AF134" s="21">
        <f>IF(K134="","",K134*AE134)</f>
        <v/>
      </c>
      <c r="AG134" s="19" t="n"/>
      <c r="AH134" s="19" t="n"/>
      <c r="AI134" s="19" t="n"/>
      <c r="AJ134" s="19" t="n"/>
      <c r="AK134" s="19" t="n"/>
      <c r="AL134" s="19" t="n"/>
      <c r="AM134" s="16" t="inlineStr">
        <is>
          <t>2 Teppiche, Maße vom Erfassungsblatt.</t>
        </is>
      </c>
      <c r="AN134" s="22" t="n"/>
    </row>
    <row r="135" ht="30" customHeight="1">
      <c r="A135" s="15" t="inlineStr">
        <is>
          <t>TE01-01</t>
        </is>
      </c>
      <c r="B135" s="15" t="inlineStr">
        <is>
          <t>K-121</t>
        </is>
      </c>
      <c r="C135" s="15" t="n"/>
      <c r="D135" s="15" t="inlineStr">
        <is>
          <t>TE01</t>
        </is>
      </c>
      <c r="E135" s="15" t="inlineStr">
        <is>
          <t>Biohort Freizeitbox weiß (Terrasse)</t>
        </is>
      </c>
      <c r="F135" s="16" t="inlineStr">
        <is>
          <t>Biohort Freizeitbox weiß (Terrasse)
Alu-Auflagenbox, weiß, abschließbar, wetterfest</t>
        </is>
      </c>
      <c r="G135" s="15" t="inlineStr">
        <is>
          <t>Garten</t>
        </is>
      </c>
      <c r="H135" s="15" t="inlineStr">
        <is>
          <t>Terrasse</t>
        </is>
      </c>
      <c r="I135" s="15" t="inlineStr">
        <is>
          <t>A</t>
        </is>
      </c>
      <c r="J135" s="17" t="n">
        <v>1</v>
      </c>
      <c r="K135" s="17" t="n"/>
      <c r="L135" s="18">
        <f>J135-IF(K135="",0,K135)</f>
        <v/>
      </c>
      <c r="M135" s="15" t="inlineStr">
        <is>
          <t>Stück</t>
        </is>
      </c>
      <c r="N135" s="15" t="inlineStr">
        <is>
          <t>gut</t>
        </is>
      </c>
      <c r="O135" s="19" t="n"/>
      <c r="P135" s="19" t="inlineStr">
        <is>
          <t>ja</t>
        </is>
      </c>
      <c r="Q135" s="19" t="n"/>
      <c r="R135" s="20" t="n"/>
      <c r="S135" s="20" t="n">
        <v>410</v>
      </c>
      <c r="T135" s="19" t="inlineStr">
        <is>
          <t>VHB</t>
        </is>
      </c>
      <c r="U135" s="21">
        <f>L135*S135</f>
        <v/>
      </c>
      <c r="V135" s="15" t="inlineStr">
        <is>
          <t>nur Abholung</t>
        </is>
      </c>
      <c r="W135" s="15" t="inlineStr">
        <is>
          <t>F-094</t>
        </is>
      </c>
      <c r="X135" s="19" t="inlineStr">
        <is>
          <t>ja</t>
        </is>
      </c>
      <c r="Y135" s="19" t="n"/>
      <c r="Z135" s="19" t="inlineStr">
        <is>
          <t>verfügbar</t>
        </is>
      </c>
      <c r="AA135" s="19" t="inlineStr">
        <is>
          <t>Biohort</t>
        </is>
      </c>
      <c r="AB135" s="19" t="n"/>
      <c r="AC135" s="19" t="n"/>
      <c r="AD135" s="19" t="n"/>
      <c r="AE135" s="20" t="n"/>
      <c r="AF135" s="21">
        <f>IF(K135="","",K135*AE135)</f>
        <v/>
      </c>
      <c r="AG135" s="19" t="n"/>
      <c r="AH135" s="19" t="n"/>
      <c r="AI135" s="19" t="n"/>
      <c r="AJ135" s="19" t="n"/>
      <c r="AK135" s="19" t="n"/>
      <c r="AL135" s="19" t="n"/>
      <c r="AM135" s="16" t="inlineStr">
        <is>
          <t>1 Box im Bild</t>
        </is>
      </c>
      <c r="AN135" s="22" t="n"/>
    </row>
    <row r="136" ht="30" customHeight="1">
      <c r="A136" s="15" t="inlineStr">
        <is>
          <t>TE01-02</t>
        </is>
      </c>
      <c r="B136" s="15" t="inlineStr">
        <is>
          <t>K-123</t>
        </is>
      </c>
      <c r="C136" s="15" t="n"/>
      <c r="D136" s="15" t="inlineStr">
        <is>
          <t>TE01</t>
        </is>
      </c>
      <c r="E136" s="15" t="inlineStr">
        <is>
          <t>Gartentisch mit Granitplatte inkl. Stühle und Schutzhülle</t>
        </is>
      </c>
      <c r="F136" s="16" t="inlineStr">
        <is>
          <t>Granitplatte auf Aluminiumgestell, ca. 160 x 90 cm inkl. Stühle und Schutzhülle</t>
        </is>
      </c>
      <c r="G136" s="15" t="inlineStr">
        <is>
          <t>Garten</t>
        </is>
      </c>
      <c r="H136" s="15" t="inlineStr">
        <is>
          <t>Terrasse</t>
        </is>
      </c>
      <c r="I136" s="15" t="inlineStr">
        <is>
          <t>A</t>
        </is>
      </c>
      <c r="J136" s="17" t="n">
        <v>1</v>
      </c>
      <c r="K136" s="17" t="n"/>
      <c r="L136" s="18">
        <f>J136-IF(K136="",0,K136)</f>
        <v/>
      </c>
      <c r="M136" s="15" t="inlineStr">
        <is>
          <t>Stück</t>
        </is>
      </c>
      <c r="N136" s="15" t="inlineStr">
        <is>
          <t>gut</t>
        </is>
      </c>
      <c r="O136" s="19" t="n"/>
      <c r="P136" s="19" t="inlineStr">
        <is>
          <t>ja</t>
        </is>
      </c>
      <c r="Q136" s="19" t="n"/>
      <c r="R136" s="20" t="n"/>
      <c r="S136" s="20" t="n">
        <v>280</v>
      </c>
      <c r="T136" s="19" t="inlineStr">
        <is>
          <t>VHB</t>
        </is>
      </c>
      <c r="U136" s="21">
        <f>L136*S136</f>
        <v/>
      </c>
      <c r="V136" s="15" t="inlineStr">
        <is>
          <t>nur Abholung</t>
        </is>
      </c>
      <c r="W136" s="15" t="inlineStr">
        <is>
          <t>F-095</t>
        </is>
      </c>
      <c r="X136" s="19" t="inlineStr">
        <is>
          <t>ja</t>
        </is>
      </c>
      <c r="Y136" s="19" t="n"/>
      <c r="Z136" s="19" t="inlineStr">
        <is>
          <t>verfügbar</t>
        </is>
      </c>
      <c r="AA136" s="19" t="n"/>
      <c r="AB136" s="19" t="n"/>
      <c r="AC136" s="19" t="n"/>
      <c r="AD136" s="19" t="n"/>
      <c r="AE136" s="20" t="n"/>
      <c r="AF136" s="21">
        <f>IF(K136="","",K136*AE136)</f>
        <v/>
      </c>
      <c r="AG136" s="19" t="n"/>
      <c r="AH136" s="19" t="n"/>
      <c r="AI136" s="19" t="n"/>
      <c r="AJ136" s="19" t="n"/>
      <c r="AK136" s="19" t="n"/>
      <c r="AL136" s="19" t="n"/>
      <c r="AM136" s="16" t="inlineStr">
        <is>
          <t>1 Tisch im Bild</t>
        </is>
      </c>
      <c r="AN136" s="22" t="n"/>
    </row>
    <row r="137" ht="30" customHeight="1">
      <c r="A137" s="15" t="inlineStr">
        <is>
          <t>TE01-03</t>
        </is>
      </c>
      <c r="B137" s="15" t="inlineStr">
        <is>
          <t>K-125</t>
        </is>
      </c>
      <c r="C137" s="15" t="n"/>
      <c r="D137" s="15" t="inlineStr">
        <is>
          <t>TE01</t>
        </is>
      </c>
      <c r="E137" s="15" t="inlineStr">
        <is>
          <t>Textilene-Stapelsessel anthrazit</t>
        </is>
      </c>
      <c r="F137" s="16" t="inlineStr">
        <is>
          <t>Hochlehner, Aluminiumrahmen mit Textilenbespannung, stapelbar</t>
        </is>
      </c>
      <c r="G137" s="15" t="inlineStr">
        <is>
          <t>Garten</t>
        </is>
      </c>
      <c r="H137" s="15" t="inlineStr">
        <is>
          <t>Terrasse</t>
        </is>
      </c>
      <c r="I137" s="15" t="inlineStr">
        <is>
          <t>B</t>
        </is>
      </c>
      <c r="J137" s="17" t="n">
        <v>4</v>
      </c>
      <c r="K137" s="17" t="n"/>
      <c r="L137" s="18">
        <f>J137-IF(K137="",0,K137)</f>
        <v/>
      </c>
      <c r="M137" s="15" t="inlineStr">
        <is>
          <t>Stück</t>
        </is>
      </c>
      <c r="N137" s="15" t="inlineStr">
        <is>
          <t>stark gebraucht</t>
        </is>
      </c>
      <c r="O137" s="19" t="n"/>
      <c r="P137" s="19" t="inlineStr">
        <is>
          <t>ja</t>
        </is>
      </c>
      <c r="Q137" s="19" t="n"/>
      <c r="R137" s="20" t="n"/>
      <c r="S137" s="20" t="n">
        <v>10</v>
      </c>
      <c r="T137" s="19" t="inlineStr">
        <is>
          <t>VHB</t>
        </is>
      </c>
      <c r="U137" s="21">
        <f>L137*S137</f>
        <v/>
      </c>
      <c r="V137" s="15" t="inlineStr">
        <is>
          <t>nur Abholung</t>
        </is>
      </c>
      <c r="W137" s="15" t="inlineStr">
        <is>
          <t>F-096</t>
        </is>
      </c>
      <c r="X137" s="19" t="inlineStr">
        <is>
          <t>ja</t>
        </is>
      </c>
      <c r="Y137" s="19" t="n"/>
      <c r="Z137" s="19" t="inlineStr">
        <is>
          <t>verfügbar</t>
        </is>
      </c>
      <c r="AA137" s="19" t="n"/>
      <c r="AB137" s="19" t="n"/>
      <c r="AC137" s="19" t="n"/>
      <c r="AD137" s="19" t="n"/>
      <c r="AE137" s="20" t="n"/>
      <c r="AF137" s="21">
        <f>IF(K137="","",K137*AE137)</f>
        <v/>
      </c>
      <c r="AG137" s="19" t="n"/>
      <c r="AH137" s="19" t="n"/>
      <c r="AI137" s="19" t="n"/>
      <c r="AJ137" s="19" t="n"/>
      <c r="AK137" s="19" t="n"/>
      <c r="AL137" s="19" t="n"/>
      <c r="AM137" s="16" t="inlineStr">
        <is>
          <t>4 Stück im Bild</t>
        </is>
      </c>
      <c r="AN137" s="22" t="n"/>
    </row>
    <row r="138" ht="30" customHeight="1">
      <c r="A138" s="15" t="inlineStr">
        <is>
          <t>TE01-04</t>
        </is>
      </c>
      <c r="B138" s="15" t="inlineStr">
        <is>
          <t>K-132</t>
        </is>
      </c>
      <c r="C138" s="15" t="n"/>
      <c r="D138" s="15" t="inlineStr">
        <is>
          <t>TE01</t>
        </is>
      </c>
      <c r="E138" s="15" t="inlineStr">
        <is>
          <t>Weber Genesis Gasgrill</t>
        </is>
      </c>
      <c r="F138" s="16" t="inlineStr">
        <is>
          <t>Weber Genesis, Kupfer/Edelstahl, 4 Brenner mit Sear Station, inkl. Gasflasche</t>
        </is>
      </c>
      <c r="G138" s="15" t="inlineStr">
        <is>
          <t>Garten</t>
        </is>
      </c>
      <c r="H138" s="15" t="inlineStr">
        <is>
          <t>Terrasse</t>
        </is>
      </c>
      <c r="I138" s="15" t="inlineStr">
        <is>
          <t>A</t>
        </is>
      </c>
      <c r="J138" s="17" t="n">
        <v>1</v>
      </c>
      <c r="K138" s="17" t="n"/>
      <c r="L138" s="18">
        <f>J138-IF(K138="",0,K138)</f>
        <v/>
      </c>
      <c r="M138" s="15" t="inlineStr">
        <is>
          <t>Stück</t>
        </is>
      </c>
      <c r="N138" s="15" t="inlineStr">
        <is>
          <t>gebraucht</t>
        </is>
      </c>
      <c r="O138" s="19" t="n"/>
      <c r="P138" s="19" t="inlineStr">
        <is>
          <t>ja</t>
        </is>
      </c>
      <c r="Q138" s="19" t="n"/>
      <c r="R138" s="20" t="n"/>
      <c r="S138" s="20" t="n">
        <v>450</v>
      </c>
      <c r="T138" s="19" t="inlineStr">
        <is>
          <t>VHB</t>
        </is>
      </c>
      <c r="U138" s="21">
        <f>L138*S138</f>
        <v/>
      </c>
      <c r="V138" s="15" t="inlineStr">
        <is>
          <t>nur Abholung</t>
        </is>
      </c>
      <c r="W138" s="15" t="inlineStr">
        <is>
          <t>F-102</t>
        </is>
      </c>
      <c r="X138" s="19" t="inlineStr">
        <is>
          <t>ja</t>
        </is>
      </c>
      <c r="Y138" s="19" t="inlineStr">
        <is>
          <t>ja</t>
        </is>
      </c>
      <c r="Z138" s="19" t="inlineStr">
        <is>
          <t>verfügbar</t>
        </is>
      </c>
      <c r="AA138" s="19" t="inlineStr">
        <is>
          <t>Weber</t>
        </is>
      </c>
      <c r="AB138" s="19" t="n"/>
      <c r="AC138" s="19" t="n"/>
      <c r="AD138" s="19" t="n"/>
      <c r="AE138" s="20" t="n"/>
      <c r="AF138" s="21">
        <f>IF(K138="","",K138*AE138)</f>
        <v/>
      </c>
      <c r="AG138" s="19" t="n"/>
      <c r="AH138" s="19" t="n"/>
      <c r="AI138" s="19" t="n"/>
      <c r="AJ138" s="19" t="n"/>
      <c r="AK138" s="19" t="n"/>
      <c r="AL138" s="19" t="n"/>
      <c r="AM138" s="16" t="inlineStr">
        <is>
          <t>1 Grill im Bild</t>
        </is>
      </c>
      <c r="AN138" s="22" t="n"/>
    </row>
    <row r="139" ht="30" customHeight="1">
      <c r="A139" s="15" t="inlineStr">
        <is>
          <t>TE01-05</t>
        </is>
      </c>
      <c r="B139" s="15" t="inlineStr">
        <is>
          <t>K-133</t>
        </is>
      </c>
      <c r="C139" s="15" t="n"/>
      <c r="D139" s="15" t="inlineStr">
        <is>
          <t>TE01</t>
        </is>
      </c>
      <c r="E139" s="15" t="inlineStr">
        <is>
          <t>Sonnenschirm creme</t>
        </is>
      </c>
      <c r="F139" s="16" t="inlineStr">
        <is>
          <t>Marktschirm mit Holzstiel, creme, ca. 3 m Durchmesser</t>
        </is>
      </c>
      <c r="G139" s="15" t="inlineStr">
        <is>
          <t>Garten</t>
        </is>
      </c>
      <c r="H139" s="15" t="inlineStr">
        <is>
          <t>Terrasse</t>
        </is>
      </c>
      <c r="I139" s="15" t="inlineStr">
        <is>
          <t>C</t>
        </is>
      </c>
      <c r="J139" s="17" t="n">
        <v>1</v>
      </c>
      <c r="K139" s="17" t="n"/>
      <c r="L139" s="18">
        <f>J139-IF(K139="",0,K139)</f>
        <v/>
      </c>
      <c r="M139" s="15" t="inlineStr">
        <is>
          <t>Stück</t>
        </is>
      </c>
      <c r="N139" s="15" t="inlineStr">
        <is>
          <t>gebraucht</t>
        </is>
      </c>
      <c r="O139" s="19" t="n"/>
      <c r="P139" s="19" t="inlineStr">
        <is>
          <t>ja</t>
        </is>
      </c>
      <c r="Q139" s="19" t="n"/>
      <c r="R139" s="20" t="n"/>
      <c r="S139" s="20" t="n">
        <v>70</v>
      </c>
      <c r="T139" s="19" t="inlineStr">
        <is>
          <t>VHB</t>
        </is>
      </c>
      <c r="U139" s="21">
        <f>L139*S139</f>
        <v/>
      </c>
      <c r="V139" s="15" t="inlineStr">
        <is>
          <t>nur Abholung</t>
        </is>
      </c>
      <c r="W139" s="15" t="inlineStr">
        <is>
          <t>F-103</t>
        </is>
      </c>
      <c r="X139" s="19" t="inlineStr">
        <is>
          <t>ja</t>
        </is>
      </c>
      <c r="Y139" s="19" t="n"/>
      <c r="Z139" s="19" t="inlineStr">
        <is>
          <t>verfügbar</t>
        </is>
      </c>
      <c r="AA139" s="19" t="n"/>
      <c r="AB139" s="19" t="n"/>
      <c r="AC139" s="19" t="n"/>
      <c r="AD139" s="19" t="n"/>
      <c r="AE139" s="20" t="n"/>
      <c r="AF139" s="21">
        <f>IF(K139="","",K139*AE139)</f>
        <v/>
      </c>
      <c r="AG139" s="19" t="n"/>
      <c r="AH139" s="19" t="n"/>
      <c r="AI139" s="19" t="n"/>
      <c r="AJ139" s="19" t="n"/>
      <c r="AK139" s="19" t="n"/>
      <c r="AL139" s="19" t="n"/>
      <c r="AM139" s="16" t="inlineStr">
        <is>
          <t>1 Schirm im Bild</t>
        </is>
      </c>
      <c r="AN139" s="22" t="n"/>
    </row>
    <row r="140" ht="30" customHeight="1">
      <c r="A140" s="15" t="inlineStr">
        <is>
          <t>TE02-01</t>
        </is>
      </c>
      <c r="B140" s="15" t="inlineStr">
        <is>
          <t>K-127</t>
        </is>
      </c>
      <c r="C140" s="15" t="n"/>
      <c r="D140" s="15" t="inlineStr">
        <is>
          <t>TE02</t>
        </is>
      </c>
      <c r="E140" s="15" t="inlineStr">
        <is>
          <t>Pflanzkübel Plastik weiß</t>
        </is>
      </c>
      <c r="F140" s="16" t="inlineStr">
        <is>
          <t>Runder Pflanzkübel, Betonoptik weiß, Durchmesser ca. 50 cm</t>
        </is>
      </c>
      <c r="G140" s="15" t="inlineStr">
        <is>
          <t>Garten</t>
        </is>
      </c>
      <c r="H140" s="15" t="inlineStr">
        <is>
          <t>Dachterrasse</t>
        </is>
      </c>
      <c r="I140" s="15" t="inlineStr">
        <is>
          <t>C</t>
        </is>
      </c>
      <c r="J140" s="17" t="n">
        <v>4</v>
      </c>
      <c r="K140" s="17" t="n"/>
      <c r="L140" s="18">
        <f>J140-IF(K140="",0,K140)</f>
        <v/>
      </c>
      <c r="M140" s="15" t="inlineStr">
        <is>
          <t>Stück</t>
        </is>
      </c>
      <c r="N140" s="15" t="inlineStr">
        <is>
          <t>gebraucht</t>
        </is>
      </c>
      <c r="O140" s="19" t="n"/>
      <c r="P140" s="19" t="inlineStr">
        <is>
          <t>ja</t>
        </is>
      </c>
      <c r="Q140" s="19" t="n"/>
      <c r="R140" s="20" t="n"/>
      <c r="S140" s="20" t="n">
        <v>60</v>
      </c>
      <c r="T140" s="19" t="inlineStr">
        <is>
          <t>VHB</t>
        </is>
      </c>
      <c r="U140" s="21">
        <f>L140*S140</f>
        <v/>
      </c>
      <c r="V140" s="15" t="inlineStr">
        <is>
          <t>nur Abholung</t>
        </is>
      </c>
      <c r="W140" s="15" t="inlineStr">
        <is>
          <t>F-098</t>
        </is>
      </c>
      <c r="X140" s="19" t="inlineStr">
        <is>
          <t>ja</t>
        </is>
      </c>
      <c r="Y140" s="19" t="n"/>
      <c r="Z140" s="19" t="inlineStr">
        <is>
          <t>verfügbar</t>
        </is>
      </c>
      <c r="AA140" s="19" t="n"/>
      <c r="AB140" s="19" t="n"/>
      <c r="AC140" s="19" t="n"/>
      <c r="AD140" s="19" t="n"/>
      <c r="AE140" s="20" t="n"/>
      <c r="AF140" s="21">
        <f>IF(K140="","",K140*AE140)</f>
        <v/>
      </c>
      <c r="AG140" s="19" t="n"/>
      <c r="AH140" s="19" t="n"/>
      <c r="AI140" s="19" t="n"/>
      <c r="AJ140" s="19" t="n"/>
      <c r="AK140" s="19" t="n"/>
      <c r="AL140" s="19" t="n"/>
      <c r="AM140" s="16" t="inlineStr">
        <is>
          <t>3 Kübel im Bild</t>
        </is>
      </c>
      <c r="AN140" s="22" t="n"/>
    </row>
    <row r="141" ht="30" customHeight="1">
      <c r="A141" s="15" t="inlineStr">
        <is>
          <t>TE02-02</t>
        </is>
      </c>
      <c r="B141" s="15" t="inlineStr">
        <is>
          <t>K-128</t>
        </is>
      </c>
      <c r="C141" s="15" t="n"/>
      <c r="D141" s="15" t="inlineStr">
        <is>
          <t>TE02</t>
        </is>
      </c>
      <c r="E141" s="15" t="inlineStr">
        <is>
          <t>Gartenstuhl Kunststoff anthrazit</t>
        </is>
      </c>
      <c r="F141" s="16" t="inlineStr">
        <is>
          <t>Stapelbarer Gartenstuhl mit Armlehnen, anthrazit</t>
        </is>
      </c>
      <c r="G141" s="15" t="inlineStr">
        <is>
          <t>Garten</t>
        </is>
      </c>
      <c r="H141" s="15" t="inlineStr">
        <is>
          <t>Dachterrasse</t>
        </is>
      </c>
      <c r="I141" s="15" t="inlineStr">
        <is>
          <t>C</t>
        </is>
      </c>
      <c r="J141" s="17" t="n">
        <v>4</v>
      </c>
      <c r="K141" s="17" t="n"/>
      <c r="L141" s="18">
        <f>J141-IF(K141="",0,K141)</f>
        <v/>
      </c>
      <c r="M141" s="15" t="inlineStr">
        <is>
          <t>Stück</t>
        </is>
      </c>
      <c r="N141" s="15" t="inlineStr">
        <is>
          <t>gebraucht</t>
        </is>
      </c>
      <c r="O141" s="19" t="n"/>
      <c r="P141" s="19" t="inlineStr">
        <is>
          <t>ja</t>
        </is>
      </c>
      <c r="Q141" s="19" t="n"/>
      <c r="R141" s="20" t="n"/>
      <c r="S141" s="20" t="n">
        <v>10</v>
      </c>
      <c r="T141" s="19" t="inlineStr">
        <is>
          <t>VHB</t>
        </is>
      </c>
      <c r="U141" s="21">
        <f>L141*S141</f>
        <v/>
      </c>
      <c r="V141" s="15" t="inlineStr">
        <is>
          <t>nur Abholung</t>
        </is>
      </c>
      <c r="W141" s="15" t="inlineStr">
        <is>
          <t>F-099</t>
        </is>
      </c>
      <c r="X141" s="19" t="inlineStr">
        <is>
          <t>ja</t>
        </is>
      </c>
      <c r="Y141" s="19" t="n"/>
      <c r="Z141" s="19" t="inlineStr">
        <is>
          <t>verfügbar</t>
        </is>
      </c>
      <c r="AA141" s="19" t="n"/>
      <c r="AB141" s="19" t="n"/>
      <c r="AC141" s="19" t="n"/>
      <c r="AD141" s="19" t="n"/>
      <c r="AE141" s="20" t="n"/>
      <c r="AF141" s="21">
        <f>IF(K141="","",K141*AE141)</f>
        <v/>
      </c>
      <c r="AG141" s="19" t="n"/>
      <c r="AH141" s="19" t="n"/>
      <c r="AI141" s="19" t="n"/>
      <c r="AJ141" s="19" t="n"/>
      <c r="AK141" s="19" t="n"/>
      <c r="AL141" s="19" t="n"/>
      <c r="AM141" s="16" t="inlineStr">
        <is>
          <t>4 Stück gestapelt im Bild</t>
        </is>
      </c>
      <c r="AN141" s="22" t="n"/>
    </row>
    <row r="142" ht="30" customHeight="1">
      <c r="A142" s="15" t="inlineStr">
        <is>
          <t>TE02-03</t>
        </is>
      </c>
      <c r="B142" s="15" t="inlineStr">
        <is>
          <t>K-130</t>
        </is>
      </c>
      <c r="C142" s="15" t="n"/>
      <c r="D142" s="15" t="inlineStr">
        <is>
          <t>TE02</t>
        </is>
      </c>
      <c r="E142" s="15" t="inlineStr">
        <is>
          <t>Gartentisch anthrazit</t>
        </is>
      </c>
      <c r="F142" s="16" t="inlineStr">
        <is>
          <t>Aluminiumrahmen mit Lamellenplatte in Holzoptik, anthrazit inkl. Stühle</t>
        </is>
      </c>
      <c r="G142" s="15" t="inlineStr">
        <is>
          <t>Garten</t>
        </is>
      </c>
      <c r="H142" s="15" t="inlineStr">
        <is>
          <t>Dachterrasse</t>
        </is>
      </c>
      <c r="I142" s="15" t="inlineStr">
        <is>
          <t>B</t>
        </is>
      </c>
      <c r="J142" s="17" t="n">
        <v>1</v>
      </c>
      <c r="K142" s="17" t="n"/>
      <c r="L142" s="18">
        <f>J142-IF(K142="",0,K142)</f>
        <v/>
      </c>
      <c r="M142" s="15" t="inlineStr">
        <is>
          <t>Stück</t>
        </is>
      </c>
      <c r="N142" s="15" t="inlineStr">
        <is>
          <t>gut</t>
        </is>
      </c>
      <c r="O142" s="19" t="n"/>
      <c r="P142" s="19" t="inlineStr">
        <is>
          <t>ja</t>
        </is>
      </c>
      <c r="Q142" s="19" t="n"/>
      <c r="R142" s="20" t="n"/>
      <c r="S142" s="20" t="n">
        <v>150</v>
      </c>
      <c r="T142" s="19" t="inlineStr">
        <is>
          <t>VHB</t>
        </is>
      </c>
      <c r="U142" s="21">
        <f>L142*S142</f>
        <v/>
      </c>
      <c r="V142" s="15" t="inlineStr">
        <is>
          <t>nur Abholung</t>
        </is>
      </c>
      <c r="W142" s="15" t="inlineStr">
        <is>
          <t>F-101</t>
        </is>
      </c>
      <c r="X142" s="19" t="inlineStr">
        <is>
          <t>ja</t>
        </is>
      </c>
      <c r="Y142" s="19" t="n"/>
      <c r="Z142" s="19" t="inlineStr">
        <is>
          <t>verfügbar</t>
        </is>
      </c>
      <c r="AA142" s="19" t="n"/>
      <c r="AB142" s="19" t="n"/>
      <c r="AC142" s="19" t="n"/>
      <c r="AD142" s="19" t="n"/>
      <c r="AE142" s="20" t="n"/>
      <c r="AF142" s="21">
        <f>IF(K142="","",K142*AE142)</f>
        <v/>
      </c>
      <c r="AG142" s="19" t="n"/>
      <c r="AH142" s="19" t="n"/>
      <c r="AI142" s="19" t="n"/>
      <c r="AJ142" s="19" t="n"/>
      <c r="AK142" s="19" t="n"/>
      <c r="AL142" s="19" t="n"/>
      <c r="AM142" s="16" t="inlineStr">
        <is>
          <t>1 Tisch im Bild</t>
        </is>
      </c>
      <c r="AN142" s="22" t="n"/>
    </row>
    <row r="143" ht="30" customHeight="1">
      <c r="A143" s="15" t="inlineStr">
        <is>
          <t>TE02-04</t>
        </is>
      </c>
      <c r="B143" s="15" t="inlineStr">
        <is>
          <t>K-138</t>
        </is>
      </c>
      <c r="C143" s="15" t="n"/>
      <c r="D143" s="15" t="inlineStr">
        <is>
          <t>TE02</t>
        </is>
      </c>
      <c r="E143" s="15" t="inlineStr">
        <is>
          <t>Teak-Klapptisch rund</t>
        </is>
      </c>
      <c r="F143" s="16" t="inlineStr">
        <is>
          <t>Runder Gartenklapptisch aus Hartholz/Teak inkl. Stühle</t>
        </is>
      </c>
      <c r="G143" s="15" t="inlineStr">
        <is>
          <t>Garten</t>
        </is>
      </c>
      <c r="H143" s="15" t="inlineStr">
        <is>
          <t>Dachterrasse</t>
        </is>
      </c>
      <c r="I143" s="15" t="inlineStr">
        <is>
          <t>A</t>
        </is>
      </c>
      <c r="J143" s="17" t="n">
        <v>1</v>
      </c>
      <c r="K143" s="17" t="n"/>
      <c r="L143" s="18">
        <f>J143-IF(K143="",0,K143)</f>
        <v/>
      </c>
      <c r="M143" s="15" t="inlineStr">
        <is>
          <t>Set</t>
        </is>
      </c>
      <c r="N143" s="15" t="inlineStr">
        <is>
          <t>gebraucht</t>
        </is>
      </c>
      <c r="O143" s="19" t="n"/>
      <c r="P143" s="19" t="inlineStr">
        <is>
          <t>ja</t>
        </is>
      </c>
      <c r="Q143" s="19" t="n"/>
      <c r="R143" s="20" t="n"/>
      <c r="S143" s="20" t="n">
        <v>150</v>
      </c>
      <c r="T143" s="19" t="inlineStr">
        <is>
          <t>VHB</t>
        </is>
      </c>
      <c r="U143" s="21">
        <f>L143*S143</f>
        <v/>
      </c>
      <c r="V143" s="15" t="inlineStr">
        <is>
          <t>nur Abholung</t>
        </is>
      </c>
      <c r="W143" s="15" t="inlineStr">
        <is>
          <t>F-105</t>
        </is>
      </c>
      <c r="X143" s="19" t="inlineStr">
        <is>
          <t>ja</t>
        </is>
      </c>
      <c r="Y143" s="19" t="n"/>
      <c r="Z143" s="19" t="inlineStr">
        <is>
          <t>verfügbar</t>
        </is>
      </c>
      <c r="AA143" s="19" t="n"/>
      <c r="AB143" s="19" t="n"/>
      <c r="AC143" s="19" t="n"/>
      <c r="AD143" s="19" t="n"/>
      <c r="AE143" s="20" t="n"/>
      <c r="AF143" s="21">
        <f>IF(K143="","",K143*AE143)</f>
        <v/>
      </c>
      <c r="AG143" s="19" t="n"/>
      <c r="AH143" s="19" t="n"/>
      <c r="AI143" s="19" t="n"/>
      <c r="AJ143" s="19" t="n"/>
      <c r="AK143" s="19" t="n"/>
      <c r="AL143" s="19" t="n"/>
      <c r="AM143" s="16" t="inlineStr">
        <is>
          <t>1 Tisch im Bild</t>
        </is>
      </c>
      <c r="AN143" s="22" t="n"/>
    </row>
    <row r="144" ht="30" customHeight="1">
      <c r="A144" s="15" t="inlineStr">
        <is>
          <t>TE02-05</t>
        </is>
      </c>
      <c r="B144" s="15" t="inlineStr">
        <is>
          <t>K-139</t>
        </is>
      </c>
      <c r="C144" s="15" t="n"/>
      <c r="D144" s="15" t="inlineStr">
        <is>
          <t>TE02</t>
        </is>
      </c>
      <c r="E144" s="15" t="inlineStr">
        <is>
          <t>Pflanzkübel grau, groß</t>
        </is>
      </c>
      <c r="F144" s="16" t="inlineStr">
        <is>
          <t>Kunststoff-Pflanzkübel grau, Durchmesser ca. 60 cm</t>
        </is>
      </c>
      <c r="G144" s="15" t="inlineStr">
        <is>
          <t>Garten</t>
        </is>
      </c>
      <c r="H144" s="15" t="inlineStr">
        <is>
          <t>Dachterrasse</t>
        </is>
      </c>
      <c r="I144" s="15" t="inlineStr">
        <is>
          <t>C</t>
        </is>
      </c>
      <c r="J144" s="17" t="n">
        <v>2</v>
      </c>
      <c r="K144" s="17" t="n"/>
      <c r="L144" s="18">
        <f>J144-IF(K144="",0,K144)</f>
        <v/>
      </c>
      <c r="M144" s="15" t="inlineStr">
        <is>
          <t>Stück</t>
        </is>
      </c>
      <c r="N144" s="15" t="inlineStr">
        <is>
          <t>gut</t>
        </is>
      </c>
      <c r="O144" s="19" t="n"/>
      <c r="P144" s="19" t="inlineStr">
        <is>
          <t>ja</t>
        </is>
      </c>
      <c r="Q144" s="19" t="n"/>
      <c r="R144" s="20" t="n"/>
      <c r="S144" s="20" t="n">
        <v>90</v>
      </c>
      <c r="T144" s="19" t="inlineStr">
        <is>
          <t>VHB</t>
        </is>
      </c>
      <c r="U144" s="21">
        <f>L144*S144</f>
        <v/>
      </c>
      <c r="V144" s="15" t="inlineStr">
        <is>
          <t>nur Abholung</t>
        </is>
      </c>
      <c r="W144" s="15" t="inlineStr">
        <is>
          <t>F-106</t>
        </is>
      </c>
      <c r="X144" s="19" t="inlineStr">
        <is>
          <t>ja</t>
        </is>
      </c>
      <c r="Y144" s="19" t="n"/>
      <c r="Z144" s="19" t="inlineStr">
        <is>
          <t>verfügbar</t>
        </is>
      </c>
      <c r="AA144" s="19" t="n"/>
      <c r="AB144" s="19" t="n"/>
      <c r="AC144" s="19" t="n"/>
      <c r="AD144" s="19" t="n"/>
      <c r="AE144" s="20" t="n"/>
      <c r="AF144" s="21">
        <f>IF(K144="","",K144*AE144)</f>
        <v/>
      </c>
      <c r="AG144" s="19" t="n"/>
      <c r="AH144" s="19" t="n"/>
      <c r="AI144" s="19" t="n"/>
      <c r="AJ144" s="19" t="n"/>
      <c r="AK144" s="19" t="n"/>
      <c r="AL144" s="19" t="n"/>
      <c r="AM144" s="16" t="inlineStr">
        <is>
          <t>1 Kübel im Bild</t>
        </is>
      </c>
      <c r="AN144" s="22" t="n"/>
    </row>
    <row r="145" ht="30" customHeight="1">
      <c r="A145" s="15" t="inlineStr">
        <is>
          <t>TE02-06</t>
        </is>
      </c>
      <c r="B145" s="15" t="inlineStr">
        <is>
          <t>K-140</t>
        </is>
      </c>
      <c r="C145" s="15" t="n"/>
      <c r="D145" s="15" t="inlineStr">
        <is>
          <t>TE02</t>
        </is>
      </c>
      <c r="E145" s="15" t="inlineStr">
        <is>
          <t>Holzstern mit Lichterkette</t>
        </is>
      </c>
      <c r="F145" s="16" t="inlineStr">
        <is>
          <t>Großer Dekostern aus Holzlatten mit Lichterkette, ca. 2 m</t>
        </is>
      </c>
      <c r="G145" s="15" t="inlineStr">
        <is>
          <t>Deko</t>
        </is>
      </c>
      <c r="H145" s="15" t="inlineStr">
        <is>
          <t>Dachterrasse</t>
        </is>
      </c>
      <c r="I145" s="15" t="inlineStr">
        <is>
          <t>B</t>
        </is>
      </c>
      <c r="J145" s="17" t="n">
        <v>1</v>
      </c>
      <c r="K145" s="17" t="n"/>
      <c r="L145" s="18">
        <f>J145-IF(K145="",0,K145)</f>
        <v/>
      </c>
      <c r="M145" s="15" t="inlineStr">
        <is>
          <t>Stück</t>
        </is>
      </c>
      <c r="N145" s="15" t="inlineStr">
        <is>
          <t>gebraucht</t>
        </is>
      </c>
      <c r="O145" s="19" t="n"/>
      <c r="P145" s="19" t="inlineStr">
        <is>
          <t>ja</t>
        </is>
      </c>
      <c r="Q145" s="19" t="n"/>
      <c r="R145" s="20" t="n"/>
      <c r="S145" s="20" t="n">
        <v>180</v>
      </c>
      <c r="T145" s="19" t="inlineStr">
        <is>
          <t>VHB</t>
        </is>
      </c>
      <c r="U145" s="21">
        <f>L145*S145</f>
        <v/>
      </c>
      <c r="V145" s="15" t="inlineStr">
        <is>
          <t>nur Abholung</t>
        </is>
      </c>
      <c r="W145" s="15" t="inlineStr">
        <is>
          <t>F-107</t>
        </is>
      </c>
      <c r="X145" s="19" t="inlineStr">
        <is>
          <t>ja</t>
        </is>
      </c>
      <c r="Y145" s="19" t="n"/>
      <c r="Z145" s="19" t="inlineStr">
        <is>
          <t>verfügbar</t>
        </is>
      </c>
      <c r="AA145" s="19" t="n"/>
      <c r="AB145" s="19" t="n"/>
      <c r="AC145" s="19" t="n"/>
      <c r="AD145" s="19" t="n"/>
      <c r="AE145" s="20" t="n"/>
      <c r="AF145" s="21">
        <f>IF(K145="","",K145*AE145)</f>
        <v/>
      </c>
      <c r="AG145" s="19" t="n"/>
      <c r="AH145" s="19" t="n"/>
      <c r="AI145" s="19" t="n"/>
      <c r="AJ145" s="19" t="n"/>
      <c r="AK145" s="19" t="n"/>
      <c r="AL145" s="19" t="n"/>
      <c r="AM145" s="16" t="inlineStr">
        <is>
          <t>1 Stern im Bild</t>
        </is>
      </c>
      <c r="AN145" s="22" t="n"/>
    </row>
    <row r="146" ht="30" customHeight="1">
      <c r="A146" s="15" t="inlineStr">
        <is>
          <t>NU01-13</t>
        </is>
      </c>
      <c r="B146" s="15" t="n"/>
      <c r="C146" s="15" t="n"/>
      <c r="D146" s="15" t="inlineStr">
        <is>
          <t>NU01</t>
        </is>
      </c>
      <c r="E146" s="15" t="inlineStr">
        <is>
          <t>Vitrine Nussbaum, vierteilig</t>
        </is>
      </c>
      <c r="F146" s="16" t="inlineStr">
        <is>
          <t>Wohnzimmervitrine im Barockstil, Nussbaum furniert. Vier Türen, davon zwei mit Glas und Glaseinlegeböden, geschnitzte Zierleisten, Schloss vorhanden.</t>
        </is>
      </c>
      <c r="G146" s="15" t="inlineStr">
        <is>
          <t>Möbel</t>
        </is>
      </c>
      <c r="H146" s="15" t="inlineStr">
        <is>
          <t>Flur</t>
        </is>
      </c>
      <c r="I146" s="15" t="inlineStr">
        <is>
          <t>B</t>
        </is>
      </c>
      <c r="J146" s="17" t="n">
        <v>1</v>
      </c>
      <c r="K146" s="17" t="n"/>
      <c r="L146" s="18">
        <f>J146-IF(K146="",0,K146)</f>
        <v/>
      </c>
      <c r="M146" s="15" t="inlineStr">
        <is>
          <t>Stück</t>
        </is>
      </c>
      <c r="N146" s="15" t="inlineStr">
        <is>
          <t>gebraucht</t>
        </is>
      </c>
      <c r="O146" s="19" t="n"/>
      <c r="P146" s="19" t="inlineStr">
        <is>
          <t>ja</t>
        </is>
      </c>
      <c r="Q146" s="19" t="n"/>
      <c r="R146" s="20" t="n"/>
      <c r="S146" s="20" t="n">
        <v>120</v>
      </c>
      <c r="T146" s="19" t="inlineStr">
        <is>
          <t>VHB</t>
        </is>
      </c>
      <c r="U146" s="21">
        <f>L146*S146</f>
        <v/>
      </c>
      <c r="V146" s="15" t="inlineStr">
        <is>
          <t>nur Abholung</t>
        </is>
      </c>
      <c r="W146" s="15" t="inlineStr">
        <is>
          <t>F-114</t>
        </is>
      </c>
      <c r="X146" s="19" t="inlineStr">
        <is>
          <t>ja</t>
        </is>
      </c>
      <c r="Y146" s="19" t="n"/>
      <c r="Z146" s="19" t="inlineStr">
        <is>
          <t>verfügbar</t>
        </is>
      </c>
      <c r="AA146" s="19" t="n"/>
      <c r="AB146" s="19" t="n"/>
      <c r="AC146" s="19" t="n"/>
      <c r="AD146" s="19" t="n"/>
      <c r="AE146" s="20" t="n"/>
      <c r="AF146" s="21">
        <f>IF(K146="","",K146*AE146)</f>
        <v/>
      </c>
      <c r="AG146" s="19" t="n"/>
      <c r="AH146" s="19" t="n"/>
      <c r="AI146" s="19" t="n"/>
      <c r="AJ146" s="19" t="n"/>
      <c r="AK146" s="19" t="n"/>
      <c r="AL146" s="19" t="n"/>
      <c r="AM146" s="16" t="inlineStr">
        <is>
          <t>1 Vitrine. Die Dekoration darin ist Position NU01-03 und wird getrennt verkauft.</t>
        </is>
      </c>
      <c r="AN146" s="22" t="inlineStr">
        <is>
          <t>Personenfotos in der Vitrine sind im Bild maskiert (so gewollt).</t>
        </is>
      </c>
    </row>
    <row r="147" ht="30" customHeight="1">
      <c r="A147" s="15" t="inlineStr">
        <is>
          <t>NU01-14</t>
        </is>
      </c>
      <c r="B147" s="15" t="n"/>
      <c r="C147" s="15" t="inlineStr">
        <is>
          <t>BA02-01</t>
        </is>
      </c>
      <c r="D147" s="15" t="inlineStr">
        <is>
          <t>NU01</t>
        </is>
      </c>
      <c r="E147" s="15" t="inlineStr">
        <is>
          <t>Kindergarderobe mit Sitzbank, weiß</t>
        </is>
      </c>
      <c r="F147" s="16" t="inlineStr">
        <is>
          <t>Schreinerarbeit aus weiß beschichteter Platte mit Multiplex-Kanten. Oben vier offene Fächer, darunter vier weiße Doppelhaken, Sitzbank mit Schuhrost aus Holzlatten.</t>
        </is>
      </c>
      <c r="G147" s="15" t="inlineStr">
        <is>
          <t>Kita-Ausstattung</t>
        </is>
      </c>
      <c r="H147" s="15" t="inlineStr">
        <is>
          <t>Flur</t>
        </is>
      </c>
      <c r="I147" s="15" t="inlineStr">
        <is>
          <t>B</t>
        </is>
      </c>
      <c r="J147" s="17" t="n">
        <v>10</v>
      </c>
      <c r="K147" s="17" t="n"/>
      <c r="L147" s="18">
        <f>J147-IF(K147="",0,K147)</f>
        <v/>
      </c>
      <c r="M147" s="15" t="inlineStr">
        <is>
          <t>Stück</t>
        </is>
      </c>
      <c r="N147" s="15" t="inlineStr">
        <is>
          <t>gebraucht</t>
        </is>
      </c>
      <c r="O147" s="19" t="n"/>
      <c r="P147" s="19" t="inlineStr">
        <is>
          <t>ja</t>
        </is>
      </c>
      <c r="Q147" s="19" t="n"/>
      <c r="R147" s="20" t="n"/>
      <c r="S147" s="20" t="n">
        <v>90</v>
      </c>
      <c r="T147" s="19" t="inlineStr">
        <is>
          <t>VHB</t>
        </is>
      </c>
      <c r="U147" s="21">
        <f>L147*S147</f>
        <v/>
      </c>
      <c r="V147" s="15" t="inlineStr">
        <is>
          <t>nur Abholung</t>
        </is>
      </c>
      <c r="W147" s="15" t="inlineStr">
        <is>
          <t>F-115</t>
        </is>
      </c>
      <c r="X147" s="19" t="inlineStr">
        <is>
          <t>ja</t>
        </is>
      </c>
      <c r="Y147" s="19" t="n"/>
      <c r="Z147" s="19" t="inlineStr">
        <is>
          <t>verfügbar</t>
        </is>
      </c>
      <c r="AA147" s="19" t="n"/>
      <c r="AB147" s="19" t="n"/>
      <c r="AC147" s="19" t="n"/>
      <c r="AD147" s="19" t="n"/>
      <c r="AE147" s="20" t="n"/>
      <c r="AF147" s="21">
        <f>IF(K147="","",K147*AE147)</f>
        <v/>
      </c>
      <c r="AG147" s="19" t="n"/>
      <c r="AH147" s="19" t="n"/>
      <c r="AI147" s="19" t="n"/>
      <c r="AJ147" s="19" t="n"/>
      <c r="AK147" s="19" t="n"/>
      <c r="AL147" s="19" t="n"/>
      <c r="AM147" s="16" t="inlineStr">
        <is>
          <t>10 Garderoben insgesamt: 5 im Flur des Neubaus (NU01-14) und 5 im Flur 2 des Bestandsgebäudes (dort mit BA02-01 beschriftet). Abgebildet ist eine davon, eine zweite auf Foto F-272.</t>
        </is>
      </c>
      <c r="AN147" s="22" t="inlineStr">
        <is>
          <t>Zusammengefasste Position – Post-it-Nummer im zweiten Raum: BA02-01.</t>
        </is>
      </c>
    </row>
    <row r="148" ht="30" customHeight="1">
      <c r="A148" s="15" t="inlineStr">
        <is>
          <t>NU01-15</t>
        </is>
      </c>
      <c r="B148" s="15" t="n"/>
      <c r="C148" s="15" t="n"/>
      <c r="D148" s="15" t="inlineStr">
        <is>
          <t>NU01</t>
        </is>
      </c>
      <c r="E148" s="15" t="inlineStr">
        <is>
          <t>Garderobenschrank weiß mit Grafikfront</t>
        </is>
      </c>
      <c r="F148" s="16" t="inlineStr">
        <is>
          <t>Weiß beschichteter Schrank mit hoher Tür und Schubladen, Griffmulden ohne Beschläge. Die Fronten tragen eine schwarze Grafik (Straße mit Fahrzeugen), die sich über alle vier Schränke fortsetzt und nur zusammen ein Bild ergibt.</t>
        </is>
      </c>
      <c r="G148" s="15" t="inlineStr">
        <is>
          <t>Möbel</t>
        </is>
      </c>
      <c r="H148" s="15" t="inlineStr">
        <is>
          <t>Flur</t>
        </is>
      </c>
      <c r="I148" s="15" t="inlineStr">
        <is>
          <t>B</t>
        </is>
      </c>
      <c r="J148" s="17" t="n">
        <v>4</v>
      </c>
      <c r="K148" s="17" t="n"/>
      <c r="L148" s="18">
        <f>J148-IF(K148="",0,K148)</f>
        <v/>
      </c>
      <c r="M148" s="15" t="inlineStr">
        <is>
          <t>Stück</t>
        </is>
      </c>
      <c r="N148" s="15" t="inlineStr">
        <is>
          <t>gebraucht</t>
        </is>
      </c>
      <c r="O148" s="19" t="n"/>
      <c r="P148" s="19" t="inlineStr">
        <is>
          <t>ja</t>
        </is>
      </c>
      <c r="Q148" s="19" t="n"/>
      <c r="R148" s="20" t="n"/>
      <c r="S148" s="20" t="n">
        <v>120</v>
      </c>
      <c r="T148" s="19" t="inlineStr">
        <is>
          <t>VHB</t>
        </is>
      </c>
      <c r="U148" s="21">
        <f>L148*S148</f>
        <v/>
      </c>
      <c r="V148" s="15" t="inlineStr">
        <is>
          <t>nur Abholung</t>
        </is>
      </c>
      <c r="W148" s="15" t="inlineStr">
        <is>
          <t>F-118</t>
        </is>
      </c>
      <c r="X148" s="19" t="inlineStr">
        <is>
          <t>ja</t>
        </is>
      </c>
      <c r="Y148" s="19" t="n"/>
      <c r="Z148" s="19" t="inlineStr">
        <is>
          <t>verfügbar</t>
        </is>
      </c>
      <c r="AA148" s="19" t="n"/>
      <c r="AB148" s="19" t="n"/>
      <c r="AC148" s="19" t="n"/>
      <c r="AD148" s="19" t="n"/>
      <c r="AE148" s="20" t="n"/>
      <c r="AF148" s="21">
        <f>IF(K148="","",K148*AE148)</f>
        <v/>
      </c>
      <c r="AG148" s="19" t="n"/>
      <c r="AH148" s="19" t="n"/>
      <c r="AI148" s="19" t="n"/>
      <c r="AJ148" s="19" t="n"/>
      <c r="AK148" s="19" t="n"/>
      <c r="AL148" s="19" t="n"/>
      <c r="AM148" s="16" t="inlineStr">
        <is>
          <t>4 gleiche Schränke laut Erfassungsblatt – abgebildet ist die Schrankwand im Ganzen.</t>
        </is>
      </c>
      <c r="AN148" s="22" t="n"/>
    </row>
    <row r="149" ht="30" customHeight="1">
      <c r="A149" s="15" t="inlineStr">
        <is>
          <t>NU01-16</t>
        </is>
      </c>
      <c r="B149" s="15" t="n"/>
      <c r="C149" s="15" t="n"/>
      <c r="D149" s="15" t="inlineStr">
        <is>
          <t>NU01</t>
        </is>
      </c>
      <c r="E149" s="15" t="inlineStr">
        <is>
          <t>Waschmaschine LG 17 kg, F11WM17VT2</t>
        </is>
      </c>
      <c r="F149" s="16" t="inlineStr">
        <is>
          <t>LG Vollwaschautomat, Inverter Direct Drive, TrueSteam, 17 kg Füllmenge. Modell F11WM17VT2 laut Typenschild, 2000–2250 W. Gewerblich genutzt.</t>
        </is>
      </c>
      <c r="G149" s="15" t="inlineStr">
        <is>
          <t>Technik</t>
        </is>
      </c>
      <c r="H149" s="15" t="inlineStr">
        <is>
          <t>Flur</t>
        </is>
      </c>
      <c r="I149" s="15" t="inlineStr">
        <is>
          <t>A</t>
        </is>
      </c>
      <c r="J149" s="17" t="n">
        <v>1</v>
      </c>
      <c r="K149" s="17" t="n"/>
      <c r="L149" s="18">
        <f>J149-IF(K149="",0,K149)</f>
        <v/>
      </c>
      <c r="M149" s="15" t="inlineStr">
        <is>
          <t>Stück</t>
        </is>
      </c>
      <c r="N149" s="15" t="inlineStr">
        <is>
          <t>gut</t>
        </is>
      </c>
      <c r="O149" s="19" t="inlineStr">
        <is>
          <t>99 × 70 × 77 cm (H×B×T)</t>
        </is>
      </c>
      <c r="P149" s="19" t="inlineStr">
        <is>
          <t>ja</t>
        </is>
      </c>
      <c r="Q149" s="19" t="n"/>
      <c r="R149" s="20" t="n"/>
      <c r="S149" s="20" t="n">
        <v>350</v>
      </c>
      <c r="T149" s="19" t="inlineStr">
        <is>
          <t>VHB</t>
        </is>
      </c>
      <c r="U149" s="21">
        <f>L149*S149</f>
        <v/>
      </c>
      <c r="V149" s="15" t="inlineStr">
        <is>
          <t>nur Abholung</t>
        </is>
      </c>
      <c r="W149" s="15" t="inlineStr">
        <is>
          <t>F-119</t>
        </is>
      </c>
      <c r="X149" s="19" t="inlineStr">
        <is>
          <t>ja</t>
        </is>
      </c>
      <c r="Y149" s="19" t="n"/>
      <c r="Z149" s="19" t="inlineStr">
        <is>
          <t>verfügbar</t>
        </is>
      </c>
      <c r="AA149" s="19" t="inlineStr">
        <is>
          <t>LG</t>
        </is>
      </c>
      <c r="AB149" s="19" t="n"/>
      <c r="AC149" s="19" t="n"/>
      <c r="AD149" s="19" t="n"/>
      <c r="AE149" s="20" t="n"/>
      <c r="AF149" s="21">
        <f>IF(K149="","",K149*AE149)</f>
        <v/>
      </c>
      <c r="AG149" s="19" t="n"/>
      <c r="AH149" s="19" t="n"/>
      <c r="AI149" s="19" t="n"/>
      <c r="AJ149" s="19" t="n"/>
      <c r="AK149" s="19" t="n"/>
      <c r="AL149" s="19" t="n"/>
      <c r="AM149" s="16" t="inlineStr">
        <is>
          <t>1 Gerät. Typenschild ist abfotografiert (Foto F-121).</t>
        </is>
      </c>
      <c r="AN149" s="22" t="n"/>
    </row>
    <row r="150" ht="30" customHeight="1">
      <c r="A150" s="15" t="inlineStr">
        <is>
          <t>NU01-17</t>
        </is>
      </c>
      <c r="B150" s="15" t="n"/>
      <c r="C150" s="15" t="n"/>
      <c r="D150" s="15" t="inlineStr">
        <is>
          <t>NU01</t>
        </is>
      </c>
      <c r="E150" s="15" t="inlineStr">
        <is>
          <t>Wärmepumpentrockner Miele T1 Excellence, 8 kg</t>
        </is>
      </c>
      <c r="F150" s="16" t="inlineStr">
        <is>
          <t>Miele Wärmepumpentrockner der Reihe T1 Excellence, 8 kg. Typenschild: TEC235WP, Type HT30. Aufkleber des Elektrofachbetriebs Frommer, VS-Schwenningen.</t>
        </is>
      </c>
      <c r="G150" s="15" t="inlineStr">
        <is>
          <t>Technik</t>
        </is>
      </c>
      <c r="H150" s="15" t="inlineStr">
        <is>
          <t>Flur</t>
        </is>
      </c>
      <c r="I150" s="15" t="inlineStr">
        <is>
          <t>A</t>
        </is>
      </c>
      <c r="J150" s="17" t="n">
        <v>1</v>
      </c>
      <c r="K150" s="17" t="n"/>
      <c r="L150" s="18">
        <f>J150-IF(K150="",0,K150)</f>
        <v/>
      </c>
      <c r="M150" s="15" t="inlineStr">
        <is>
          <t>Stück</t>
        </is>
      </c>
      <c r="N150" s="15" t="inlineStr">
        <is>
          <t>gut</t>
        </is>
      </c>
      <c r="O150" s="19" t="n"/>
      <c r="P150" s="19" t="inlineStr">
        <is>
          <t>ja</t>
        </is>
      </c>
      <c r="Q150" s="19" t="n"/>
      <c r="R150" s="20" t="n"/>
      <c r="S150" s="20" t="n">
        <v>400</v>
      </c>
      <c r="T150" s="19" t="inlineStr">
        <is>
          <t>VHB</t>
        </is>
      </c>
      <c r="U150" s="21">
        <f>L150*S150</f>
        <v/>
      </c>
      <c r="V150" s="15" t="inlineStr">
        <is>
          <t>nur Abholung</t>
        </is>
      </c>
      <c r="W150" s="15" t="inlineStr">
        <is>
          <t>F-120</t>
        </is>
      </c>
      <c r="X150" s="19" t="inlineStr">
        <is>
          <t>ja</t>
        </is>
      </c>
      <c r="Y150" s="19" t="n"/>
      <c r="Z150" s="19" t="inlineStr">
        <is>
          <t>verfügbar</t>
        </is>
      </c>
      <c r="AA150" s="19" t="inlineStr">
        <is>
          <t>Miele</t>
        </is>
      </c>
      <c r="AB150" s="19" t="n"/>
      <c r="AC150" s="19" t="n"/>
      <c r="AD150" s="19" t="n"/>
      <c r="AE150" s="20" t="n"/>
      <c r="AF150" s="21">
        <f>IF(K150="","",K150*AE150)</f>
        <v/>
      </c>
      <c r="AG150" s="19" t="n"/>
      <c r="AH150" s="19" t="n"/>
      <c r="AI150" s="19" t="n"/>
      <c r="AJ150" s="19" t="n"/>
      <c r="AK150" s="19" t="n"/>
      <c r="AL150" s="19" t="n"/>
      <c r="AM150" s="16" t="inlineStr">
        <is>
          <t>1 Gerät. Typenschild ist abfotografiert (Foto F-122).</t>
        </is>
      </c>
      <c r="AN150" s="22" t="n"/>
    </row>
    <row r="151" ht="30" customHeight="1">
      <c r="A151" s="15" t="inlineStr">
        <is>
          <t>NU01-18</t>
        </is>
      </c>
      <c r="B151" s="15" t="n"/>
      <c r="C151" s="15" t="n"/>
      <c r="D151" s="15" t="inlineStr">
        <is>
          <t>NU01</t>
        </is>
      </c>
      <c r="E151" s="15" t="inlineStr">
        <is>
          <t>Waschmaschine Candy RapidÓ, 9 kg</t>
        </is>
      </c>
      <c r="F151" s="16" t="inlineStr">
        <is>
          <t>Candy RapidÓ, 9 kg, 1400 Touren, Speed-Drive-Inverter, Simply-Fi (App-Anbindung), Kg Detector. Modell RO14960WMC5/1-S laut Typenschild, 1600 W.</t>
        </is>
      </c>
      <c r="G151" s="15" t="inlineStr">
        <is>
          <t>Technik</t>
        </is>
      </c>
      <c r="H151" s="15" t="inlineStr">
        <is>
          <t>Flur</t>
        </is>
      </c>
      <c r="I151" s="15" t="inlineStr">
        <is>
          <t>B</t>
        </is>
      </c>
      <c r="J151" s="17" t="n">
        <v>1</v>
      </c>
      <c r="K151" s="17" t="n"/>
      <c r="L151" s="18">
        <f>J151-IF(K151="",0,K151)</f>
        <v/>
      </c>
      <c r="M151" s="15" t="inlineStr">
        <is>
          <t>Stück</t>
        </is>
      </c>
      <c r="N151" s="15" t="inlineStr">
        <is>
          <t>gebraucht</t>
        </is>
      </c>
      <c r="O151" s="19" t="n"/>
      <c r="P151" s="19" t="inlineStr">
        <is>
          <t>ja</t>
        </is>
      </c>
      <c r="Q151" s="19" t="n"/>
      <c r="R151" s="20" t="n"/>
      <c r="S151" s="20" t="n">
        <v>140</v>
      </c>
      <c r="T151" s="19" t="inlineStr">
        <is>
          <t>VHB</t>
        </is>
      </c>
      <c r="U151" s="21">
        <f>L151*S151</f>
        <v/>
      </c>
      <c r="V151" s="15" t="inlineStr">
        <is>
          <t>nur Abholung</t>
        </is>
      </c>
      <c r="W151" s="15" t="inlineStr">
        <is>
          <t>F-123</t>
        </is>
      </c>
      <c r="X151" s="19" t="inlineStr">
        <is>
          <t>ja</t>
        </is>
      </c>
      <c r="Y151" s="19" t="n"/>
      <c r="Z151" s="19" t="inlineStr">
        <is>
          <t>verfügbar</t>
        </is>
      </c>
      <c r="AA151" s="19" t="inlineStr">
        <is>
          <t>Candy</t>
        </is>
      </c>
      <c r="AB151" s="19" t="n"/>
      <c r="AC151" s="19" t="n"/>
      <c r="AD151" s="19" t="n"/>
      <c r="AE151" s="20" t="n"/>
      <c r="AF151" s="21">
        <f>IF(K151="","",K151*AE151)</f>
        <v/>
      </c>
      <c r="AG151" s="19" t="n"/>
      <c r="AH151" s="19" t="n"/>
      <c r="AI151" s="19" t="n"/>
      <c r="AJ151" s="19" t="n"/>
      <c r="AK151" s="19" t="n"/>
      <c r="AL151" s="19" t="n"/>
      <c r="AM151" s="16" t="inlineStr">
        <is>
          <t>1 Gerät. Typenschild ist abfotografiert (Foto F-124).</t>
        </is>
      </c>
      <c r="AN151" s="22" t="n"/>
    </row>
    <row r="152" ht="30" customHeight="1">
      <c r="A152" s="15" t="inlineStr">
        <is>
          <t>NU01-19</t>
        </is>
      </c>
      <c r="B152" s="15" t="n"/>
      <c r="C152" s="15" t="n"/>
      <c r="D152" s="15" t="inlineStr">
        <is>
          <t>NU01</t>
        </is>
      </c>
      <c r="E152" s="15" t="inlineStr">
        <is>
          <t>Kindergarderobe mit Hakenleiste und Wannen, weiß</t>
        </is>
      </c>
      <c r="F152" s="16" t="inlineStr">
        <is>
          <t>Zweiteilige Kindergarderobe: oben ein Wandelement mit vier offenen Fächern und darin liegenden Kunststoffwannen sowie vier roten Doppelhaken, unten eine weiße Sitzbank aus Holz mit Schublade. Beide Teile gehören zusammen.</t>
        </is>
      </c>
      <c r="G152" s="15" t="inlineStr">
        <is>
          <t>Kita-Ausstattung</t>
        </is>
      </c>
      <c r="H152" s="15" t="inlineStr">
        <is>
          <t>Flur</t>
        </is>
      </c>
      <c r="I152" s="15" t="inlineStr">
        <is>
          <t>B</t>
        </is>
      </c>
      <c r="J152" s="17" t="n">
        <v>4</v>
      </c>
      <c r="K152" s="17" t="n"/>
      <c r="L152" s="18">
        <f>J152-IF(K152="",0,K152)</f>
        <v/>
      </c>
      <c r="M152" s="15" t="inlineStr">
        <is>
          <t>Stück</t>
        </is>
      </c>
      <c r="N152" s="15" t="inlineStr">
        <is>
          <t>gebraucht</t>
        </is>
      </c>
      <c r="O152" s="19" t="n"/>
      <c r="P152" s="19" t="inlineStr">
        <is>
          <t>ja</t>
        </is>
      </c>
      <c r="Q152" s="19" t="n"/>
      <c r="R152" s="20" t="n"/>
      <c r="S152" s="20" t="n">
        <v>110</v>
      </c>
      <c r="T152" s="19" t="inlineStr">
        <is>
          <t>VHB</t>
        </is>
      </c>
      <c r="U152" s="21">
        <f>L152*S152</f>
        <v/>
      </c>
      <c r="V152" s="15" t="inlineStr">
        <is>
          <t>nur Abholung</t>
        </is>
      </c>
      <c r="W152" s="15" t="inlineStr">
        <is>
          <t>F-125</t>
        </is>
      </c>
      <c r="X152" s="19" t="inlineStr">
        <is>
          <t>ja</t>
        </is>
      </c>
      <c r="Y152" s="19" t="n"/>
      <c r="Z152" s="19" t="inlineStr">
        <is>
          <t>verfügbar</t>
        </is>
      </c>
      <c r="AA152" s="19" t="n"/>
      <c r="AB152" s="19" t="n"/>
      <c r="AC152" s="19" t="n"/>
      <c r="AD152" s="19" t="n"/>
      <c r="AE152" s="20" t="n"/>
      <c r="AF152" s="21">
        <f>IF(K152="","",K152*AE152)</f>
        <v/>
      </c>
      <c r="AG152" s="19" t="n"/>
      <c r="AH152" s="19" t="n"/>
      <c r="AI152" s="19" t="n"/>
      <c r="AJ152" s="19" t="n"/>
      <c r="AK152" s="19" t="n"/>
      <c r="AL152" s="19" t="n"/>
      <c r="AM152" s="16" t="inlineStr">
        <is>
          <t>4 gleiche Garderoben, jede aus Wandelement und Sitzbank – abgebildet ist eine davon.</t>
        </is>
      </c>
      <c r="AN152" s="22" t="n"/>
    </row>
    <row r="153" ht="30" customHeight="1">
      <c r="A153" s="15" t="inlineStr">
        <is>
          <t>NU01-20</t>
        </is>
      </c>
      <c r="B153" s="15" t="n"/>
      <c r="C153" s="15" t="n"/>
      <c r="D153" s="15" t="inlineStr">
        <is>
          <t>NU01</t>
        </is>
      </c>
      <c r="E153" s="15" t="inlineStr">
        <is>
          <t>Clubsessel rot, Kunstleder</t>
        </is>
      </c>
      <c r="F153" s="16" t="inlineStr">
        <is>
          <t>Runder Clubsessel in Tonnenform, roter Kunstlederbezug, niedrige Sitzhöhe – im Haus als Kindersessel genutzt. Gebrauchsspuren an Kanten und Sitzfläche, kleine Risse im Bezug.</t>
        </is>
      </c>
      <c r="G153" s="15" t="inlineStr">
        <is>
          <t>Möbel</t>
        </is>
      </c>
      <c r="H153" s="15" t="inlineStr">
        <is>
          <t>Flur</t>
        </is>
      </c>
      <c r="I153" s="15" t="inlineStr">
        <is>
          <t>B</t>
        </is>
      </c>
      <c r="J153" s="17" t="n">
        <v>2</v>
      </c>
      <c r="K153" s="17" t="n"/>
      <c r="L153" s="18">
        <f>J153-IF(K153="",0,K153)</f>
        <v/>
      </c>
      <c r="M153" s="15" t="inlineStr">
        <is>
          <t>Stück</t>
        </is>
      </c>
      <c r="N153" s="15" t="inlineStr">
        <is>
          <t>gebraucht</t>
        </is>
      </c>
      <c r="O153" s="19" t="n"/>
      <c r="P153" s="19" t="inlineStr">
        <is>
          <t>ja</t>
        </is>
      </c>
      <c r="Q153" s="19" t="n"/>
      <c r="R153" s="20" t="n"/>
      <c r="S153" s="20" t="n">
        <v>60</v>
      </c>
      <c r="T153" s="19" t="inlineStr">
        <is>
          <t>VHB</t>
        </is>
      </c>
      <c r="U153" s="21">
        <f>L153*S153</f>
        <v/>
      </c>
      <c r="V153" s="15" t="inlineStr">
        <is>
          <t>nur Abholung</t>
        </is>
      </c>
      <c r="W153" s="15" t="inlineStr">
        <is>
          <t>F-127</t>
        </is>
      </c>
      <c r="X153" s="19" t="inlineStr">
        <is>
          <t>ja</t>
        </is>
      </c>
      <c r="Y153" s="19" t="n"/>
      <c r="Z153" s="19" t="inlineStr">
        <is>
          <t>verfügbar</t>
        </is>
      </c>
      <c r="AA153" s="19" t="n"/>
      <c r="AB153" s="19" t="n"/>
      <c r="AC153" s="19" t="n"/>
      <c r="AD153" s="19" t="n"/>
      <c r="AE153" s="20" t="n"/>
      <c r="AF153" s="21">
        <f>IF(K153="","",K153*AE153)</f>
        <v/>
      </c>
      <c r="AG153" s="19" t="n"/>
      <c r="AH153" s="19" t="n"/>
      <c r="AI153" s="19" t="n"/>
      <c r="AJ153" s="19" t="n"/>
      <c r="AK153" s="19" t="n"/>
      <c r="AL153" s="19" t="n"/>
      <c r="AM153" s="16" t="inlineStr">
        <is>
          <t>2 Sessel, beide abgebildet.</t>
        </is>
      </c>
      <c r="AN153" s="22" t="n"/>
    </row>
    <row r="154" ht="30" customHeight="1">
      <c r="A154" s="15" t="inlineStr">
        <is>
          <t>NU01-21</t>
        </is>
      </c>
      <c r="B154" s="15" t="n"/>
      <c r="C154" s="15" t="n"/>
      <c r="D154" s="15" t="inlineStr">
        <is>
          <t>NU01</t>
        </is>
      </c>
      <c r="E154" s="15" t="inlineStr">
        <is>
          <t>Leuchte Mr Maria „Miffy", groß</t>
        </is>
      </c>
      <c r="F154" s="16" t="inlineStr">
        <is>
          <t>Steh-/Tischleuchte in Hasenform von Mr Maria (Amsterdam), Motiv Miffy, weißer Kunststoff, LED, Anschluss über Netzteil mit USB. Typenschild: MR LED8. Das größere der beiden Exemplare.</t>
        </is>
      </c>
      <c r="G154" s="15" t="inlineStr">
        <is>
          <t>Leuchten</t>
        </is>
      </c>
      <c r="H154" s="15" t="inlineStr">
        <is>
          <t>Flur</t>
        </is>
      </c>
      <c r="I154" s="15" t="inlineStr">
        <is>
          <t>A</t>
        </is>
      </c>
      <c r="J154" s="17" t="n">
        <v>1</v>
      </c>
      <c r="K154" s="17" t="n"/>
      <c r="L154" s="18">
        <f>J154-IF(K154="",0,K154)</f>
        <v/>
      </c>
      <c r="M154" s="15" t="inlineStr">
        <is>
          <t>Stück</t>
        </is>
      </c>
      <c r="N154" s="15" t="inlineStr">
        <is>
          <t>gut</t>
        </is>
      </c>
      <c r="O154" s="19" t="n"/>
      <c r="P154" s="19" t="inlineStr">
        <is>
          <t>ja</t>
        </is>
      </c>
      <c r="Q154" s="19" t="n"/>
      <c r="R154" s="20" t="n"/>
      <c r="S154" s="20" t="n">
        <v>140</v>
      </c>
      <c r="T154" s="19" t="inlineStr">
        <is>
          <t>VHB</t>
        </is>
      </c>
      <c r="U154" s="21">
        <f>L154*S154</f>
        <v/>
      </c>
      <c r="V154" s="15" t="inlineStr">
        <is>
          <t>nur Abholung</t>
        </is>
      </c>
      <c r="W154" s="15" t="inlineStr">
        <is>
          <t>F-135</t>
        </is>
      </c>
      <c r="X154" s="19" t="inlineStr">
        <is>
          <t>ja</t>
        </is>
      </c>
      <c r="Y154" s="19" t="n"/>
      <c r="Z154" s="19" t="inlineStr">
        <is>
          <t>verfügbar</t>
        </is>
      </c>
      <c r="AA154" s="19" t="inlineStr">
        <is>
          <t>Mr Maria</t>
        </is>
      </c>
      <c r="AB154" s="19" t="n"/>
      <c r="AC154" s="19" t="n"/>
      <c r="AD154" s="19" t="n"/>
      <c r="AE154" s="20" t="n"/>
      <c r="AF154" s="21">
        <f>IF(K154="","",K154*AE154)</f>
        <v/>
      </c>
      <c r="AG154" s="19" t="n"/>
      <c r="AH154" s="19" t="n"/>
      <c r="AI154" s="19" t="n"/>
      <c r="AJ154" s="19" t="n"/>
      <c r="AK154" s="19" t="n"/>
      <c r="AL154" s="19" t="n"/>
      <c r="AM154" s="16" t="inlineStr">
        <is>
          <t>1 Leuchte, das große Exemplar.</t>
        </is>
      </c>
      <c r="AN154" s="22" t="n"/>
    </row>
    <row r="155" ht="30" customHeight="1">
      <c r="A155" s="15" t="inlineStr">
        <is>
          <t>NU01-22</t>
        </is>
      </c>
      <c r="B155" s="15" t="n"/>
      <c r="C155" s="15" t="n"/>
      <c r="D155" s="15" t="inlineStr">
        <is>
          <t>NU01</t>
        </is>
      </c>
      <c r="E155" s="15" t="inlineStr">
        <is>
          <t>Leuchte Mr Maria „Miffy", klein</t>
        </is>
      </c>
      <c r="F155" s="16" t="inlineStr">
        <is>
          <t>Tischleuchte in Hasenform von Mr Maria (Amsterdam), Motiv Miffy, weißer Kunststoff, LED, Anschluss über Netzteil mit USB. Die kleinere Ausführung.</t>
        </is>
      </c>
      <c r="G155" s="15" t="inlineStr">
        <is>
          <t>Leuchten</t>
        </is>
      </c>
      <c r="H155" s="15" t="inlineStr">
        <is>
          <t>Flur</t>
        </is>
      </c>
      <c r="I155" s="15" t="inlineStr">
        <is>
          <t>A</t>
        </is>
      </c>
      <c r="J155" s="17" t="n">
        <v>3</v>
      </c>
      <c r="K155" s="17" t="n"/>
      <c r="L155" s="18">
        <f>J155-IF(K155="",0,K155)</f>
        <v/>
      </c>
      <c r="M155" s="15" t="inlineStr">
        <is>
          <t>Stück</t>
        </is>
      </c>
      <c r="N155" s="15" t="inlineStr">
        <is>
          <t>gut</t>
        </is>
      </c>
      <c r="O155" s="19" t="n"/>
      <c r="P155" s="19" t="inlineStr">
        <is>
          <t>ja</t>
        </is>
      </c>
      <c r="Q155" s="19" t="n"/>
      <c r="R155" s="20" t="n"/>
      <c r="S155" s="20" t="n">
        <v>60</v>
      </c>
      <c r="T155" s="19" t="inlineStr">
        <is>
          <t>VHB</t>
        </is>
      </c>
      <c r="U155" s="21">
        <f>L155*S155</f>
        <v/>
      </c>
      <c r="V155" s="15" t="inlineStr">
        <is>
          <t>nur Abholung</t>
        </is>
      </c>
      <c r="W155" s="15" t="inlineStr">
        <is>
          <t>F-136</t>
        </is>
      </c>
      <c r="X155" s="19" t="inlineStr">
        <is>
          <t>ja</t>
        </is>
      </c>
      <c r="Y155" s="19" t="n"/>
      <c r="Z155" s="19" t="inlineStr">
        <is>
          <t>verfügbar</t>
        </is>
      </c>
      <c r="AA155" s="19" t="inlineStr">
        <is>
          <t>Mr Maria</t>
        </is>
      </c>
      <c r="AB155" s="19" t="n"/>
      <c r="AC155" s="19" t="n"/>
      <c r="AD155" s="19" t="n"/>
      <c r="AE155" s="20" t="n"/>
      <c r="AF155" s="21">
        <f>IF(K155="","",K155*AE155)</f>
        <v/>
      </c>
      <c r="AG155" s="19" t="n"/>
      <c r="AH155" s="19" t="n"/>
      <c r="AI155" s="19" t="n"/>
      <c r="AJ155" s="19" t="n"/>
      <c r="AK155" s="19" t="n"/>
      <c r="AL155" s="19" t="n"/>
      <c r="AM155" s="16" t="inlineStr">
        <is>
          <t>3 gleiche Leuchten in der kleinen Ausführung – abgebildet ist eine davon.</t>
        </is>
      </c>
      <c r="AN155" s="22" t="n"/>
    </row>
    <row r="156" ht="30" customHeight="1">
      <c r="A156" s="15" t="inlineStr">
        <is>
          <t>NU02-02</t>
        </is>
      </c>
      <c r="B156" s="15" t="n"/>
      <c r="C156" s="15" t="inlineStr">
        <is>
          <t>NU04-12, BU02-04, NE05-10</t>
        </is>
      </c>
      <c r="D156" s="15" t="inlineStr">
        <is>
          <t>NU02</t>
        </is>
      </c>
      <c r="E156" s="15" t="inlineStr">
        <is>
          <t>Kinderstuhl IKEA Kritter, weiß</t>
        </is>
      </c>
      <c r="F156" s="16" t="inlineStr">
        <is>
          <t>Kinderstuhl aus Massivholz, weiß lackiert, Rückenlehne mit ausgestanzter Katze und Hund. Etikett an der Unterseite: IKEA Kritter, Herstelldatum 2019. Farbe an Sitzkanten und Ecken abgeplatzt.</t>
        </is>
      </c>
      <c r="G156" s="15" t="inlineStr">
        <is>
          <t>Kita-Ausstattung</t>
        </is>
      </c>
      <c r="H156" s="15" t="inlineStr">
        <is>
          <t>Gruppenraum 5</t>
        </is>
      </c>
      <c r="I156" s="15" t="inlineStr">
        <is>
          <t>C</t>
        </is>
      </c>
      <c r="J156" s="17" t="n">
        <v>40</v>
      </c>
      <c r="K156" s="17" t="n"/>
      <c r="L156" s="18">
        <f>J156-IF(K156="",0,K156)</f>
        <v/>
      </c>
      <c r="M156" s="15" t="inlineStr">
        <is>
          <t>Stück</t>
        </is>
      </c>
      <c r="N156" s="15" t="inlineStr">
        <is>
          <t>gebraucht</t>
        </is>
      </c>
      <c r="O156" s="19" t="n"/>
      <c r="P156" s="19" t="inlineStr">
        <is>
          <t>ja</t>
        </is>
      </c>
      <c r="Q156" s="19" t="n"/>
      <c r="R156" s="20" t="n"/>
      <c r="S156" s="20" t="n">
        <v>10</v>
      </c>
      <c r="T156" s="19" t="inlineStr">
        <is>
          <t>VHB</t>
        </is>
      </c>
      <c r="U156" s="21">
        <f>L156*S156</f>
        <v/>
      </c>
      <c r="V156" s="15" t="inlineStr">
        <is>
          <t>nur Abholung</t>
        </is>
      </c>
      <c r="W156" s="15" t="inlineStr">
        <is>
          <t>F-138</t>
        </is>
      </c>
      <c r="X156" s="19" t="inlineStr">
        <is>
          <t>ja</t>
        </is>
      </c>
      <c r="Y156" s="19" t="n"/>
      <c r="Z156" s="19" t="inlineStr">
        <is>
          <t>verfügbar</t>
        </is>
      </c>
      <c r="AA156" s="19" t="inlineStr">
        <is>
          <t>IKEA</t>
        </is>
      </c>
      <c r="AB156" s="19" t="n"/>
      <c r="AC156" s="19" t="n"/>
      <c r="AD156" s="19" t="n"/>
      <c r="AE156" s="20" t="n"/>
      <c r="AF156" s="21">
        <f>IF(K156="","",K156*AE156)</f>
        <v/>
      </c>
      <c r="AG156" s="19" t="n"/>
      <c r="AH156" s="19" t="n"/>
      <c r="AI156" s="19" t="n"/>
      <c r="AJ156" s="19" t="n"/>
      <c r="AK156" s="19" t="n"/>
      <c r="AL156" s="19" t="n"/>
      <c r="AM156" s="16" t="inlineStr">
        <is>
          <t>40 Stühle insgesamt: 10 im Gruppenraum 5 und im Nachbarraum NU03, 6 im Schlafraum 5 (NU04-12), 15 im Flur 2 im Untergeschoss (BU02-04) und 9 im Speisesaal (NE05-10). Die 15 Stühle aus dem Flur 2 sind stark gebraucht. Ein Stuhl aus dem Speisesaal ist auf Foto F-477 zu sehen.</t>
        </is>
      </c>
      <c r="AN156" s="22" t="inlineStr">
        <is>
          <t>Zusammengefasste Position ueber fuenf Raeume. Post-it-Nummern: NU04-12, BU02-04, NE05-10. In NU03 nicht erneut anlegen.</t>
        </is>
      </c>
    </row>
    <row r="157" ht="30" customHeight="1">
      <c r="A157" s="15" t="inlineStr">
        <is>
          <t>NU02-03</t>
        </is>
      </c>
      <c r="B157" s="15" t="n"/>
      <c r="C157" s="15" t="n"/>
      <c r="D157" s="15" t="inlineStr">
        <is>
          <t>NU02</t>
        </is>
      </c>
      <c r="E157" s="15" t="inlineStr">
        <is>
          <t>Kindertisch rund, weiß</t>
        </is>
      </c>
      <c r="F157" s="16" t="inlineStr">
        <is>
          <t>Runde Tischplatte in Weiß mit Multiplex-Kante auf verchromten Rundfüßen. Oberfläche verkratzt und mit Farbspuren.</t>
        </is>
      </c>
      <c r="G157" s="15" t="inlineStr">
        <is>
          <t>Kita-Ausstattung</t>
        </is>
      </c>
      <c r="H157" s="15" t="inlineStr">
        <is>
          <t>Gruppenraum 5</t>
        </is>
      </c>
      <c r="I157" s="15" t="inlineStr">
        <is>
          <t>B</t>
        </is>
      </c>
      <c r="J157" s="17" t="n">
        <v>2</v>
      </c>
      <c r="K157" s="17" t="n"/>
      <c r="L157" s="18">
        <f>J157-IF(K157="",0,K157)</f>
        <v/>
      </c>
      <c r="M157" s="15" t="inlineStr">
        <is>
          <t>Stück</t>
        </is>
      </c>
      <c r="N157" s="15" t="inlineStr">
        <is>
          <t>gebraucht</t>
        </is>
      </c>
      <c r="O157" s="19" t="n"/>
      <c r="P157" s="19" t="inlineStr">
        <is>
          <t>ja</t>
        </is>
      </c>
      <c r="Q157" s="19" t="n"/>
      <c r="R157" s="20" t="n"/>
      <c r="S157" s="20" t="n">
        <v>60</v>
      </c>
      <c r="T157" s="19" t="inlineStr">
        <is>
          <t>VHB</t>
        </is>
      </c>
      <c r="U157" s="21">
        <f>L157*S157</f>
        <v/>
      </c>
      <c r="V157" s="15" t="inlineStr">
        <is>
          <t>nur Abholung</t>
        </is>
      </c>
      <c r="W157" s="15" t="inlineStr">
        <is>
          <t>F-141</t>
        </is>
      </c>
      <c r="X157" s="19" t="inlineStr">
        <is>
          <t>ja</t>
        </is>
      </c>
      <c r="Y157" s="19" t="n"/>
      <c r="Z157" s="19" t="inlineStr">
        <is>
          <t>verfügbar</t>
        </is>
      </c>
      <c r="AA157" s="19" t="n"/>
      <c r="AB157" s="19" t="n"/>
      <c r="AC157" s="19" t="n"/>
      <c r="AD157" s="19" t="n"/>
      <c r="AE157" s="20" t="n"/>
      <c r="AF157" s="21">
        <f>IF(K157="","",K157*AE157)</f>
        <v/>
      </c>
      <c r="AG157" s="19" t="n"/>
      <c r="AH157" s="19" t="n"/>
      <c r="AI157" s="19" t="n"/>
      <c r="AJ157" s="19" t="n"/>
      <c r="AK157" s="19" t="n"/>
      <c r="AL157" s="19" t="n"/>
      <c r="AM157" s="16" t="inlineStr">
        <is>
          <t>2 Tische – abgebildet ist einer davon von oben.</t>
        </is>
      </c>
      <c r="AN157" s="22" t="inlineStr">
        <is>
          <t>Gesamtstückzahl über Gruppenraum 5 und den Nachbarraum NU02/NU03 hinweg, so vom Haus gezählt. In NU03 nicht erneut anlegen.</t>
        </is>
      </c>
    </row>
    <row r="158" ht="30" customHeight="1">
      <c r="A158" s="15" t="inlineStr">
        <is>
          <t>NU02-04</t>
        </is>
      </c>
      <c r="B158" s="15" t="n"/>
      <c r="C158" s="15" t="n"/>
      <c r="D158" s="15" t="inlineStr">
        <is>
          <t>NU02</t>
        </is>
      </c>
      <c r="E158" s="15" t="inlineStr">
        <is>
          <t>Kinderstuhl VS, grau</t>
        </is>
      </c>
      <c r="F158" s="16" t="inlineStr">
        <is>
          <t>Schalenstuhl von VS (Vereinigte Spezialmöbelfabriken) auf grauem Kufengestell. Kunststoffschale mit Griffloch in der Lehne, Sitzfläche mit Belüftungslöchern. Schulmöbelqualität.</t>
        </is>
      </c>
      <c r="G158" s="15" t="inlineStr">
        <is>
          <t>Kita-Ausstattung</t>
        </is>
      </c>
      <c r="H158" s="15" t="inlineStr">
        <is>
          <t>Gruppenraum 5</t>
        </is>
      </c>
      <c r="I158" s="15" t="inlineStr">
        <is>
          <t>B</t>
        </is>
      </c>
      <c r="J158" s="17" t="n">
        <v>8</v>
      </c>
      <c r="K158" s="17" t="n"/>
      <c r="L158" s="18">
        <f>J158-IF(K158="",0,K158)</f>
        <v/>
      </c>
      <c r="M158" s="15" t="inlineStr">
        <is>
          <t>Stück</t>
        </is>
      </c>
      <c r="N158" s="15" t="inlineStr">
        <is>
          <t>gut</t>
        </is>
      </c>
      <c r="O158" s="19" t="n"/>
      <c r="P158" s="19" t="inlineStr">
        <is>
          <t>ja</t>
        </is>
      </c>
      <c r="Q158" s="19" t="n"/>
      <c r="R158" s="20" t="n"/>
      <c r="S158" s="20" t="n">
        <v>65</v>
      </c>
      <c r="T158" s="19" t="inlineStr">
        <is>
          <t>VHB</t>
        </is>
      </c>
      <c r="U158" s="21">
        <f>L158*S158</f>
        <v/>
      </c>
      <c r="V158" s="15" t="inlineStr">
        <is>
          <t>nur Abholung</t>
        </is>
      </c>
      <c r="W158" s="15" t="inlineStr">
        <is>
          <t>F-142</t>
        </is>
      </c>
      <c r="X158" s="19" t="inlineStr">
        <is>
          <t>ja</t>
        </is>
      </c>
      <c r="Y158" s="19" t="n"/>
      <c r="Z158" s="19" t="inlineStr">
        <is>
          <t>verfügbar</t>
        </is>
      </c>
      <c r="AA158" s="19" t="inlineStr">
        <is>
          <t>VS</t>
        </is>
      </c>
      <c r="AB158" s="19" t="n"/>
      <c r="AC158" s="19" t="n"/>
      <c r="AD158" s="19" t="n"/>
      <c r="AE158" s="20" t="n"/>
      <c r="AF158" s="21">
        <f>IF(K158="","",K158*AE158)</f>
        <v/>
      </c>
      <c r="AG158" s="19" t="n"/>
      <c r="AH158" s="19" t="n"/>
      <c r="AI158" s="19" t="n"/>
      <c r="AJ158" s="19" t="n"/>
      <c r="AK158" s="19" t="n"/>
      <c r="AL158" s="19" t="n"/>
      <c r="AM158" s="16" t="inlineStr">
        <is>
          <t>8 Stück – abgebildet ist einer davon. Das Logo auf der Lehne ist auf Foto F-143 zu sehen.</t>
        </is>
      </c>
      <c r="AN158" s="22" t="n"/>
    </row>
    <row r="159" ht="30" customHeight="1">
      <c r="A159" s="15" t="inlineStr">
        <is>
          <t>NU02-05</t>
        </is>
      </c>
      <c r="B159" s="15" t="n"/>
      <c r="C159" s="15" t="n"/>
      <c r="D159" s="15" t="inlineStr">
        <is>
          <t>NU02</t>
        </is>
      </c>
      <c r="E159" s="15" t="inlineStr">
        <is>
          <t>Kindertisch halbrund, weiß</t>
        </is>
      </c>
      <c r="F159" s="16" t="inlineStr">
        <is>
          <t>Halbrunde Tischplatte in Weiß mit Holzkante, auf dunklen Rundfüßen. Zwei Tische ergeben zusammen einen ovalen Tisch.</t>
        </is>
      </c>
      <c r="G159" s="15" t="inlineStr">
        <is>
          <t>Kita-Ausstattung</t>
        </is>
      </c>
      <c r="H159" s="15" t="inlineStr">
        <is>
          <t>Gruppenraum 5</t>
        </is>
      </c>
      <c r="I159" s="15" t="inlineStr">
        <is>
          <t>B</t>
        </is>
      </c>
      <c r="J159" s="17" t="n">
        <v>4</v>
      </c>
      <c r="K159" s="17" t="n"/>
      <c r="L159" s="18">
        <f>J159-IF(K159="",0,K159)</f>
        <v/>
      </c>
      <c r="M159" s="15" t="inlineStr">
        <is>
          <t>Stück</t>
        </is>
      </c>
      <c r="N159" s="15" t="inlineStr">
        <is>
          <t>gebraucht</t>
        </is>
      </c>
      <c r="O159" s="19" t="n"/>
      <c r="P159" s="19" t="inlineStr">
        <is>
          <t>ja</t>
        </is>
      </c>
      <c r="Q159" s="19" t="n"/>
      <c r="R159" s="20" t="n"/>
      <c r="S159" s="20" t="n">
        <v>45</v>
      </c>
      <c r="T159" s="19" t="inlineStr">
        <is>
          <t>VHB</t>
        </is>
      </c>
      <c r="U159" s="21">
        <f>L159*S159</f>
        <v/>
      </c>
      <c r="V159" s="15" t="inlineStr">
        <is>
          <t>nur Abholung</t>
        </is>
      </c>
      <c r="W159" s="15" t="inlineStr">
        <is>
          <t>F-144</t>
        </is>
      </c>
      <c r="X159" s="19" t="inlineStr">
        <is>
          <t>ja</t>
        </is>
      </c>
      <c r="Y159" s="19" t="n"/>
      <c r="Z159" s="19" t="inlineStr">
        <is>
          <t>verfügbar</t>
        </is>
      </c>
      <c r="AA159" s="19" t="n"/>
      <c r="AB159" s="19" t="n"/>
      <c r="AC159" s="19" t="n"/>
      <c r="AD159" s="19" t="n"/>
      <c r="AE159" s="20" t="n"/>
      <c r="AF159" s="21">
        <f>IF(K159="","",K159*AE159)</f>
        <v/>
      </c>
      <c r="AG159" s="19" t="n"/>
      <c r="AH159" s="19" t="n"/>
      <c r="AI159" s="19" t="n"/>
      <c r="AJ159" s="19" t="n"/>
      <c r="AK159" s="19" t="n"/>
      <c r="AL159" s="19" t="n"/>
      <c r="AM159" s="16" t="inlineStr">
        <is>
          <t>4 halbrunde Tische – abgebildet sind zwei zusammengestellt.</t>
        </is>
      </c>
      <c r="AN159" s="22" t="n"/>
    </row>
    <row r="160" ht="30" customHeight="1">
      <c r="A160" s="15" t="inlineStr">
        <is>
          <t>NU02-07</t>
        </is>
      </c>
      <c r="B160" s="15" t="n"/>
      <c r="C160" s="15" t="n"/>
      <c r="D160" s="15" t="inlineStr">
        <is>
          <t>NU02</t>
        </is>
      </c>
      <c r="E160" s="15" t="inlineStr">
        <is>
          <t>Beistelltisch Drahtkorb, Kupfer</t>
        </is>
      </c>
      <c r="F160" s="16" t="inlineStr">
        <is>
          <t>Runder Beistelltisch: Drahtkorb in Kupferoptik mit abnehmbarer Platte in Holzoptik. Der Korb lässt sich als Ablage nutzen.</t>
        </is>
      </c>
      <c r="G160" s="15" t="inlineStr">
        <is>
          <t>Möbel</t>
        </is>
      </c>
      <c r="H160" s="15" t="inlineStr">
        <is>
          <t>Gruppenraum 5</t>
        </is>
      </c>
      <c r="I160" s="15" t="inlineStr">
        <is>
          <t>C</t>
        </is>
      </c>
      <c r="J160" s="17" t="n">
        <v>2</v>
      </c>
      <c r="K160" s="17" t="n"/>
      <c r="L160" s="18">
        <f>J160-IF(K160="",0,K160)</f>
        <v/>
      </c>
      <c r="M160" s="15" t="inlineStr">
        <is>
          <t>Stück</t>
        </is>
      </c>
      <c r="N160" s="15" t="inlineStr">
        <is>
          <t>gebraucht</t>
        </is>
      </c>
      <c r="O160" s="19" t="n"/>
      <c r="P160" s="19" t="inlineStr">
        <is>
          <t>ja</t>
        </is>
      </c>
      <c r="Q160" s="19" t="n"/>
      <c r="R160" s="20" t="n"/>
      <c r="S160" s="20" t="n">
        <v>25</v>
      </c>
      <c r="T160" s="19" t="inlineStr">
        <is>
          <t>VHB</t>
        </is>
      </c>
      <c r="U160" s="21">
        <f>L160*S160</f>
        <v/>
      </c>
      <c r="V160" s="15" t="inlineStr">
        <is>
          <t>nur Abholung</t>
        </is>
      </c>
      <c r="W160" s="15" t="inlineStr">
        <is>
          <t>F-147</t>
        </is>
      </c>
      <c r="X160" s="19" t="inlineStr">
        <is>
          <t>ja</t>
        </is>
      </c>
      <c r="Y160" s="19" t="n"/>
      <c r="Z160" s="19" t="inlineStr">
        <is>
          <t>verfügbar</t>
        </is>
      </c>
      <c r="AA160" s="19" t="n"/>
      <c r="AB160" s="19" t="n"/>
      <c r="AC160" s="19" t="n"/>
      <c r="AD160" s="19" t="n"/>
      <c r="AE160" s="20" t="n"/>
      <c r="AF160" s="21">
        <f>IF(K160="","",K160*AE160)</f>
        <v/>
      </c>
      <c r="AG160" s="19" t="n"/>
      <c r="AH160" s="19" t="n"/>
      <c r="AI160" s="19" t="n"/>
      <c r="AJ160" s="19" t="n"/>
      <c r="AK160" s="19" t="n"/>
      <c r="AL160" s="19" t="n"/>
      <c r="AM160" s="16" t="inlineStr">
        <is>
          <t>2 Tische – abgebildet ist einer davon.</t>
        </is>
      </c>
      <c r="AN160" s="22" t="n"/>
    </row>
    <row r="161" ht="30" customHeight="1">
      <c r="A161" s="15" t="inlineStr">
        <is>
          <t>NU02-08</t>
        </is>
      </c>
      <c r="B161" s="15" t="n"/>
      <c r="C161" s="15" t="n"/>
      <c r="D161" s="15" t="inlineStr">
        <is>
          <t>NU02</t>
        </is>
      </c>
      <c r="E161" s="15" t="inlineStr">
        <is>
          <t>Ohrensessel klein, creme</t>
        </is>
      </c>
      <c r="F161" s="16" t="inlineStr">
        <is>
          <t>Kleiner Ohrensessel mit cremefarbenem Bouclé-Bezug und schwarz lackierten, geschwungenen Holzbeinen. Niedrige Sitzhöhe.</t>
        </is>
      </c>
      <c r="G161" s="15" t="inlineStr">
        <is>
          <t>Möbel</t>
        </is>
      </c>
      <c r="H161" s="15" t="inlineStr">
        <is>
          <t>Gruppenraum 5</t>
        </is>
      </c>
      <c r="I161" s="15" t="inlineStr">
        <is>
          <t>B</t>
        </is>
      </c>
      <c r="J161" s="17" t="n">
        <v>1</v>
      </c>
      <c r="K161" s="17" t="n"/>
      <c r="L161" s="18">
        <f>J161-IF(K161="",0,K161)</f>
        <v/>
      </c>
      <c r="M161" s="15" t="inlineStr">
        <is>
          <t>Stück</t>
        </is>
      </c>
      <c r="N161" s="15" t="inlineStr">
        <is>
          <t>gebraucht</t>
        </is>
      </c>
      <c r="O161" s="19" t="n"/>
      <c r="P161" s="19" t="inlineStr">
        <is>
          <t>ja</t>
        </is>
      </c>
      <c r="Q161" s="19" t="n"/>
      <c r="R161" s="20" t="n"/>
      <c r="S161" s="20" t="n">
        <v>50</v>
      </c>
      <c r="T161" s="19" t="inlineStr">
        <is>
          <t>VHB</t>
        </is>
      </c>
      <c r="U161" s="21">
        <f>L161*S161</f>
        <v/>
      </c>
      <c r="V161" s="15" t="inlineStr">
        <is>
          <t>nur Abholung</t>
        </is>
      </c>
      <c r="W161" s="15" t="inlineStr">
        <is>
          <t>F-148</t>
        </is>
      </c>
      <c r="X161" s="19" t="inlineStr">
        <is>
          <t>ja</t>
        </is>
      </c>
      <c r="Y161" s="19" t="n"/>
      <c r="Z161" s="19" t="inlineStr">
        <is>
          <t>verfügbar</t>
        </is>
      </c>
      <c r="AA161" s="19" t="n"/>
      <c r="AB161" s="19" t="n"/>
      <c r="AC161" s="19" t="n"/>
      <c r="AD161" s="19" t="n"/>
      <c r="AE161" s="20" t="n"/>
      <c r="AF161" s="21">
        <f>IF(K161="","",K161*AE161)</f>
        <v/>
      </c>
      <c r="AG161" s="19" t="n"/>
      <c r="AH161" s="19" t="n"/>
      <c r="AI161" s="19" t="n"/>
      <c r="AJ161" s="19" t="n"/>
      <c r="AK161" s="19" t="n"/>
      <c r="AL161" s="19" t="n"/>
      <c r="AM161" s="16" t="inlineStr">
        <is>
          <t>1 Sessel.</t>
        </is>
      </c>
      <c r="AN161" s="22" t="n"/>
    </row>
    <row r="162" ht="30" customHeight="1">
      <c r="A162" s="15" t="inlineStr">
        <is>
          <t>NU02-09</t>
        </is>
      </c>
      <c r="B162" s="15" t="n"/>
      <c r="C162" s="15" t="n"/>
      <c r="D162" s="15" t="inlineStr">
        <is>
          <t>NU02</t>
        </is>
      </c>
      <c r="E162" s="15" t="inlineStr">
        <is>
          <t>Spieltisch Kiefer mit weißen Einlagen</t>
        </is>
      </c>
      <c r="F162" s="16" t="inlineStr">
        <is>
          <t>Quadratischer Tisch: Rahmen und Beine aus Kiefer massiv, zwei weiße Einlegeplatten in der Tischfläche mit Griffloch. Kanten und Platten mit Gebrauchsspuren.</t>
        </is>
      </c>
      <c r="G162" s="15" t="inlineStr">
        <is>
          <t>Kita-Ausstattung</t>
        </is>
      </c>
      <c r="H162" s="15" t="inlineStr">
        <is>
          <t>Gruppenraum 5</t>
        </is>
      </c>
      <c r="I162" s="15" t="inlineStr">
        <is>
          <t>B</t>
        </is>
      </c>
      <c r="J162" s="17" t="n">
        <v>1</v>
      </c>
      <c r="K162" s="17" t="n"/>
      <c r="L162" s="18">
        <f>J162-IF(K162="",0,K162)</f>
        <v/>
      </c>
      <c r="M162" s="15" t="inlineStr">
        <is>
          <t>Stück</t>
        </is>
      </c>
      <c r="N162" s="15" t="inlineStr">
        <is>
          <t>gebraucht</t>
        </is>
      </c>
      <c r="O162" s="19" t="n"/>
      <c r="P162" s="19" t="inlineStr">
        <is>
          <t>ja</t>
        </is>
      </c>
      <c r="Q162" s="19" t="n"/>
      <c r="R162" s="20" t="n"/>
      <c r="S162" s="20" t="n">
        <v>45</v>
      </c>
      <c r="T162" s="19" t="inlineStr">
        <is>
          <t>VHB</t>
        </is>
      </c>
      <c r="U162" s="21">
        <f>L162*S162</f>
        <v/>
      </c>
      <c r="V162" s="15" t="inlineStr">
        <is>
          <t>nur Abholung</t>
        </is>
      </c>
      <c r="W162" s="15" t="inlineStr">
        <is>
          <t>F-149</t>
        </is>
      </c>
      <c r="X162" s="19" t="inlineStr">
        <is>
          <t>ja</t>
        </is>
      </c>
      <c r="Y162" s="19" t="n"/>
      <c r="Z162" s="19" t="inlineStr">
        <is>
          <t>verfügbar</t>
        </is>
      </c>
      <c r="AA162" s="19" t="n"/>
      <c r="AB162" s="19" t="n"/>
      <c r="AC162" s="19" t="n"/>
      <c r="AD162" s="19" t="n"/>
      <c r="AE162" s="20" t="n"/>
      <c r="AF162" s="21">
        <f>IF(K162="","",K162*AE162)</f>
        <v/>
      </c>
      <c r="AG162" s="19" t="n"/>
      <c r="AH162" s="19" t="n"/>
      <c r="AI162" s="19" t="n"/>
      <c r="AJ162" s="19" t="n"/>
      <c r="AK162" s="19" t="n"/>
      <c r="AL162" s="19" t="n"/>
      <c r="AM162" s="16" t="inlineStr">
        <is>
          <t>1 Tisch.</t>
        </is>
      </c>
      <c r="AN162" s="22" t="n"/>
    </row>
    <row r="163" ht="30" customHeight="1">
      <c r="A163" s="15" t="inlineStr">
        <is>
          <t>NU02-11</t>
        </is>
      </c>
      <c r="B163" s="15" t="n"/>
      <c r="C163" s="15" t="n"/>
      <c r="D163" s="15" t="inlineStr">
        <is>
          <t>NU02</t>
        </is>
      </c>
      <c r="E163" s="15" t="inlineStr">
        <is>
          <t>Tisch weiß mit grauer Platte</t>
        </is>
      </c>
      <c r="F163" s="16" t="inlineStr">
        <is>
          <t>Tisch mit weißen Seitenwangen und dunkelgrauer Platte, auf Gleitern. Schlichte Bauweise, als Arbeits- oder Basteltisch genutzt.</t>
        </is>
      </c>
      <c r="G163" s="15" t="inlineStr">
        <is>
          <t>Möbel</t>
        </is>
      </c>
      <c r="H163" s="15" t="inlineStr">
        <is>
          <t>Gruppenraum 5</t>
        </is>
      </c>
      <c r="I163" s="15" t="inlineStr">
        <is>
          <t>B</t>
        </is>
      </c>
      <c r="J163" s="17" t="n">
        <v>1</v>
      </c>
      <c r="K163" s="17" t="n"/>
      <c r="L163" s="18">
        <f>J163-IF(K163="",0,K163)</f>
        <v/>
      </c>
      <c r="M163" s="15" t="inlineStr">
        <is>
          <t>Stück</t>
        </is>
      </c>
      <c r="N163" s="15" t="inlineStr">
        <is>
          <t>gebraucht</t>
        </is>
      </c>
      <c r="O163" s="19" t="n"/>
      <c r="P163" s="19" t="inlineStr">
        <is>
          <t>ja</t>
        </is>
      </c>
      <c r="Q163" s="19" t="n"/>
      <c r="R163" s="20" t="n"/>
      <c r="S163" s="20" t="n">
        <v>60</v>
      </c>
      <c r="T163" s="19" t="inlineStr">
        <is>
          <t>VHB</t>
        </is>
      </c>
      <c r="U163" s="21">
        <f>L163*S163</f>
        <v/>
      </c>
      <c r="V163" s="15" t="inlineStr">
        <is>
          <t>nur Abholung</t>
        </is>
      </c>
      <c r="W163" s="15" t="inlineStr">
        <is>
          <t>F-153</t>
        </is>
      </c>
      <c r="X163" s="19" t="inlineStr">
        <is>
          <t>ja</t>
        </is>
      </c>
      <c r="Y163" s="19" t="n"/>
      <c r="Z163" s="19" t="inlineStr">
        <is>
          <t>verfügbar</t>
        </is>
      </c>
      <c r="AA163" s="19" t="n"/>
      <c r="AB163" s="19" t="n"/>
      <c r="AC163" s="19" t="n"/>
      <c r="AD163" s="19" t="n"/>
      <c r="AE163" s="20" t="n"/>
      <c r="AF163" s="21">
        <f>IF(K163="","",K163*AE163)</f>
        <v/>
      </c>
      <c r="AG163" s="19" t="n"/>
      <c r="AH163" s="19" t="n"/>
      <c r="AI163" s="19" t="n"/>
      <c r="AJ163" s="19" t="n"/>
      <c r="AK163" s="19" t="n"/>
      <c r="AL163" s="19" t="n"/>
      <c r="AM163" s="16" t="inlineStr">
        <is>
          <t>1 Tisch.</t>
        </is>
      </c>
      <c r="AN163" s="22" t="n"/>
    </row>
    <row r="164" ht="30" customHeight="1">
      <c r="A164" s="15" t="inlineStr">
        <is>
          <t>NU02-12</t>
        </is>
      </c>
      <c r="B164" s="15" t="n"/>
      <c r="C164" s="15" t="n"/>
      <c r="D164" s="15" t="inlineStr">
        <is>
          <t>NU02</t>
        </is>
      </c>
      <c r="E164" s="15" t="inlineStr">
        <is>
          <t>Pinolino Kindersitzgruppe rund, Holz</t>
        </is>
      </c>
      <c r="F164" s="16" t="inlineStr">
        <is>
          <t>Runder Kindertisch mit vier angebauten, geschwungenen Sitzbänken, Nadelholz. Von Pinolino. Stand im Freien und ist vergraut, Holz sonst fest.</t>
        </is>
      </c>
      <c r="G164" s="15" t="inlineStr">
        <is>
          <t>Kita-Ausstattung</t>
        </is>
      </c>
      <c r="H164" s="15" t="inlineStr">
        <is>
          <t>Gruppenraum 5</t>
        </is>
      </c>
      <c r="I164" s="15" t="inlineStr">
        <is>
          <t>B</t>
        </is>
      </c>
      <c r="J164" s="17" t="n">
        <v>1</v>
      </c>
      <c r="K164" s="17" t="n"/>
      <c r="L164" s="18">
        <f>J164-IF(K164="",0,K164)</f>
        <v/>
      </c>
      <c r="M164" s="15" t="inlineStr">
        <is>
          <t>Stück</t>
        </is>
      </c>
      <c r="N164" s="15" t="inlineStr">
        <is>
          <t>gebraucht</t>
        </is>
      </c>
      <c r="O164" s="19" t="n"/>
      <c r="P164" s="19" t="inlineStr">
        <is>
          <t>ja</t>
        </is>
      </c>
      <c r="Q164" s="19" t="n"/>
      <c r="R164" s="20" t="n"/>
      <c r="S164" s="20" t="n">
        <v>75</v>
      </c>
      <c r="T164" s="19" t="inlineStr">
        <is>
          <t>VHB</t>
        </is>
      </c>
      <c r="U164" s="21">
        <f>L164*S164</f>
        <v/>
      </c>
      <c r="V164" s="15" t="inlineStr">
        <is>
          <t>nur Abholung</t>
        </is>
      </c>
      <c r="W164" s="15" t="inlineStr">
        <is>
          <t>F-154</t>
        </is>
      </c>
      <c r="X164" s="19" t="inlineStr">
        <is>
          <t>ja</t>
        </is>
      </c>
      <c r="Y164" s="19" t="n"/>
      <c r="Z164" s="19" t="inlineStr">
        <is>
          <t>verfügbar</t>
        </is>
      </c>
      <c r="AA164" s="19" t="inlineStr">
        <is>
          <t>Pinolino</t>
        </is>
      </c>
      <c r="AB164" s="19" t="n"/>
      <c r="AC164" s="19" t="n"/>
      <c r="AD164" s="19" t="n"/>
      <c r="AE164" s="20" t="n"/>
      <c r="AF164" s="21">
        <f>IF(K164="","",K164*AE164)</f>
        <v/>
      </c>
      <c r="AG164" s="19" t="n"/>
      <c r="AH164" s="19" t="n"/>
      <c r="AI164" s="19" t="n"/>
      <c r="AJ164" s="19" t="n"/>
      <c r="AK164" s="19" t="n"/>
      <c r="AL164" s="19" t="n"/>
      <c r="AM164" s="16" t="inlineStr">
        <is>
          <t>1 Sitzgruppe, Tisch und Bänke fest verbunden.</t>
        </is>
      </c>
      <c r="AN164" s="22" t="n"/>
    </row>
    <row r="165" ht="30" customHeight="1">
      <c r="A165" s="15" t="inlineStr">
        <is>
          <t>NU02-13</t>
        </is>
      </c>
      <c r="B165" s="15" t="n"/>
      <c r="C165" s="15" t="n"/>
      <c r="D165" s="15" t="inlineStr">
        <is>
          <t>NU02</t>
        </is>
      </c>
      <c r="E165" s="15" t="inlineStr">
        <is>
          <t>IKEA Mammut Kindertisch mit vier Stühlen</t>
        </is>
      </c>
      <c r="F165" s="16" t="inlineStr">
        <is>
          <t>Kindertisch und vier Kinderstühle aus weißem Kunststoff, IKEA Mammut. Stand im Freien, Oberflächen verschmutzt und stumpf.</t>
        </is>
      </c>
      <c r="G165" s="15" t="inlineStr">
        <is>
          <t>Kita-Ausstattung</t>
        </is>
      </c>
      <c r="H165" s="15" t="inlineStr">
        <is>
          <t>Gruppenraum 5</t>
        </is>
      </c>
      <c r="I165" s="15" t="inlineStr">
        <is>
          <t>B</t>
        </is>
      </c>
      <c r="J165" s="17" t="n">
        <v>1</v>
      </c>
      <c r="K165" s="17" t="n"/>
      <c r="L165" s="18">
        <f>J165-IF(K165="",0,K165)</f>
        <v/>
      </c>
      <c r="M165" s="15" t="inlineStr">
        <is>
          <t>Set</t>
        </is>
      </c>
      <c r="N165" s="15" t="inlineStr">
        <is>
          <t>stark gebraucht</t>
        </is>
      </c>
      <c r="O165" s="19" t="n"/>
      <c r="P165" s="19" t="inlineStr">
        <is>
          <t>ja</t>
        </is>
      </c>
      <c r="Q165" s="19" t="n"/>
      <c r="R165" s="20" t="n"/>
      <c r="S165" s="20" t="n">
        <v>35</v>
      </c>
      <c r="T165" s="19" t="inlineStr">
        <is>
          <t>VHB</t>
        </is>
      </c>
      <c r="U165" s="21">
        <f>L165*S165</f>
        <v/>
      </c>
      <c r="V165" s="15" t="inlineStr">
        <is>
          <t>nur Abholung</t>
        </is>
      </c>
      <c r="W165" s="15" t="inlineStr">
        <is>
          <t>F-157</t>
        </is>
      </c>
      <c r="X165" s="19" t="inlineStr">
        <is>
          <t>ja</t>
        </is>
      </c>
      <c r="Y165" s="19" t="n"/>
      <c r="Z165" s="19" t="inlineStr">
        <is>
          <t>verfügbar</t>
        </is>
      </c>
      <c r="AA165" s="19" t="inlineStr">
        <is>
          <t>IKEA</t>
        </is>
      </c>
      <c r="AB165" s="19" t="n"/>
      <c r="AC165" s="19" t="n"/>
      <c r="AD165" s="19" t="n"/>
      <c r="AE165" s="20" t="n"/>
      <c r="AF165" s="21">
        <f>IF(K165="","",K165*AE165)</f>
        <v/>
      </c>
      <c r="AG165" s="19" t="n"/>
      <c r="AH165" s="19" t="n"/>
      <c r="AI165" s="19" t="n"/>
      <c r="AJ165" s="19" t="n"/>
      <c r="AK165" s="19" t="n"/>
      <c r="AL165" s="19" t="n"/>
      <c r="AM165" s="16" t="inlineStr">
        <is>
          <t>1 Set aus einem Tisch und vier Stühlen.</t>
        </is>
      </c>
      <c r="AN165" s="22" t="n"/>
    </row>
    <row r="166" ht="30" customHeight="1">
      <c r="A166" s="15" t="inlineStr">
        <is>
          <t>NU02-14</t>
        </is>
      </c>
      <c r="B166" s="15" t="n"/>
      <c r="C166" s="15" t="n"/>
      <c r="D166" s="15" t="inlineStr">
        <is>
          <t>NU02</t>
        </is>
      </c>
      <c r="E166" s="15" t="inlineStr">
        <is>
          <t>IKEA Mammut Kinderstuhl, verschiedene Farben</t>
        </is>
      </c>
      <c r="F166" s="16" t="inlineStr">
        <is>
          <t>Kinderstuhl aus Kunststoff, IKEA Mammut, in verschiedenen Farben. Stand im Freien, Farben deutlich ausgeblichen.</t>
        </is>
      </c>
      <c r="G166" s="15" t="inlineStr">
        <is>
          <t>Kita-Ausstattung</t>
        </is>
      </c>
      <c r="H166" s="15" t="inlineStr">
        <is>
          <t>Gruppenraum 5</t>
        </is>
      </c>
      <c r="I166" s="15" t="inlineStr">
        <is>
          <t>C</t>
        </is>
      </c>
      <c r="J166" s="17" t="n">
        <v>3</v>
      </c>
      <c r="K166" s="17" t="n"/>
      <c r="L166" s="18">
        <f>J166-IF(K166="",0,K166)</f>
        <v/>
      </c>
      <c r="M166" s="15" t="inlineStr">
        <is>
          <t>Stück</t>
        </is>
      </c>
      <c r="N166" s="15" t="inlineStr">
        <is>
          <t>stark gebraucht</t>
        </is>
      </c>
      <c r="O166" s="19" t="n"/>
      <c r="P166" s="19" t="inlineStr">
        <is>
          <t>ja</t>
        </is>
      </c>
      <c r="Q166" s="19" t="n"/>
      <c r="R166" s="20" t="n"/>
      <c r="S166" s="20" t="n">
        <v>6</v>
      </c>
      <c r="T166" s="19" t="inlineStr">
        <is>
          <t>VHB</t>
        </is>
      </c>
      <c r="U166" s="21">
        <f>L166*S166</f>
        <v/>
      </c>
      <c r="V166" s="15" t="inlineStr">
        <is>
          <t>nur Abholung</t>
        </is>
      </c>
      <c r="W166" s="15" t="inlineStr">
        <is>
          <t>F-158</t>
        </is>
      </c>
      <c r="X166" s="19" t="inlineStr">
        <is>
          <t>ja</t>
        </is>
      </c>
      <c r="Y166" s="19" t="n"/>
      <c r="Z166" s="19" t="inlineStr">
        <is>
          <t>verfügbar</t>
        </is>
      </c>
      <c r="AA166" s="19" t="inlineStr">
        <is>
          <t>IKEA</t>
        </is>
      </c>
      <c r="AB166" s="19" t="n"/>
      <c r="AC166" s="19" t="n"/>
      <c r="AD166" s="19" t="n"/>
      <c r="AE166" s="20" t="n"/>
      <c r="AF166" s="21">
        <f>IF(K166="","",K166*AE166)</f>
        <v/>
      </c>
      <c r="AG166" s="19" t="n"/>
      <c r="AH166" s="19" t="n"/>
      <c r="AI166" s="19" t="n"/>
      <c r="AJ166" s="19" t="n"/>
      <c r="AK166" s="19" t="n"/>
      <c r="AL166" s="19" t="n"/>
      <c r="AM166" s="16" t="inlineStr">
        <is>
          <t>Bisher erfasst: zwei rosa und einer grün. Es gibt sie in weiteren Farben, auch in den Außenanlagen – Stückzahl wird am Ende des Rundgangs zusammengezählt.</t>
        </is>
      </c>
      <c r="AN166" s="22" t="inlineStr">
        <is>
          <t>OFFEN: Stueckzahl und Farben unvollstaendig. Die Nutzerin liefert die restlichen Fotos am Ende des Rundgangs nach; dann wird diese Position auf die Gesamtzahl gebracht und die Post-it-Nummern der anderen Raeume kommen in Weitere_ArtNr.</t>
        </is>
      </c>
    </row>
    <row r="167" ht="30" customHeight="1">
      <c r="A167" s="15" t="inlineStr">
        <is>
          <t>NU02-15</t>
        </is>
      </c>
      <c r="B167" s="15" t="n"/>
      <c r="C167" s="15" t="n"/>
      <c r="D167" s="15" t="inlineStr">
        <is>
          <t>NU02</t>
        </is>
      </c>
      <c r="E167" s="15" t="inlineStr">
        <is>
          <t>Ablagetisch Bambus mit Wanne</t>
        </is>
      </c>
      <c r="F167" s="16" t="inlineStr">
        <is>
          <t>Schmales Gestell aus Bambus mit Lattenboden und aufgelegter weißer Wanne. Im Haus als Aufbewahrung und Servierwagen genutzt.</t>
        </is>
      </c>
      <c r="G167" s="15" t="inlineStr">
        <is>
          <t>Möbel</t>
        </is>
      </c>
      <c r="H167" s="15" t="inlineStr">
        <is>
          <t>Gruppenraum 5</t>
        </is>
      </c>
      <c r="I167" s="15" t="inlineStr">
        <is>
          <t>B</t>
        </is>
      </c>
      <c r="J167" s="17" t="n">
        <v>1</v>
      </c>
      <c r="K167" s="17" t="n"/>
      <c r="L167" s="18">
        <f>J167-IF(K167="",0,K167)</f>
        <v/>
      </c>
      <c r="M167" s="15" t="inlineStr">
        <is>
          <t>Stück</t>
        </is>
      </c>
      <c r="N167" s="15" t="inlineStr">
        <is>
          <t>gebraucht</t>
        </is>
      </c>
      <c r="O167" s="19" t="n"/>
      <c r="P167" s="19" t="inlineStr">
        <is>
          <t>ja</t>
        </is>
      </c>
      <c r="Q167" s="19" t="n"/>
      <c r="R167" s="20" t="n"/>
      <c r="S167" s="20" t="n">
        <v>30</v>
      </c>
      <c r="T167" s="19" t="inlineStr">
        <is>
          <t>VHB</t>
        </is>
      </c>
      <c r="U167" s="21">
        <f>L167*S167</f>
        <v/>
      </c>
      <c r="V167" s="15" t="inlineStr">
        <is>
          <t>nur Abholung</t>
        </is>
      </c>
      <c r="W167" s="15" t="inlineStr">
        <is>
          <t>F-160</t>
        </is>
      </c>
      <c r="X167" s="19" t="inlineStr">
        <is>
          <t>ja</t>
        </is>
      </c>
      <c r="Y167" s="19" t="n"/>
      <c r="Z167" s="19" t="inlineStr">
        <is>
          <t>verfügbar</t>
        </is>
      </c>
      <c r="AA167" s="19" t="n"/>
      <c r="AB167" s="19" t="n"/>
      <c r="AC167" s="19" t="n"/>
      <c r="AD167" s="19" t="n"/>
      <c r="AE167" s="20" t="n"/>
      <c r="AF167" s="21">
        <f>IF(K167="","",K167*AE167)</f>
        <v/>
      </c>
      <c r="AG167" s="19" t="n"/>
      <c r="AH167" s="19" t="n"/>
      <c r="AI167" s="19" t="n"/>
      <c r="AJ167" s="19" t="n"/>
      <c r="AK167" s="19" t="n"/>
      <c r="AL167" s="19" t="n"/>
      <c r="AM167" s="16" t="inlineStr">
        <is>
          <t>1 Stück.</t>
        </is>
      </c>
      <c r="AN167" s="22" t="n"/>
    </row>
    <row r="168" ht="30" customHeight="1">
      <c r="A168" s="15" t="inlineStr">
        <is>
          <t>NU02-16</t>
        </is>
      </c>
      <c r="B168" s="15" t="n"/>
      <c r="C168" s="15" t="n"/>
      <c r="D168" s="15" t="inlineStr">
        <is>
          <t>NU02</t>
        </is>
      </c>
      <c r="E168" s="15" t="inlineStr">
        <is>
          <t>Wandregal beige, lang</t>
        </is>
      </c>
      <c r="F168" s="16" t="inlineStr">
        <is>
          <t>Langes Wandregal mit hoher Rückkante, beige beschichtet.</t>
        </is>
      </c>
      <c r="G168" s="15" t="inlineStr">
        <is>
          <t>Möbel</t>
        </is>
      </c>
      <c r="H168" s="15" t="inlineStr">
        <is>
          <t>Gruppenraum 5</t>
        </is>
      </c>
      <c r="I168" s="15" t="inlineStr">
        <is>
          <t>C</t>
        </is>
      </c>
      <c r="J168" s="17" t="n">
        <v>3</v>
      </c>
      <c r="K168" s="17" t="n"/>
      <c r="L168" s="18">
        <f>J168-IF(K168="",0,K168)</f>
        <v/>
      </c>
      <c r="M168" s="15" t="inlineStr">
        <is>
          <t>Stück</t>
        </is>
      </c>
      <c r="N168" s="15" t="inlineStr">
        <is>
          <t>gebraucht</t>
        </is>
      </c>
      <c r="O168" s="19" t="n"/>
      <c r="P168" s="19" t="inlineStr">
        <is>
          <t>ja</t>
        </is>
      </c>
      <c r="Q168" s="19" t="n"/>
      <c r="R168" s="20" t="n"/>
      <c r="S168" s="20" t="n">
        <v>15</v>
      </c>
      <c r="T168" s="19" t="inlineStr">
        <is>
          <t>VHB</t>
        </is>
      </c>
      <c r="U168" s="21">
        <f>L168*S168</f>
        <v/>
      </c>
      <c r="V168" s="15" t="inlineStr">
        <is>
          <t>nur Abholung</t>
        </is>
      </c>
      <c r="W168" s="15" t="inlineStr">
        <is>
          <t>F-161</t>
        </is>
      </c>
      <c r="X168" s="19" t="inlineStr">
        <is>
          <t>ja</t>
        </is>
      </c>
      <c r="Y168" s="19" t="n"/>
      <c r="Z168" s="19" t="inlineStr">
        <is>
          <t>verfügbar</t>
        </is>
      </c>
      <c r="AA168" s="19" t="n"/>
      <c r="AB168" s="19" t="n"/>
      <c r="AC168" s="19" t="n"/>
      <c r="AD168" s="19" t="n"/>
      <c r="AE168" s="20" t="n"/>
      <c r="AF168" s="21">
        <f>IF(K168="","",K168*AE168)</f>
        <v/>
      </c>
      <c r="AG168" s="19" t="n"/>
      <c r="AH168" s="19" t="n"/>
      <c r="AI168" s="19" t="n"/>
      <c r="AJ168" s="19" t="n"/>
      <c r="AK168" s="19" t="n"/>
      <c r="AL168" s="19" t="n"/>
      <c r="AM168" s="16" t="inlineStr">
        <is>
          <t>3 Regale – abgebildet sind alle drei übereinander.</t>
        </is>
      </c>
      <c r="AN168" s="22" t="n"/>
    </row>
    <row r="169" ht="30" customHeight="1">
      <c r="A169" s="15" t="inlineStr">
        <is>
          <t>NU02-17</t>
        </is>
      </c>
      <c r="B169" s="15" t="n"/>
      <c r="C169" s="15" t="n"/>
      <c r="D169" s="15" t="inlineStr">
        <is>
          <t>NU02</t>
        </is>
      </c>
      <c r="E169" s="15" t="inlineStr">
        <is>
          <t>Wandregal weiß, kurz</t>
        </is>
      </c>
      <c r="F169" s="16" t="inlineStr">
        <is>
          <t>Kurzes Wandregal mit Rückkante, weiß beschichtet, sichtbar verschraubt.</t>
        </is>
      </c>
      <c r="G169" s="15" t="inlineStr">
        <is>
          <t>Möbel</t>
        </is>
      </c>
      <c r="H169" s="15" t="inlineStr">
        <is>
          <t>Gruppenraum 5</t>
        </is>
      </c>
      <c r="I169" s="15" t="inlineStr">
        <is>
          <t>C</t>
        </is>
      </c>
      <c r="J169" s="17" t="n">
        <v>2</v>
      </c>
      <c r="K169" s="17" t="n"/>
      <c r="L169" s="18">
        <f>J169-IF(K169="",0,K169)</f>
        <v/>
      </c>
      <c r="M169" s="15" t="inlineStr">
        <is>
          <t>Stück</t>
        </is>
      </c>
      <c r="N169" s="15" t="inlineStr">
        <is>
          <t>gebraucht</t>
        </is>
      </c>
      <c r="O169" s="19" t="n"/>
      <c r="P169" s="19" t="inlineStr">
        <is>
          <t>ja</t>
        </is>
      </c>
      <c r="Q169" s="19" t="n"/>
      <c r="R169" s="20" t="n"/>
      <c r="S169" s="20" t="n">
        <v>10</v>
      </c>
      <c r="T169" s="19" t="inlineStr">
        <is>
          <t>VHB</t>
        </is>
      </c>
      <c r="U169" s="21">
        <f>L169*S169</f>
        <v/>
      </c>
      <c r="V169" s="15" t="inlineStr">
        <is>
          <t>nur Abholung</t>
        </is>
      </c>
      <c r="W169" s="15" t="inlineStr">
        <is>
          <t>F-162</t>
        </is>
      </c>
      <c r="X169" s="19" t="inlineStr">
        <is>
          <t>ja</t>
        </is>
      </c>
      <c r="Y169" s="19" t="n"/>
      <c r="Z169" s="19" t="inlineStr">
        <is>
          <t>verfügbar</t>
        </is>
      </c>
      <c r="AA169" s="19" t="n"/>
      <c r="AB169" s="19" t="n"/>
      <c r="AC169" s="19" t="n"/>
      <c r="AD169" s="19" t="n"/>
      <c r="AE169" s="20" t="n"/>
      <c r="AF169" s="21">
        <f>IF(K169="","",K169*AE169)</f>
        <v/>
      </c>
      <c r="AG169" s="19" t="n"/>
      <c r="AH169" s="19" t="n"/>
      <c r="AI169" s="19" t="n"/>
      <c r="AJ169" s="19" t="n"/>
      <c r="AK169" s="19" t="n"/>
      <c r="AL169" s="19" t="n"/>
      <c r="AM169" s="16" t="inlineStr">
        <is>
          <t>2 Regale – abgebildet sind beide.</t>
        </is>
      </c>
      <c r="AN169" s="22" t="n"/>
    </row>
    <row r="170" ht="30" customHeight="1">
      <c r="A170" s="15" t="inlineStr">
        <is>
          <t>NU02-18</t>
        </is>
      </c>
      <c r="B170" s="15" t="n"/>
      <c r="C170" s="15" t="n"/>
      <c r="D170" s="15" t="inlineStr">
        <is>
          <t>NU02</t>
        </is>
      </c>
      <c r="E170" s="15" t="inlineStr">
        <is>
          <t>Vitra Eames Elephant, große Ausführung</t>
        </is>
      </c>
      <c r="F170" s="16" t="inlineStr">
        <is>
          <t>Eames Elephant von Vitra, Entwurf Charles und Ray Eames 1945: Sitz- und Spieltier in Elefantenform aus Kunststoff, große Ausführung. An der Flanke ein rundes Metallplättchen mit der Prägung "Design: Charles &amp; Ray Eames, 1945 – © Eames Office – www.vitra.com – Elephant". Ein weißes und zwei schwarze Exemplare, alle mit Gebrauchsspuren und Kratzern.</t>
        </is>
      </c>
      <c r="G170" s="15" t="inlineStr">
        <is>
          <t>Deko</t>
        </is>
      </c>
      <c r="H170" s="15" t="inlineStr">
        <is>
          <t>Gruppenraum 5</t>
        </is>
      </c>
      <c r="I170" s="15" t="inlineStr">
        <is>
          <t>A</t>
        </is>
      </c>
      <c r="J170" s="17" t="n">
        <v>3</v>
      </c>
      <c r="K170" s="17" t="n"/>
      <c r="L170" s="18">
        <f>J170-IF(K170="",0,K170)</f>
        <v/>
      </c>
      <c r="M170" s="15" t="inlineStr">
        <is>
          <t>Stück</t>
        </is>
      </c>
      <c r="N170" s="15" t="inlineStr">
        <is>
          <t>gebraucht</t>
        </is>
      </c>
      <c r="O170" s="19" t="n"/>
      <c r="P170" s="19" t="inlineStr">
        <is>
          <t>ja</t>
        </is>
      </c>
      <c r="Q170" s="19" t="n"/>
      <c r="R170" s="20" t="n"/>
      <c r="S170" s="20" t="n">
        <v>220</v>
      </c>
      <c r="T170" s="19" t="inlineStr">
        <is>
          <t>VHB</t>
        </is>
      </c>
      <c r="U170" s="21">
        <f>L170*S170</f>
        <v/>
      </c>
      <c r="V170" s="15" t="inlineStr">
        <is>
          <t>nur Abholung</t>
        </is>
      </c>
      <c r="W170" s="15" t="inlineStr">
        <is>
          <t>F-163</t>
        </is>
      </c>
      <c r="X170" s="19" t="inlineStr">
        <is>
          <t>ja</t>
        </is>
      </c>
      <c r="Y170" s="19" t="n"/>
      <c r="Z170" s="19" t="inlineStr">
        <is>
          <t>verfügbar</t>
        </is>
      </c>
      <c r="AA170" s="19" t="inlineStr">
        <is>
          <t>Vitra</t>
        </is>
      </c>
      <c r="AB170" s="19" t="n"/>
      <c r="AC170" s="19" t="n"/>
      <c r="AD170" s="19" t="n"/>
      <c r="AE170" s="20" t="n"/>
      <c r="AF170" s="21">
        <f>IF(K170="","",K170*AE170)</f>
        <v/>
      </c>
      <c r="AG170" s="19" t="n"/>
      <c r="AH170" s="19" t="n"/>
      <c r="AI170" s="19" t="n"/>
      <c r="AJ170" s="19" t="n"/>
      <c r="AK170" s="19" t="n"/>
      <c r="AL170" s="19" t="n"/>
      <c r="AM170" s="16" t="inlineStr">
        <is>
          <t>3 Elefanten in der großen Ausführung: 1 in Weiß und 2 in Schwarz. Das Plättchen am schwarzen Exemplar ist auf Foto F-486 zu sehen, das am weißen auf Foto F-488. Die kleine Ausführung steht unter NU02-25.</t>
        </is>
      </c>
      <c r="AN170" s="22" t="n"/>
    </row>
    <row r="171" ht="30" customHeight="1">
      <c r="A171" s="15" t="inlineStr">
        <is>
          <t>NU02-19</t>
        </is>
      </c>
      <c r="B171" s="15" t="n"/>
      <c r="C171" s="15" t="n"/>
      <c r="D171" s="15" t="inlineStr">
        <is>
          <t>NU02</t>
        </is>
      </c>
      <c r="E171" s="15" t="inlineStr">
        <is>
          <t>Schrank weiß, zwei Türen</t>
        </is>
      </c>
      <c r="F171" s="16" t="inlineStr">
        <is>
          <t>Hoher Schrank in Weiß mit zwei Türen und schwarzen Griffmulden, beschriftet.</t>
        </is>
      </c>
      <c r="G171" s="15" t="inlineStr">
        <is>
          <t>Möbel</t>
        </is>
      </c>
      <c r="H171" s="15" t="inlineStr">
        <is>
          <t>Gruppenraum 5</t>
        </is>
      </c>
      <c r="I171" s="15" t="inlineStr">
        <is>
          <t>B</t>
        </is>
      </c>
      <c r="J171" s="17" t="n">
        <v>1</v>
      </c>
      <c r="K171" s="17" t="n"/>
      <c r="L171" s="18">
        <f>J171-IF(K171="",0,K171)</f>
        <v/>
      </c>
      <c r="M171" s="15" t="inlineStr">
        <is>
          <t>Stück</t>
        </is>
      </c>
      <c r="N171" s="15" t="inlineStr">
        <is>
          <t>gebraucht</t>
        </is>
      </c>
      <c r="O171" s="19" t="n"/>
      <c r="P171" s="19" t="inlineStr">
        <is>
          <t>ja</t>
        </is>
      </c>
      <c r="Q171" s="19" t="n"/>
      <c r="R171" s="20" t="n"/>
      <c r="S171" s="20" t="n">
        <v>70</v>
      </c>
      <c r="T171" s="19" t="inlineStr">
        <is>
          <t>VHB</t>
        </is>
      </c>
      <c r="U171" s="21">
        <f>L171*S171</f>
        <v/>
      </c>
      <c r="V171" s="15" t="inlineStr">
        <is>
          <t>nur Abholung</t>
        </is>
      </c>
      <c r="W171" s="15" t="inlineStr">
        <is>
          <t>F-165</t>
        </is>
      </c>
      <c r="X171" s="19" t="inlineStr">
        <is>
          <t>ja</t>
        </is>
      </c>
      <c r="Y171" s="19" t="n"/>
      <c r="Z171" s="19" t="inlineStr">
        <is>
          <t>verfügbar</t>
        </is>
      </c>
      <c r="AA171" s="19" t="n"/>
      <c r="AB171" s="19" t="n"/>
      <c r="AC171" s="19" t="n"/>
      <c r="AD171" s="19" t="n"/>
      <c r="AE171" s="20" t="n"/>
      <c r="AF171" s="21">
        <f>IF(K171="","",K171*AE171)</f>
        <v/>
      </c>
      <c r="AG171" s="19" t="n"/>
      <c r="AH171" s="19" t="n"/>
      <c r="AI171" s="19" t="n"/>
      <c r="AJ171" s="19" t="n"/>
      <c r="AK171" s="19" t="n"/>
      <c r="AL171" s="19" t="n"/>
      <c r="AM171" s="16" t="inlineStr">
        <is>
          <t>1 Schrank. Foto F-167 zeigt ihn neben NU02-20, das gibt die Größe.</t>
        </is>
      </c>
      <c r="AN171" s="22" t="n"/>
    </row>
    <row r="172" ht="30" customHeight="1">
      <c r="A172" s="15" t="inlineStr">
        <is>
          <t>NU02-20</t>
        </is>
      </c>
      <c r="B172" s="15" t="n"/>
      <c r="C172" s="15" t="n"/>
      <c r="D172" s="15" t="inlineStr">
        <is>
          <t>NU02</t>
        </is>
      </c>
      <c r="E172" s="15" t="inlineStr">
        <is>
          <t>Schrank weiß mit zwei Schubladen</t>
        </is>
      </c>
      <c r="F172" s="16" t="inlineStr">
        <is>
          <t>Schrank in Weiß mit zwei Türen oben und zwei großen Schubladen mit ovalen Griffmulden darunter, beschriftet.</t>
        </is>
      </c>
      <c r="G172" s="15" t="inlineStr">
        <is>
          <t>Möbel</t>
        </is>
      </c>
      <c r="H172" s="15" t="inlineStr">
        <is>
          <t>Gruppenraum 5</t>
        </is>
      </c>
      <c r="I172" s="15" t="inlineStr">
        <is>
          <t>B</t>
        </is>
      </c>
      <c r="J172" s="17" t="n">
        <v>1</v>
      </c>
      <c r="K172" s="17" t="n"/>
      <c r="L172" s="18">
        <f>J172-IF(K172="",0,K172)</f>
        <v/>
      </c>
      <c r="M172" s="15" t="inlineStr">
        <is>
          <t>Stück</t>
        </is>
      </c>
      <c r="N172" s="15" t="inlineStr">
        <is>
          <t>gebraucht</t>
        </is>
      </c>
      <c r="O172" s="19" t="n"/>
      <c r="P172" s="19" t="inlineStr">
        <is>
          <t>ja</t>
        </is>
      </c>
      <c r="Q172" s="19" t="n"/>
      <c r="R172" s="20" t="n"/>
      <c r="S172" s="20" t="n">
        <v>90</v>
      </c>
      <c r="T172" s="19" t="inlineStr">
        <is>
          <t>VHB</t>
        </is>
      </c>
      <c r="U172" s="21">
        <f>L172*S172</f>
        <v/>
      </c>
      <c r="V172" s="15" t="inlineStr">
        <is>
          <t>nur Abholung</t>
        </is>
      </c>
      <c r="W172" s="15" t="inlineStr">
        <is>
          <t>F-166</t>
        </is>
      </c>
      <c r="X172" s="19" t="inlineStr">
        <is>
          <t>ja</t>
        </is>
      </c>
      <c r="Y172" s="19" t="n"/>
      <c r="Z172" s="19" t="inlineStr">
        <is>
          <t>verfügbar</t>
        </is>
      </c>
      <c r="AA172" s="19" t="n"/>
      <c r="AB172" s="19" t="n"/>
      <c r="AC172" s="19" t="n"/>
      <c r="AD172" s="19" t="n"/>
      <c r="AE172" s="20" t="n"/>
      <c r="AF172" s="21">
        <f>IF(K172="","",K172*AE172)</f>
        <v/>
      </c>
      <c r="AG172" s="19" t="n"/>
      <c r="AH172" s="19" t="n"/>
      <c r="AI172" s="19" t="n"/>
      <c r="AJ172" s="19" t="n"/>
      <c r="AK172" s="19" t="n"/>
      <c r="AL172" s="19" t="n"/>
      <c r="AM172" s="16" t="inlineStr">
        <is>
          <t>1 Schrank. Foto F-167 zeigt ihn neben NU02-19, das gibt die Größe.</t>
        </is>
      </c>
      <c r="AN172" s="22" t="n"/>
    </row>
    <row r="173" ht="30" customHeight="1">
      <c r="A173" s="15" t="inlineStr">
        <is>
          <t>NU02-21</t>
        </is>
      </c>
      <c r="B173" s="15" t="n"/>
      <c r="C173" s="15" t="n"/>
      <c r="D173" s="15" t="inlineStr">
        <is>
          <t>NU02</t>
        </is>
      </c>
      <c r="E173" s="15" t="inlineStr">
        <is>
          <t>Regal weiß, hoch, drei Fächer</t>
        </is>
      </c>
      <c r="F173" s="16" t="inlineStr">
        <is>
          <t>Hohes offenes Regal in Weiß mit drei Fächern und verstellbaren Böden. Die Rückwand ist auf Höhe des mittleren Bodens ausgebrochen.</t>
        </is>
      </c>
      <c r="G173" s="15" t="inlineStr">
        <is>
          <t>Möbel</t>
        </is>
      </c>
      <c r="H173" s="15" t="inlineStr">
        <is>
          <t>Gruppenraum 5</t>
        </is>
      </c>
      <c r="I173" s="15" t="inlineStr">
        <is>
          <t>C</t>
        </is>
      </c>
      <c r="J173" s="17" t="n">
        <v>1</v>
      </c>
      <c r="K173" s="17" t="n"/>
      <c r="L173" s="18">
        <f>J173-IF(K173="",0,K173)</f>
        <v/>
      </c>
      <c r="M173" s="15" t="inlineStr">
        <is>
          <t>Stück</t>
        </is>
      </c>
      <c r="N173" s="15" t="inlineStr">
        <is>
          <t>stark gebraucht</t>
        </is>
      </c>
      <c r="O173" s="19" t="n"/>
      <c r="P173" s="19" t="inlineStr">
        <is>
          <t>ja</t>
        </is>
      </c>
      <c r="Q173" s="19" t="n"/>
      <c r="R173" s="20" t="n"/>
      <c r="S173" s="20" t="n">
        <v>25</v>
      </c>
      <c r="T173" s="19" t="inlineStr">
        <is>
          <t>VHB</t>
        </is>
      </c>
      <c r="U173" s="21">
        <f>L173*S173</f>
        <v/>
      </c>
      <c r="V173" s="15" t="inlineStr">
        <is>
          <t>nur Abholung</t>
        </is>
      </c>
      <c r="W173" s="15" t="inlineStr">
        <is>
          <t>F-168</t>
        </is>
      </c>
      <c r="X173" s="19" t="inlineStr">
        <is>
          <t>ja</t>
        </is>
      </c>
      <c r="Y173" s="19" t="n"/>
      <c r="Z173" s="19" t="inlineStr">
        <is>
          <t>verfügbar</t>
        </is>
      </c>
      <c r="AA173" s="19" t="n"/>
      <c r="AB173" s="19" t="n"/>
      <c r="AC173" s="19" t="n"/>
      <c r="AD173" s="19" t="n"/>
      <c r="AE173" s="20" t="n"/>
      <c r="AF173" s="21">
        <f>IF(K173="","",K173*AE173)</f>
        <v/>
      </c>
      <c r="AG173" s="19" t="n"/>
      <c r="AH173" s="19" t="n"/>
      <c r="AI173" s="19" t="n"/>
      <c r="AJ173" s="19" t="n"/>
      <c r="AK173" s="19" t="n"/>
      <c r="AL173" s="19" t="n"/>
      <c r="AM173" s="16" t="inlineStr">
        <is>
          <t>1 Regal. Der Inhalt gehört nicht dazu.</t>
        </is>
      </c>
      <c r="AN173" s="22" t="n"/>
    </row>
    <row r="174" ht="30" customHeight="1">
      <c r="A174" s="15" t="inlineStr">
        <is>
          <t>NU02-22</t>
        </is>
      </c>
      <c r="B174" s="15" t="n"/>
      <c r="C174" s="15" t="n"/>
      <c r="D174" s="15" t="inlineStr">
        <is>
          <t>NU02</t>
        </is>
      </c>
      <c r="E174" s="15" t="inlineStr">
        <is>
          <t>Acrylbild schwarz-weiß, abstrakt</t>
        </is>
      </c>
      <c r="F174" s="16" t="inlineStr">
        <is>
          <t>Acryl auf Leinwand, abstrakte schwarz-weiße Komposition mit breitem Pinselzug und Farbspritzern. Eigenarbeit einer Privatperson, nicht signiert.</t>
        </is>
      </c>
      <c r="G174" s="15" t="inlineStr">
        <is>
          <t>Kunst</t>
        </is>
      </c>
      <c r="H174" s="15" t="inlineStr">
        <is>
          <t>Gruppenraum 5</t>
        </is>
      </c>
      <c r="I174" s="15" t="inlineStr">
        <is>
          <t>B</t>
        </is>
      </c>
      <c r="J174" s="17" t="n">
        <v>3</v>
      </c>
      <c r="K174" s="17" t="n"/>
      <c r="L174" s="18">
        <f>J174-IF(K174="",0,K174)</f>
        <v/>
      </c>
      <c r="M174" s="15" t="inlineStr">
        <is>
          <t>Stück</t>
        </is>
      </c>
      <c r="N174" s="15" t="inlineStr">
        <is>
          <t>gut</t>
        </is>
      </c>
      <c r="O174" s="19" t="n"/>
      <c r="P174" s="19" t="inlineStr">
        <is>
          <t>ja</t>
        </is>
      </c>
      <c r="Q174" s="19" t="n"/>
      <c r="R174" s="20" t="n"/>
      <c r="S174" s="20" t="n">
        <v>80</v>
      </c>
      <c r="T174" s="19" t="inlineStr">
        <is>
          <t>VHB</t>
        </is>
      </c>
      <c r="U174" s="21">
        <f>L174*S174</f>
        <v/>
      </c>
      <c r="V174" s="15" t="inlineStr">
        <is>
          <t>Versand möglich</t>
        </is>
      </c>
      <c r="W174" s="15" t="inlineStr">
        <is>
          <t>F-169</t>
        </is>
      </c>
      <c r="X174" s="19" t="inlineStr">
        <is>
          <t>ja</t>
        </is>
      </c>
      <c r="Y174" s="19" t="n"/>
      <c r="Z174" s="19" t="inlineStr">
        <is>
          <t>verfügbar</t>
        </is>
      </c>
      <c r="AA174" s="19" t="n"/>
      <c r="AB174" s="19" t="n"/>
      <c r="AC174" s="19" t="n"/>
      <c r="AD174" s="19" t="n"/>
      <c r="AE174" s="20" t="n"/>
      <c r="AF174" s="21">
        <f>IF(K174="","",K174*AE174)</f>
        <v/>
      </c>
      <c r="AG174" s="19" t="n"/>
      <c r="AH174" s="19" t="n"/>
      <c r="AI174" s="19" t="n"/>
      <c r="AJ174" s="19" t="n"/>
      <c r="AK174" s="19" t="n"/>
      <c r="AL174" s="19" t="n"/>
      <c r="AM174" s="16" t="inlineStr">
        <is>
          <t>3 Bilder in unterschiedlichen Formaten: ein großes quadratisches (abgebildet) und zwei kleinere im Querformat, siehe Foto F-170.</t>
        </is>
      </c>
      <c r="AN174" s="22" t="n"/>
    </row>
    <row r="175" ht="30" customHeight="1">
      <c r="A175" s="15" t="inlineStr">
        <is>
          <t>NU02-23</t>
        </is>
      </c>
      <c r="B175" s="15" t="n"/>
      <c r="C175" s="15" t="n"/>
      <c r="D175" s="15" t="inlineStr">
        <is>
          <t>NU02</t>
        </is>
      </c>
      <c r="E175" s="15" t="inlineStr">
        <is>
          <t>Kindertisch weiß aus vier Segmenten</t>
        </is>
      </c>
      <c r="F175" s="16" t="inlineStr">
        <is>
          <t>Vier trapezförmige Tischsegmente mit weißer Platte, Multiplex-Kante und verchromten Rundfüßen in Kinderhöhe. Zusammengestellt ergeben sie einen großen Gruppentisch, einzeln sind sie frei kombinierbar.</t>
        </is>
      </c>
      <c r="G175" s="15" t="inlineStr">
        <is>
          <t>Möbel</t>
        </is>
      </c>
      <c r="H175" s="15" t="inlineStr">
        <is>
          <t>Gruppenraum 5</t>
        </is>
      </c>
      <c r="I175" s="15" t="inlineStr">
        <is>
          <t>A</t>
        </is>
      </c>
      <c r="J175" s="17" t="n">
        <v>1</v>
      </c>
      <c r="K175" s="17" t="n"/>
      <c r="L175" s="18">
        <f>J175-IF(K175="",0,K175)</f>
        <v/>
      </c>
      <c r="M175" s="15" t="inlineStr">
        <is>
          <t>Set</t>
        </is>
      </c>
      <c r="N175" s="15" t="inlineStr">
        <is>
          <t>gebraucht</t>
        </is>
      </c>
      <c r="O175" s="19" t="n"/>
      <c r="P175" s="19" t="inlineStr">
        <is>
          <t>ja</t>
        </is>
      </c>
      <c r="Q175" s="19" t="n"/>
      <c r="R175" s="20" t="n"/>
      <c r="S175" s="20" t="n">
        <v>160</v>
      </c>
      <c r="T175" s="19" t="inlineStr">
        <is>
          <t>VHB</t>
        </is>
      </c>
      <c r="U175" s="21">
        <f>L175*S175</f>
        <v/>
      </c>
      <c r="V175" s="15" t="inlineStr">
        <is>
          <t>nur Abholung</t>
        </is>
      </c>
      <c r="W175" s="15" t="inlineStr">
        <is>
          <t>F-171</t>
        </is>
      </c>
      <c r="X175" s="19" t="inlineStr">
        <is>
          <t>ja</t>
        </is>
      </c>
      <c r="Y175" s="19" t="n"/>
      <c r="Z175" s="19" t="inlineStr">
        <is>
          <t>verfügbar</t>
        </is>
      </c>
      <c r="AA175" s="19" t="n"/>
      <c r="AB175" s="19" t="n"/>
      <c r="AC175" s="19" t="n"/>
      <c r="AD175" s="19" t="n"/>
      <c r="AE175" s="20" t="n"/>
      <c r="AF175" s="21">
        <f>IF(K175="","",K175*AE175)</f>
        <v/>
      </c>
      <c r="AG175" s="19" t="n"/>
      <c r="AH175" s="19" t="n"/>
      <c r="AI175" s="19" t="n"/>
      <c r="AJ175" s="19" t="n"/>
      <c r="AK175" s="19" t="n"/>
      <c r="AL175" s="19" t="n"/>
      <c r="AM175" s="16" t="inlineStr">
        <is>
          <t>1 Tischgruppe aus vier Segmenten.</t>
        </is>
      </c>
      <c r="AN175" s="22" t="n"/>
    </row>
    <row r="176" ht="30" customHeight="1">
      <c r="A176" s="15" t="inlineStr">
        <is>
          <t>NU02-24</t>
        </is>
      </c>
      <c r="B176" s="15" t="n"/>
      <c r="C176" s="15" t="n"/>
      <c r="D176" s="15" t="inlineStr">
        <is>
          <t>NU02</t>
        </is>
      </c>
      <c r="E176" s="15" t="inlineStr">
        <is>
          <t>Regal weiß, niedrig, drei Fächer</t>
        </is>
      </c>
      <c r="F176" s="16" t="inlineStr">
        <is>
          <t>Niedriges offenes Regal in Weiß mit grauem Boden auf Rundfüßen aus Metall, drei Fächer.</t>
        </is>
      </c>
      <c r="G176" s="15" t="inlineStr">
        <is>
          <t>Möbel</t>
        </is>
      </c>
      <c r="H176" s="15" t="inlineStr">
        <is>
          <t>Gruppenraum 5</t>
        </is>
      </c>
      <c r="I176" s="15" t="inlineStr">
        <is>
          <t>B</t>
        </is>
      </c>
      <c r="J176" s="17" t="n">
        <v>1</v>
      </c>
      <c r="K176" s="17" t="n"/>
      <c r="L176" s="18">
        <f>J176-IF(K176="",0,K176)</f>
        <v/>
      </c>
      <c r="M176" s="15" t="inlineStr">
        <is>
          <t>Stück</t>
        </is>
      </c>
      <c r="N176" s="15" t="inlineStr">
        <is>
          <t>gebraucht</t>
        </is>
      </c>
      <c r="O176" s="19" t="n"/>
      <c r="P176" s="19" t="inlineStr">
        <is>
          <t>ja</t>
        </is>
      </c>
      <c r="Q176" s="19" t="n"/>
      <c r="R176" s="20" t="n"/>
      <c r="S176" s="20" t="n">
        <v>35</v>
      </c>
      <c r="T176" s="19" t="inlineStr">
        <is>
          <t>VHB</t>
        </is>
      </c>
      <c r="U176" s="21">
        <f>L176*S176</f>
        <v/>
      </c>
      <c r="V176" s="15" t="inlineStr">
        <is>
          <t>nur Abholung</t>
        </is>
      </c>
      <c r="W176" s="15" t="inlineStr">
        <is>
          <t>F-172</t>
        </is>
      </c>
      <c r="X176" s="19" t="inlineStr">
        <is>
          <t>ja</t>
        </is>
      </c>
      <c r="Y176" s="19" t="n"/>
      <c r="Z176" s="19" t="inlineStr">
        <is>
          <t>verfügbar</t>
        </is>
      </c>
      <c r="AA176" s="19" t="n"/>
      <c r="AB176" s="19" t="n"/>
      <c r="AC176" s="19" t="n"/>
      <c r="AD176" s="19" t="n"/>
      <c r="AE176" s="20" t="n"/>
      <c r="AF176" s="21">
        <f>IF(K176="","",K176*AE176)</f>
        <v/>
      </c>
      <c r="AG176" s="19" t="n"/>
      <c r="AH176" s="19" t="n"/>
      <c r="AI176" s="19" t="n"/>
      <c r="AJ176" s="19" t="n"/>
      <c r="AK176" s="19" t="n"/>
      <c r="AL176" s="19" t="n"/>
      <c r="AM176" s="16" t="inlineStr">
        <is>
          <t>1 Regal. Der Inhalt (Stiftebecher, Farbkästen, Pinsel) gehört nicht dazu.</t>
        </is>
      </c>
      <c r="AN176" s="22" t="n"/>
    </row>
    <row r="177" ht="30" customHeight="1">
      <c r="A177" s="15" t="inlineStr">
        <is>
          <t>NU03-02</t>
        </is>
      </c>
      <c r="B177" s="15" t="n"/>
      <c r="C177" s="15" t="inlineStr">
        <is>
          <t>NE03-02, NE04-01</t>
        </is>
      </c>
      <c r="D177" s="15" t="inlineStr">
        <is>
          <t>NU03</t>
        </is>
      </c>
      <c r="E177" s="15" t="inlineStr">
        <is>
          <t>Stockbett weiß mit Absturzsicherung</t>
        </is>
      </c>
      <c r="F177" s="16" t="inlineStr">
        <is>
          <t>Etagenbett in Weiß mit sichtbaren Multiplex-Kanten, abgerundeten Ausschnitten und durchgehender Absturzsicherung oben. Solide Bauweise aus dem Kita-Betrieb. Die Matratzen können auf Wunsch mitgenommen werden.</t>
        </is>
      </c>
      <c r="G177" s="15" t="inlineStr">
        <is>
          <t>Kita-Ausstattung</t>
        </is>
      </c>
      <c r="H177" s="15" t="inlineStr">
        <is>
          <t>Schlafraum 4</t>
        </is>
      </c>
      <c r="I177" s="15" t="inlineStr">
        <is>
          <t>A</t>
        </is>
      </c>
      <c r="J177" s="17" t="n">
        <v>16</v>
      </c>
      <c r="K177" s="17" t="n"/>
      <c r="L177" s="18">
        <f>J177-IF(K177="",0,K177)</f>
        <v/>
      </c>
      <c r="M177" s="15" t="inlineStr">
        <is>
          <t>Stück</t>
        </is>
      </c>
      <c r="N177" s="15" t="inlineStr">
        <is>
          <t>gut</t>
        </is>
      </c>
      <c r="O177" s="19" t="n"/>
      <c r="P177" s="19" t="inlineStr">
        <is>
          <t>ja</t>
        </is>
      </c>
      <c r="Q177" s="19" t="n"/>
      <c r="R177" s="20" t="n"/>
      <c r="S177" s="20" t="n">
        <v>300</v>
      </c>
      <c r="T177" s="19" t="inlineStr">
        <is>
          <t>VHB</t>
        </is>
      </c>
      <c r="U177" s="21">
        <f>L177*S177</f>
        <v/>
      </c>
      <c r="V177" s="15" t="inlineStr">
        <is>
          <t>nur Abholung</t>
        </is>
      </c>
      <c r="W177" s="15" t="inlineStr">
        <is>
          <t>F-175</t>
        </is>
      </c>
      <c r="X177" s="19" t="inlineStr">
        <is>
          <t>ja</t>
        </is>
      </c>
      <c r="Y177" s="19" t="n"/>
      <c r="Z177" s="19" t="inlineStr">
        <is>
          <t>verfügbar</t>
        </is>
      </c>
      <c r="AA177" s="19" t="n"/>
      <c r="AB177" s="19" t="n"/>
      <c r="AC177" s="19" t="n"/>
      <c r="AD177" s="19" t="n"/>
      <c r="AE177" s="20" t="n"/>
      <c r="AF177" s="21">
        <f>IF(K177="","",K177*AE177)</f>
        <v/>
      </c>
      <c r="AG177" s="19" t="n"/>
      <c r="AH177" s="19" t="n"/>
      <c r="AI177" s="19" t="n"/>
      <c r="AJ177" s="19" t="n"/>
      <c r="AK177" s="19" t="n"/>
      <c r="AL177" s="19" t="n"/>
      <c r="AM177" s="16" t="inlineStr">
        <is>
          <t>16 Betten insgesamt: 4 im Schlafraum 4 (NU03-02), 10 im Schlafraum 2 (NE03-02) und 2 im Schlafraum 3 (NE04-01). Die Matratzen können auf Wunsch mitgenommen werden. Betten mit Aufstiegstreppe sind auf den Fotos F-439 und F-451 zu sehen.</t>
        </is>
      </c>
      <c r="AN177" s="22" t="inlineStr">
        <is>
          <t>Zusammengefasste Position über drei Räume – Post-it-Nummern: NE03-02, NE04-01. Der Rundgang durch die Schlafräume ist damit abgeschlossen.</t>
        </is>
      </c>
    </row>
    <row r="178" ht="30" customHeight="1">
      <c r="A178" s="15" t="inlineStr">
        <is>
          <t>NU03-03</t>
        </is>
      </c>
      <c r="B178" s="15" t="n"/>
      <c r="C178" s="15" t="n"/>
      <c r="D178" s="15" t="inlineStr">
        <is>
          <t>NU03</t>
        </is>
      </c>
      <c r="E178" s="15" t="inlineStr">
        <is>
          <t>Wesco Spielküche, 5 Module</t>
        </is>
      </c>
      <c r="F178" s="16" t="inlineStr">
        <is>
          <t>Spielküche von Wesco aus Birke-Multiplex, fünf Module: Spüle mit Becken, Kochfeld mit Drehknöpfen, Backofen mit Sichtfenster sowie Kühl- und Gefriermodul. Weiße Fronten mit Holzgriffen, die Module stehen frei und sind einzeln aufstellbar.</t>
        </is>
      </c>
      <c r="G178" s="15" t="inlineStr">
        <is>
          <t>Kita-Ausstattung</t>
        </is>
      </c>
      <c r="H178" s="15" t="inlineStr">
        <is>
          <t>Schlafraum 4</t>
        </is>
      </c>
      <c r="I178" s="15" t="inlineStr">
        <is>
          <t>A</t>
        </is>
      </c>
      <c r="J178" s="17" t="n">
        <v>1</v>
      </c>
      <c r="K178" s="17" t="n"/>
      <c r="L178" s="18">
        <f>J178-IF(K178="",0,K178)</f>
        <v/>
      </c>
      <c r="M178" s="15" t="inlineStr">
        <is>
          <t>Set</t>
        </is>
      </c>
      <c r="N178" s="15" t="inlineStr">
        <is>
          <t>gebraucht</t>
        </is>
      </c>
      <c r="O178" s="19" t="n"/>
      <c r="P178" s="19" t="inlineStr">
        <is>
          <t>ja</t>
        </is>
      </c>
      <c r="Q178" s="19" t="n"/>
      <c r="R178" s="20" t="n"/>
      <c r="S178" s="20" t="n">
        <v>650</v>
      </c>
      <c r="T178" s="19" t="inlineStr">
        <is>
          <t>VHB</t>
        </is>
      </c>
      <c r="U178" s="21">
        <f>L178*S178</f>
        <v/>
      </c>
      <c r="V178" s="15" t="inlineStr">
        <is>
          <t>nur Abholung</t>
        </is>
      </c>
      <c r="W178" s="15" t="inlineStr">
        <is>
          <t>F-176</t>
        </is>
      </c>
      <c r="X178" s="19" t="inlineStr">
        <is>
          <t>ja</t>
        </is>
      </c>
      <c r="Y178" s="19" t="n"/>
      <c r="Z178" s="19" t="inlineStr">
        <is>
          <t>verfügbar</t>
        </is>
      </c>
      <c r="AA178" s="19" t="inlineStr">
        <is>
          <t>Wesco</t>
        </is>
      </c>
      <c r="AB178" s="19" t="n"/>
      <c r="AC178" s="19" t="n"/>
      <c r="AD178" s="19" t="n"/>
      <c r="AE178" s="20" t="n"/>
      <c r="AF178" s="21">
        <f>IF(K178="","",K178*AE178)</f>
        <v/>
      </c>
      <c r="AG178" s="19" t="n"/>
      <c r="AH178" s="19" t="n"/>
      <c r="AI178" s="19" t="n"/>
      <c r="AJ178" s="19" t="n"/>
      <c r="AK178" s="19" t="n"/>
      <c r="AL178" s="19" t="n"/>
      <c r="AM178" s="16" t="inlineStr">
        <is>
          <t>1 Küche aus 5 Modulen, vom Haus bestätigt. Eine zweite, anders zusammengesetzte Wesco-Küche steht unter NU07-03.</t>
        </is>
      </c>
      <c r="AN178" s="22" t="inlineStr">
        <is>
          <t>Wesco ist institutionelle Qualitaet, neu kostet ein Modul 300-600 EUR. Nach dem Vitra Alcove die wertvollste Position.</t>
        </is>
      </c>
    </row>
    <row r="179" ht="30" customHeight="1">
      <c r="A179" s="15" t="inlineStr">
        <is>
          <t>NU03-04</t>
        </is>
      </c>
      <c r="B179" s="15" t="n"/>
      <c r="C179" s="15" t="n"/>
      <c r="D179" s="15" t="inlineStr">
        <is>
          <t>NU03</t>
        </is>
      </c>
      <c r="E179" s="15" t="inlineStr">
        <is>
          <t>Wesco Bügelbrett und Wäscheständer, Kindergröße</t>
        </is>
      </c>
      <c r="F179" s="16" t="inlineStr">
        <is>
          <t>Kinder-Bügelbrett von Wesco aus Birke-Multiplex mit gelbem Aufdruck, klappbar, sowie ein passender Wäscheständer aus Holz mit Schnüren.</t>
        </is>
      </c>
      <c r="G179" s="15" t="inlineStr">
        <is>
          <t>Kita-Ausstattung</t>
        </is>
      </c>
      <c r="H179" s="15" t="inlineStr">
        <is>
          <t>Schlafraum 4</t>
        </is>
      </c>
      <c r="I179" s="15" t="inlineStr">
        <is>
          <t>B</t>
        </is>
      </c>
      <c r="J179" s="17" t="n">
        <v>2</v>
      </c>
      <c r="K179" s="17" t="n"/>
      <c r="L179" s="18">
        <f>J179-IF(K179="",0,K179)</f>
        <v/>
      </c>
      <c r="M179" s="15" t="inlineStr">
        <is>
          <t>Stück</t>
        </is>
      </c>
      <c r="N179" s="15" t="inlineStr">
        <is>
          <t>gebraucht</t>
        </is>
      </c>
      <c r="O179" s="19" t="n"/>
      <c r="P179" s="19" t="inlineStr">
        <is>
          <t>ja</t>
        </is>
      </c>
      <c r="Q179" s="19" t="n"/>
      <c r="R179" s="20" t="n"/>
      <c r="S179" s="20" t="n">
        <v>35</v>
      </c>
      <c r="T179" s="19" t="inlineStr">
        <is>
          <t>VHB</t>
        </is>
      </c>
      <c r="U179" s="21">
        <f>L179*S179</f>
        <v/>
      </c>
      <c r="V179" s="15" t="inlineStr">
        <is>
          <t>nur Abholung</t>
        </is>
      </c>
      <c r="W179" s="15" t="inlineStr">
        <is>
          <t>F-177</t>
        </is>
      </c>
      <c r="X179" s="19" t="inlineStr">
        <is>
          <t>ja</t>
        </is>
      </c>
      <c r="Y179" s="19" t="n"/>
      <c r="Z179" s="19" t="inlineStr">
        <is>
          <t>verfügbar</t>
        </is>
      </c>
      <c r="AA179" s="19" t="inlineStr">
        <is>
          <t>Wesco</t>
        </is>
      </c>
      <c r="AB179" s="19" t="n"/>
      <c r="AC179" s="19" t="n"/>
      <c r="AD179" s="19" t="n"/>
      <c r="AE179" s="20" t="n"/>
      <c r="AF179" s="21">
        <f>IF(K179="","",K179*AE179)</f>
        <v/>
      </c>
      <c r="AG179" s="19" t="n"/>
      <c r="AH179" s="19" t="n"/>
      <c r="AI179" s="19" t="n"/>
      <c r="AJ179" s="19" t="n"/>
      <c r="AK179" s="19" t="n"/>
      <c r="AL179" s="19" t="n"/>
      <c r="AM179" s="16" t="inlineStr">
        <is>
          <t>2 Teile: ein Bügelbrett und ein Wäscheständer, beide auf Foto F-178 zu sehen.</t>
        </is>
      </c>
      <c r="AN179" s="22" t="n"/>
    </row>
    <row r="180" ht="30" customHeight="1">
      <c r="A180" s="15" t="inlineStr">
        <is>
          <t>NU03-05</t>
        </is>
      </c>
      <c r="B180" s="15" t="n"/>
      <c r="C180" s="15" t="n"/>
      <c r="D180" s="15" t="inlineStr">
        <is>
          <t>NU03</t>
        </is>
      </c>
      <c r="E180" s="15" t="inlineStr">
        <is>
          <t>Flumi Kindersessel, beige Bouclé</t>
        </is>
      </c>
      <c r="F180" s="16" t="inlineStr">
        <is>
          <t>Kindersessel von Flumi, beigefarbener Bouclé-Bezug, runde Form mit zwei kleinen Ohren an der Lehne. Markenetikett an der Vorderseite.</t>
        </is>
      </c>
      <c r="G180" s="15" t="inlineStr">
        <is>
          <t>Kita-Ausstattung</t>
        </is>
      </c>
      <c r="H180" s="15" t="inlineStr">
        <is>
          <t>Schlafraum 4</t>
        </is>
      </c>
      <c r="I180" s="15" t="inlineStr">
        <is>
          <t>B</t>
        </is>
      </c>
      <c r="J180" s="17" t="n">
        <v>1</v>
      </c>
      <c r="K180" s="17" t="n"/>
      <c r="L180" s="18">
        <f>J180-IF(K180="",0,K180)</f>
        <v/>
      </c>
      <c r="M180" s="15" t="inlineStr">
        <is>
          <t>Stück</t>
        </is>
      </c>
      <c r="N180" s="15" t="inlineStr">
        <is>
          <t>gebraucht</t>
        </is>
      </c>
      <c r="O180" s="19" t="n"/>
      <c r="P180" s="19" t="inlineStr">
        <is>
          <t>ja</t>
        </is>
      </c>
      <c r="Q180" s="19" t="n"/>
      <c r="R180" s="20" t="n"/>
      <c r="S180" s="20" t="n">
        <v>60</v>
      </c>
      <c r="T180" s="19" t="inlineStr">
        <is>
          <t>VHB</t>
        </is>
      </c>
      <c r="U180" s="21">
        <f>L180*S180</f>
        <v/>
      </c>
      <c r="V180" s="15" t="inlineStr">
        <is>
          <t>nur Abholung</t>
        </is>
      </c>
      <c r="W180" s="15" t="inlineStr">
        <is>
          <t>F-179</t>
        </is>
      </c>
      <c r="X180" s="19" t="inlineStr">
        <is>
          <t>ja</t>
        </is>
      </c>
      <c r="Y180" s="19" t="n"/>
      <c r="Z180" s="19" t="inlineStr">
        <is>
          <t>verfügbar</t>
        </is>
      </c>
      <c r="AA180" s="19" t="inlineStr">
        <is>
          <t>Flumi</t>
        </is>
      </c>
      <c r="AB180" s="19" t="n"/>
      <c r="AC180" s="19" t="n"/>
      <c r="AD180" s="19" t="n"/>
      <c r="AE180" s="20" t="n"/>
      <c r="AF180" s="21">
        <f>IF(K180="","",K180*AE180)</f>
        <v/>
      </c>
      <c r="AG180" s="19" t="n"/>
      <c r="AH180" s="19" t="n"/>
      <c r="AI180" s="19" t="n"/>
      <c r="AJ180" s="19" t="n"/>
      <c r="AK180" s="19" t="n"/>
      <c r="AL180" s="19" t="n"/>
      <c r="AM180" s="16" t="inlineStr">
        <is>
          <t>1 Sessel.</t>
        </is>
      </c>
      <c r="AN180" s="22" t="n"/>
    </row>
    <row r="181" ht="30" customHeight="1">
      <c r="A181" s="15" t="inlineStr">
        <is>
          <t>NU03-06</t>
        </is>
      </c>
      <c r="B181" s="15" t="n"/>
      <c r="C181" s="15" t="n"/>
      <c r="D181" s="15" t="inlineStr">
        <is>
          <t>NU03</t>
        </is>
      </c>
      <c r="E181" s="15" t="inlineStr">
        <is>
          <t>Wandregal Kiefer mit Fächern</t>
        </is>
      </c>
      <c r="F181" s="16" t="inlineStr">
        <is>
          <t>Wandregal aus Kiefer massiv mit eingenuteten Trennbrettern, drei Fächer.</t>
        </is>
      </c>
      <c r="G181" s="15" t="inlineStr">
        <is>
          <t>Kita-Ausstattung</t>
        </is>
      </c>
      <c r="H181" s="15" t="inlineStr">
        <is>
          <t>Schlafraum 4</t>
        </is>
      </c>
      <c r="I181" s="15" t="inlineStr">
        <is>
          <t>B</t>
        </is>
      </c>
      <c r="J181" s="17" t="n">
        <v>2</v>
      </c>
      <c r="K181" s="17" t="n"/>
      <c r="L181" s="18">
        <f>J181-IF(K181="",0,K181)</f>
        <v/>
      </c>
      <c r="M181" s="15" t="inlineStr">
        <is>
          <t>Stück</t>
        </is>
      </c>
      <c r="N181" s="15" t="inlineStr">
        <is>
          <t>gebraucht</t>
        </is>
      </c>
      <c r="O181" s="19" t="n"/>
      <c r="P181" s="19" t="inlineStr">
        <is>
          <t>ja</t>
        </is>
      </c>
      <c r="Q181" s="19" t="n"/>
      <c r="R181" s="20" t="n"/>
      <c r="S181" s="20" t="n">
        <v>35</v>
      </c>
      <c r="T181" s="19" t="inlineStr">
        <is>
          <t>VHB</t>
        </is>
      </c>
      <c r="U181" s="21">
        <f>L181*S181</f>
        <v/>
      </c>
      <c r="V181" s="15" t="inlineStr">
        <is>
          <t>nur Abholung</t>
        </is>
      </c>
      <c r="W181" s="15" t="inlineStr">
        <is>
          <t>F-180</t>
        </is>
      </c>
      <c r="X181" s="19" t="inlineStr">
        <is>
          <t>ja</t>
        </is>
      </c>
      <c r="Y181" s="19" t="n"/>
      <c r="Z181" s="19" t="inlineStr">
        <is>
          <t>verfügbar</t>
        </is>
      </c>
      <c r="AA181" s="19" t="n"/>
      <c r="AB181" s="19" t="n"/>
      <c r="AC181" s="19" t="n"/>
      <c r="AD181" s="19" t="n"/>
      <c r="AE181" s="20" t="n"/>
      <c r="AF181" s="21">
        <f>IF(K181="","",K181*AE181)</f>
        <v/>
      </c>
      <c r="AG181" s="19" t="n"/>
      <c r="AH181" s="19" t="n"/>
      <c r="AI181" s="19" t="n"/>
      <c r="AJ181" s="19" t="n"/>
      <c r="AK181" s="19" t="n"/>
      <c r="AL181" s="19" t="n"/>
      <c r="AM181" s="16" t="inlineStr">
        <is>
          <t>2 Regale – abgebildet ist eines davon.</t>
        </is>
      </c>
      <c r="AN181" s="22" t="n"/>
    </row>
    <row r="182" ht="30" customHeight="1">
      <c r="A182" s="15" t="inlineStr">
        <is>
          <t>NU03-07</t>
        </is>
      </c>
      <c r="B182" s="15" t="n"/>
      <c r="C182" s="15" t="n"/>
      <c r="D182" s="15" t="inlineStr">
        <is>
          <t>NU03</t>
        </is>
      </c>
      <c r="E182" s="15" t="inlineStr">
        <is>
          <t>Offenes Regal Kiefer, drei Fächer</t>
        </is>
      </c>
      <c r="F182" s="16" t="inlineStr">
        <is>
          <t>Niedriges offenes Regal aus Kiefer massiv mit eingenuteten Trennbrettern, drei Fächer, zum Stellen oder Stapeln.</t>
        </is>
      </c>
      <c r="G182" s="15" t="inlineStr">
        <is>
          <t>Kita-Ausstattung</t>
        </is>
      </c>
      <c r="H182" s="15" t="inlineStr">
        <is>
          <t>Schlafraum 4</t>
        </is>
      </c>
      <c r="I182" s="15" t="inlineStr">
        <is>
          <t>B</t>
        </is>
      </c>
      <c r="J182" s="17" t="n">
        <v>1</v>
      </c>
      <c r="K182" s="17" t="n"/>
      <c r="L182" s="18">
        <f>J182-IF(K182="",0,K182)</f>
        <v/>
      </c>
      <c r="M182" s="15" t="inlineStr">
        <is>
          <t>Stück</t>
        </is>
      </c>
      <c r="N182" s="15" t="inlineStr">
        <is>
          <t>gebraucht</t>
        </is>
      </c>
      <c r="O182" s="19" t="n"/>
      <c r="P182" s="19" t="inlineStr">
        <is>
          <t>ja</t>
        </is>
      </c>
      <c r="Q182" s="19" t="n"/>
      <c r="R182" s="20" t="n"/>
      <c r="S182" s="20" t="n">
        <v>45</v>
      </c>
      <c r="T182" s="19" t="inlineStr">
        <is>
          <t>VHB</t>
        </is>
      </c>
      <c r="U182" s="21">
        <f>L182*S182</f>
        <v/>
      </c>
      <c r="V182" s="15" t="inlineStr">
        <is>
          <t>nur Abholung</t>
        </is>
      </c>
      <c r="W182" s="15" t="inlineStr">
        <is>
          <t>F-181</t>
        </is>
      </c>
      <c r="X182" s="19" t="inlineStr">
        <is>
          <t>ja</t>
        </is>
      </c>
      <c r="Y182" s="19" t="n"/>
      <c r="Z182" s="19" t="inlineStr">
        <is>
          <t>verfügbar</t>
        </is>
      </c>
      <c r="AA182" s="19" t="n"/>
      <c r="AB182" s="19" t="n"/>
      <c r="AC182" s="19" t="n"/>
      <c r="AD182" s="19" t="n"/>
      <c r="AE182" s="20" t="n"/>
      <c r="AF182" s="21">
        <f>IF(K182="","",K182*AE182)</f>
        <v/>
      </c>
      <c r="AG182" s="19" t="n"/>
      <c r="AH182" s="19" t="n"/>
      <c r="AI182" s="19" t="n"/>
      <c r="AJ182" s="19" t="n"/>
      <c r="AK182" s="19" t="n"/>
      <c r="AL182" s="19" t="n"/>
      <c r="AM182" s="16" t="inlineStr">
        <is>
          <t>1 Regal. Der Inhalt gehört nicht dazu.</t>
        </is>
      </c>
      <c r="AN182" s="22" t="n"/>
    </row>
    <row r="183" ht="30" customHeight="1">
      <c r="A183" s="15" t="inlineStr">
        <is>
          <t>NU03-08</t>
        </is>
      </c>
      <c r="B183" s="15" t="n"/>
      <c r="C183" s="15" t="n"/>
      <c r="D183" s="15" t="inlineStr">
        <is>
          <t>NU03</t>
        </is>
      </c>
      <c r="E183" s="15" t="inlineStr">
        <is>
          <t>IKEA Malm Kommode, 3 Schubladen, weiß</t>
        </is>
      </c>
      <c r="F183" s="16" t="inlineStr">
        <is>
          <t>Kommode IKEA Malm in Weiß mit drei Schubladen, griffmuldenlos. Fronten mit Beschriftungsaufklebern, die sich abziehen lassen.</t>
        </is>
      </c>
      <c r="G183" s="15" t="inlineStr">
        <is>
          <t>Möbel</t>
        </is>
      </c>
      <c r="H183" s="15" t="inlineStr">
        <is>
          <t>Schlafraum 4</t>
        </is>
      </c>
      <c r="I183" s="15" t="inlineStr">
        <is>
          <t>B</t>
        </is>
      </c>
      <c r="J183" s="17" t="n">
        <v>2</v>
      </c>
      <c r="K183" s="17" t="n"/>
      <c r="L183" s="18">
        <f>J183-IF(K183="",0,K183)</f>
        <v/>
      </c>
      <c r="M183" s="15" t="inlineStr">
        <is>
          <t>Stück</t>
        </is>
      </c>
      <c r="N183" s="15" t="inlineStr">
        <is>
          <t>gebraucht</t>
        </is>
      </c>
      <c r="O183" s="19" t="n"/>
      <c r="P183" s="19" t="inlineStr">
        <is>
          <t>ja</t>
        </is>
      </c>
      <c r="Q183" s="19" t="n"/>
      <c r="R183" s="20" t="n"/>
      <c r="S183" s="20" t="n">
        <v>50</v>
      </c>
      <c r="T183" s="19" t="inlineStr">
        <is>
          <t>VHB</t>
        </is>
      </c>
      <c r="U183" s="21">
        <f>L183*S183</f>
        <v/>
      </c>
      <c r="V183" s="15" t="inlineStr">
        <is>
          <t>nur Abholung</t>
        </is>
      </c>
      <c r="W183" s="15" t="inlineStr">
        <is>
          <t>F-183</t>
        </is>
      </c>
      <c r="X183" s="19" t="inlineStr">
        <is>
          <t>ja</t>
        </is>
      </c>
      <c r="Y183" s="19" t="n"/>
      <c r="Z183" s="19" t="inlineStr">
        <is>
          <t>verfügbar</t>
        </is>
      </c>
      <c r="AA183" s="19" t="inlineStr">
        <is>
          <t>IKEA</t>
        </is>
      </c>
      <c r="AB183" s="19" t="n"/>
      <c r="AC183" s="19" t="n"/>
      <c r="AD183" s="19" t="n"/>
      <c r="AE183" s="20" t="n"/>
      <c r="AF183" s="21">
        <f>IF(K183="","",K183*AE183)</f>
        <v/>
      </c>
      <c r="AG183" s="19" t="n"/>
      <c r="AH183" s="19" t="n"/>
      <c r="AI183" s="19" t="n"/>
      <c r="AJ183" s="19" t="n"/>
      <c r="AK183" s="19" t="n"/>
      <c r="AL183" s="19" t="n"/>
      <c r="AM183" s="16" t="inlineStr">
        <is>
          <t>2 Kommoden – abgebildet ist eine davon, die zweite steht rechts daneben.</t>
        </is>
      </c>
      <c r="AN183" s="22" t="n"/>
    </row>
    <row r="184" ht="30" customHeight="1">
      <c r="A184" s="15" t="inlineStr">
        <is>
          <t>NU03-09</t>
        </is>
      </c>
      <c r="B184" s="15" t="n"/>
      <c r="C184" s="15" t="n"/>
      <c r="D184" s="15" t="inlineStr">
        <is>
          <t>NU03</t>
        </is>
      </c>
      <c r="E184" s="15" t="inlineStr">
        <is>
          <t>Treppenregal Kiefer mit Wannen</t>
        </is>
      </c>
      <c r="F184" s="16" t="inlineStr">
        <is>
          <t>Stufenförmiges Regal aus Kiefer massiv mit eingehängten Kunststoffwannen, als Raumteiler und Spielzeugaufbewahrung genutzt.</t>
        </is>
      </c>
      <c r="G184" s="15" t="inlineStr">
        <is>
          <t>Kita-Ausstattung</t>
        </is>
      </c>
      <c r="H184" s="15" t="inlineStr">
        <is>
          <t>Schlafraum 4</t>
        </is>
      </c>
      <c r="I184" s="15" t="inlineStr">
        <is>
          <t>B</t>
        </is>
      </c>
      <c r="J184" s="17" t="n">
        <v>2</v>
      </c>
      <c r="K184" s="17" t="n"/>
      <c r="L184" s="18">
        <f>J184-IF(K184="",0,K184)</f>
        <v/>
      </c>
      <c r="M184" s="15" t="inlineStr">
        <is>
          <t>Stück</t>
        </is>
      </c>
      <c r="N184" s="15" t="inlineStr">
        <is>
          <t>gebraucht</t>
        </is>
      </c>
      <c r="O184" s="19" t="n"/>
      <c r="P184" s="19" t="inlineStr">
        <is>
          <t>ja</t>
        </is>
      </c>
      <c r="Q184" s="19" t="n"/>
      <c r="R184" s="20" t="n"/>
      <c r="S184" s="20" t="n">
        <v>60</v>
      </c>
      <c r="T184" s="19" t="inlineStr">
        <is>
          <t>VHB</t>
        </is>
      </c>
      <c r="U184" s="21">
        <f>L184*S184</f>
        <v/>
      </c>
      <c r="V184" s="15" t="inlineStr">
        <is>
          <t>nur Abholung</t>
        </is>
      </c>
      <c r="W184" s="15" t="inlineStr">
        <is>
          <t>F-182</t>
        </is>
      </c>
      <c r="X184" s="19" t="inlineStr">
        <is>
          <t>ja</t>
        </is>
      </c>
      <c r="Y184" s="19" t="n"/>
      <c r="Z184" s="19" t="inlineStr">
        <is>
          <t>verfügbar</t>
        </is>
      </c>
      <c r="AA184" s="19" t="n"/>
      <c r="AB184" s="19" t="n"/>
      <c r="AC184" s="19" t="n"/>
      <c r="AD184" s="19" t="n"/>
      <c r="AE184" s="20" t="n"/>
      <c r="AF184" s="21">
        <f>IF(K184="","",K184*AE184)</f>
        <v/>
      </c>
      <c r="AG184" s="19" t="n"/>
      <c r="AH184" s="19" t="n"/>
      <c r="AI184" s="19" t="n"/>
      <c r="AJ184" s="19" t="n"/>
      <c r="AK184" s="19" t="n"/>
      <c r="AL184" s="19" t="n"/>
      <c r="AM184" s="16" t="inlineStr">
        <is>
          <t>2 Regale einschließlich der eingehängten Wannen – abgebildet ist eines davon. Der Inhalt der Wannen gehört nicht dazu.</t>
        </is>
      </c>
      <c r="AN184" s="22" t="n"/>
    </row>
    <row r="185" ht="30" customHeight="1">
      <c r="A185" s="15" t="inlineStr">
        <is>
          <t>NU03-10</t>
        </is>
      </c>
      <c r="B185" s="15" t="n"/>
      <c r="C185" s="15" t="inlineStr">
        <is>
          <t>BU04-05</t>
        </is>
      </c>
      <c r="D185" s="15" t="inlineStr">
        <is>
          <t>NU03</t>
        </is>
      </c>
      <c r="E185" s="15" t="inlineStr">
        <is>
          <t>IKEA Kinderhochstuhl mit Gurt</t>
        </is>
      </c>
      <c r="F185" s="16" t="inlineStr">
        <is>
          <t>Kinderhochstuhl von IKEA: weiße Kunststoffschale, graue Stahlbeine, Sicherheitsgurt. Ein Teil der Stühle hat ein Esstablett.</t>
        </is>
      </c>
      <c r="G185" s="15" t="inlineStr">
        <is>
          <t>Kita-Ausstattung</t>
        </is>
      </c>
      <c r="H185" s="15" t="inlineStr">
        <is>
          <t>Schlafraum 4</t>
        </is>
      </c>
      <c r="I185" s="15" t="inlineStr">
        <is>
          <t>C</t>
        </is>
      </c>
      <c r="J185" s="17" t="n">
        <v>19</v>
      </c>
      <c r="K185" s="17" t="n"/>
      <c r="L185" s="18">
        <f>J185-IF(K185="",0,K185)</f>
        <v/>
      </c>
      <c r="M185" s="15" t="inlineStr">
        <is>
          <t>Stück</t>
        </is>
      </c>
      <c r="N185" s="15" t="inlineStr">
        <is>
          <t>gebraucht</t>
        </is>
      </c>
      <c r="O185" s="19" t="n"/>
      <c r="P185" s="19" t="inlineStr">
        <is>
          <t>ja</t>
        </is>
      </c>
      <c r="Q185" s="19" t="n"/>
      <c r="R185" s="20" t="n"/>
      <c r="S185" s="20" t="n">
        <v>10</v>
      </c>
      <c r="T185" s="19" t="inlineStr">
        <is>
          <t>VHB</t>
        </is>
      </c>
      <c r="U185" s="21">
        <f>L185*S185</f>
        <v/>
      </c>
      <c r="V185" s="15" t="inlineStr">
        <is>
          <t>nur Abholung</t>
        </is>
      </c>
      <c r="W185" s="15" t="inlineStr">
        <is>
          <t>F-184</t>
        </is>
      </c>
      <c r="X185" s="19" t="inlineStr">
        <is>
          <t>ja</t>
        </is>
      </c>
      <c r="Y185" s="19" t="n"/>
      <c r="Z185" s="19" t="inlineStr">
        <is>
          <t>verfügbar</t>
        </is>
      </c>
      <c r="AA185" s="19" t="inlineStr">
        <is>
          <t>IKEA</t>
        </is>
      </c>
      <c r="AB185" s="19" t="n"/>
      <c r="AC185" s="19" t="n"/>
      <c r="AD185" s="19" t="n"/>
      <c r="AE185" s="20" t="n"/>
      <c r="AF185" s="21">
        <f>IF(K185="","",K185*AE185)</f>
        <v/>
      </c>
      <c r="AG185" s="19" t="n"/>
      <c r="AH185" s="19" t="n"/>
      <c r="AI185" s="19" t="n"/>
      <c r="AJ185" s="19" t="n"/>
      <c r="AK185" s="19" t="n"/>
      <c r="AL185" s="19" t="n"/>
      <c r="AM185" s="16" t="inlineStr">
        <is>
          <t>19 Stühle insgesamt: 9 im Schlafraum 4 (NU03-10, ohne Esstablett) und 10 im Gruppenraum im Untergeschoss (BU04-05, mit Esstablett). Abgebildet ist einer der Stühle ohne Tablett; die gestapelten Stühle mit Tablett sind auf Foto F-396 zu sehen.</t>
        </is>
      </c>
      <c r="AN185" s="22" t="inlineStr">
        <is>
          <t>Zusammengefasste Position über zwei Räume – Post-it-Nummer: BU04-05. Die Nutzerin hat am 24.09.2026 bestaetigt, dass keine weiteren Hochstuehle aus anderen Raeumen dazukommen.</t>
        </is>
      </c>
    </row>
    <row r="186" ht="30" customHeight="1">
      <c r="A186" s="15" t="inlineStr">
        <is>
          <t>NU04-07</t>
        </is>
      </c>
      <c r="B186" s="15" t="n"/>
      <c r="C186" s="15" t="n"/>
      <c r="D186" s="15" t="inlineStr">
        <is>
          <t>NU04</t>
        </is>
      </c>
      <c r="E186" s="15" t="inlineStr">
        <is>
          <t>IKEA Agam Kinderstuhl, schwarz</t>
        </is>
      </c>
      <c r="F186" s="16" t="inlineStr">
        <is>
          <t>Kinderstuhl IKEA Agam aus Massivholz, schwarz lackiert, mit Sprossenlehne. Etikett an der Unterseite: Agam, Herstelldatum 2019. Sitzfläche mit Kratzern.</t>
        </is>
      </c>
      <c r="G186" s="15" t="inlineStr">
        <is>
          <t>Kita-Ausstattung</t>
        </is>
      </c>
      <c r="H186" s="15" t="inlineStr">
        <is>
          <t>Schlafraum 5</t>
        </is>
      </c>
      <c r="I186" s="15" t="inlineStr">
        <is>
          <t>C</t>
        </is>
      </c>
      <c r="J186" s="17" t="n">
        <v>13</v>
      </c>
      <c r="K186" s="17" t="n"/>
      <c r="L186" s="18">
        <f>J186-IF(K186="",0,K186)</f>
        <v/>
      </c>
      <c r="M186" s="15" t="inlineStr">
        <is>
          <t>Stück</t>
        </is>
      </c>
      <c r="N186" s="15" t="inlineStr">
        <is>
          <t>gebraucht</t>
        </is>
      </c>
      <c r="O186" s="19" t="n"/>
      <c r="P186" s="19" t="inlineStr">
        <is>
          <t>ja</t>
        </is>
      </c>
      <c r="Q186" s="19" t="n"/>
      <c r="R186" s="20" t="n"/>
      <c r="S186" s="20" t="n">
        <v>20</v>
      </c>
      <c r="T186" s="19" t="inlineStr">
        <is>
          <t>VHB</t>
        </is>
      </c>
      <c r="U186" s="21">
        <f>L186*S186</f>
        <v/>
      </c>
      <c r="V186" s="15" t="inlineStr">
        <is>
          <t>nur Abholung</t>
        </is>
      </c>
      <c r="W186" s="15" t="inlineStr">
        <is>
          <t>F-188</t>
        </is>
      </c>
      <c r="X186" s="19" t="inlineStr">
        <is>
          <t>ja</t>
        </is>
      </c>
      <c r="Y186" s="19" t="n"/>
      <c r="Z186" s="19" t="inlineStr">
        <is>
          <t>verfügbar</t>
        </is>
      </c>
      <c r="AA186" s="19" t="inlineStr">
        <is>
          <t>IKEA</t>
        </is>
      </c>
      <c r="AB186" s="19" t="n"/>
      <c r="AC186" s="19" t="n"/>
      <c r="AD186" s="19" t="n"/>
      <c r="AE186" s="20" t="n"/>
      <c r="AF186" s="21">
        <f>IF(K186="","",K186*AE186)</f>
        <v/>
      </c>
      <c r="AG186" s="19" t="n"/>
      <c r="AH186" s="19" t="n"/>
      <c r="AI186" s="19" t="n"/>
      <c r="AJ186" s="19" t="n"/>
      <c r="AK186" s="19" t="n"/>
      <c r="AL186" s="19" t="n"/>
      <c r="AM186" s="16" t="inlineStr">
        <is>
          <t>13 Stühle – abgebildet ist einer davon, das Etikett auf Foto F-189.</t>
        </is>
      </c>
      <c r="AN186" s="22" t="n"/>
    </row>
    <row r="187" ht="30" customHeight="1">
      <c r="A187" s="15" t="inlineStr">
        <is>
          <t>NU04-08</t>
        </is>
      </c>
      <c r="B187" s="15" t="n"/>
      <c r="C187" s="15" t="n"/>
      <c r="D187" s="15" t="inlineStr">
        <is>
          <t>NU04</t>
        </is>
      </c>
      <c r="E187" s="15" t="inlineStr">
        <is>
          <t>IKEA Urban Kinderstuhl, Kunststoff</t>
        </is>
      </c>
      <c r="F187" s="16" t="inlineStr">
        <is>
          <t>Kinderstuhl IKEA Urban, Sitzschale aus Kunststoff mit Fußstütze am Gestell. Etikett an der Unterseite: Urban, 001.652.13.</t>
        </is>
      </c>
      <c r="G187" s="15" t="inlineStr">
        <is>
          <t>Kita-Ausstattung</t>
        </is>
      </c>
      <c r="H187" s="15" t="inlineStr">
        <is>
          <t>Schlafraum 5</t>
        </is>
      </c>
      <c r="I187" s="15" t="inlineStr">
        <is>
          <t>C</t>
        </is>
      </c>
      <c r="J187" s="17" t="n">
        <v>7</v>
      </c>
      <c r="K187" s="17" t="n"/>
      <c r="L187" s="18">
        <f>J187-IF(K187="",0,K187)</f>
        <v/>
      </c>
      <c r="M187" s="15" t="inlineStr">
        <is>
          <t>Stück</t>
        </is>
      </c>
      <c r="N187" s="15" t="inlineStr">
        <is>
          <t>gebraucht</t>
        </is>
      </c>
      <c r="O187" s="19" t="n"/>
      <c r="P187" s="19" t="inlineStr">
        <is>
          <t>ja</t>
        </is>
      </c>
      <c r="Q187" s="19" t="n"/>
      <c r="R187" s="20" t="n"/>
      <c r="S187" s="20" t="n">
        <v>12</v>
      </c>
      <c r="T187" s="19" t="inlineStr">
        <is>
          <t>VHB</t>
        </is>
      </c>
      <c r="U187" s="21">
        <f>L187*S187</f>
        <v/>
      </c>
      <c r="V187" s="15" t="inlineStr">
        <is>
          <t>nur Abholung</t>
        </is>
      </c>
      <c r="W187" s="15" t="inlineStr">
        <is>
          <t>F-190</t>
        </is>
      </c>
      <c r="X187" s="19" t="inlineStr">
        <is>
          <t>ja</t>
        </is>
      </c>
      <c r="Y187" s="19" t="n"/>
      <c r="Z187" s="19" t="inlineStr">
        <is>
          <t>verfügbar</t>
        </is>
      </c>
      <c r="AA187" s="19" t="inlineStr">
        <is>
          <t>IKEA</t>
        </is>
      </c>
      <c r="AB187" s="19" t="n"/>
      <c r="AC187" s="19" t="n"/>
      <c r="AD187" s="19" t="n"/>
      <c r="AE187" s="20" t="n"/>
      <c r="AF187" s="21">
        <f>IF(K187="","",K187*AE187)</f>
        <v/>
      </c>
      <c r="AG187" s="19" t="n"/>
      <c r="AH187" s="19" t="n"/>
      <c r="AI187" s="19" t="n"/>
      <c r="AJ187" s="19" t="n"/>
      <c r="AK187" s="19" t="n"/>
      <c r="AL187" s="19" t="n"/>
      <c r="AM187" s="16" t="inlineStr">
        <is>
          <t>7 Stühle – abgebildet ist einer davon, das Etikett auf Foto F-191.</t>
        </is>
      </c>
      <c r="AN187" s="22" t="inlineStr">
        <is>
          <t>Farbe klaeren: auf dem Erfassungsblatt steht weiss, das Foto wirkt hellgrau-gruen.</t>
        </is>
      </c>
    </row>
    <row r="188" ht="30" customHeight="1">
      <c r="A188" s="15" t="inlineStr">
        <is>
          <t>NU04-09</t>
        </is>
      </c>
      <c r="B188" s="15" t="n"/>
      <c r="C188" s="15" t="inlineStr">
        <is>
          <t>NU05-05, NU07-06, BA04-03, BU01-03, BU02-07</t>
        </is>
      </c>
      <c r="D188" s="15" t="inlineStr">
        <is>
          <t>NU04</t>
        </is>
      </c>
      <c r="E188" s="15" t="inlineStr">
        <is>
          <t>IKEA Regal weiß, 8 Fächer</t>
        </is>
      </c>
      <c r="F188" s="16" t="inlineStr">
        <is>
          <t>Regal IKEA in Weiß mit acht Fächern, liegend oder stehend nutzbar.</t>
        </is>
      </c>
      <c r="G188" s="15" t="inlineStr">
        <is>
          <t>Möbel</t>
        </is>
      </c>
      <c r="H188" s="15" t="inlineStr">
        <is>
          <t>Schlafraum 5</t>
        </is>
      </c>
      <c r="I188" s="15" t="inlineStr">
        <is>
          <t>B</t>
        </is>
      </c>
      <c r="J188" s="17" t="n">
        <v>12</v>
      </c>
      <c r="K188" s="17" t="n"/>
      <c r="L188" s="18">
        <f>J188-IF(K188="",0,K188)</f>
        <v/>
      </c>
      <c r="M188" s="15" t="inlineStr">
        <is>
          <t>Stück</t>
        </is>
      </c>
      <c r="N188" s="15" t="inlineStr">
        <is>
          <t>gebraucht</t>
        </is>
      </c>
      <c r="O188" s="19" t="n"/>
      <c r="P188" s="19" t="inlineStr">
        <is>
          <t>ja</t>
        </is>
      </c>
      <c r="Q188" s="19" t="n"/>
      <c r="R188" s="20" t="n"/>
      <c r="S188" s="20" t="n">
        <v>40</v>
      </c>
      <c r="T188" s="19" t="inlineStr">
        <is>
          <t>VHB</t>
        </is>
      </c>
      <c r="U188" s="21">
        <f>L188*S188</f>
        <v/>
      </c>
      <c r="V188" s="15" t="inlineStr">
        <is>
          <t>nur Abholung</t>
        </is>
      </c>
      <c r="W188" s="15" t="inlineStr">
        <is>
          <t>F-192</t>
        </is>
      </c>
      <c r="X188" s="19" t="inlineStr">
        <is>
          <t>ja</t>
        </is>
      </c>
      <c r="Y188" s="19" t="n"/>
      <c r="Z188" s="19" t="inlineStr">
        <is>
          <t>verfügbar</t>
        </is>
      </c>
      <c r="AA188" s="19" t="inlineStr">
        <is>
          <t>IKEA</t>
        </is>
      </c>
      <c r="AB188" s="19" t="n"/>
      <c r="AC188" s="19" t="n"/>
      <c r="AD188" s="19" t="n"/>
      <c r="AE188" s="20" t="n"/>
      <c r="AF188" s="21">
        <f>IF(K188="","",K188*AE188)</f>
        <v/>
      </c>
      <c r="AG188" s="19" t="n"/>
      <c r="AH188" s="19" t="n"/>
      <c r="AI188" s="19" t="n"/>
      <c r="AJ188" s="19" t="n"/>
      <c r="AK188" s="19" t="n"/>
      <c r="AL188" s="19" t="n"/>
      <c r="AM188" s="16" t="inlineStr">
        <is>
          <t>12 Regale insgesamt: 3 im Schlafraum 5, 1 im Treppenraum 1 (NU05-05), 1 in der Garage (NU07-06), 3 im Gruppenraum 4 (BA04-03), 2 im Flur 1 des Bestandsgebäudes (BU01-03) und 2 im Flur 2 im Untergeschoss (BU02-07).</t>
        </is>
      </c>
      <c r="AN188" s="22" t="inlineStr">
        <is>
          <t>Zusammengefasste Position über sechs Räume – Post-it-Nummern: NU05-05, NU07-06, BA04-03, BU01-03, BU02-07.</t>
        </is>
      </c>
    </row>
    <row r="189" ht="30" customHeight="1">
      <c r="A189" s="15" t="inlineStr">
        <is>
          <t>NU04-10</t>
        </is>
      </c>
      <c r="B189" s="15" t="n"/>
      <c r="C189" s="15" t="inlineStr">
        <is>
          <t>BU02-11</t>
        </is>
      </c>
      <c r="D189" s="15" t="inlineStr">
        <is>
          <t>NU04</t>
        </is>
      </c>
      <c r="E189" s="15" t="inlineStr">
        <is>
          <t>Schalenstuhl weiß mit Sitzpolster und Holzbeinen</t>
        </is>
      </c>
      <c r="F189" s="16" t="inlineStr">
        <is>
          <t>Schalenstuhl mit weißer Schale und fest verbundenem Sitzpolster, konische Beine aus braunem Massivholz.</t>
        </is>
      </c>
      <c r="G189" s="15" t="inlineStr">
        <is>
          <t>Möbel</t>
        </is>
      </c>
      <c r="H189" s="15" t="inlineStr">
        <is>
          <t>Schlafraum 5</t>
        </is>
      </c>
      <c r="I189" s="15" t="inlineStr">
        <is>
          <t>B</t>
        </is>
      </c>
      <c r="J189" s="17" t="n">
        <v>10</v>
      </c>
      <c r="K189" s="17" t="n"/>
      <c r="L189" s="18">
        <f>J189-IF(K189="",0,K189)</f>
        <v/>
      </c>
      <c r="M189" s="15" t="inlineStr">
        <is>
          <t>Stück</t>
        </is>
      </c>
      <c r="N189" s="15" t="inlineStr">
        <is>
          <t>gebraucht</t>
        </is>
      </c>
      <c r="O189" s="19" t="n"/>
      <c r="P189" s="19" t="inlineStr">
        <is>
          <t>ja</t>
        </is>
      </c>
      <c r="Q189" s="19" t="n"/>
      <c r="R189" s="20" t="n"/>
      <c r="S189" s="20" t="n">
        <v>30</v>
      </c>
      <c r="T189" s="19" t="inlineStr">
        <is>
          <t>VHB</t>
        </is>
      </c>
      <c r="U189" s="21">
        <f>L189*S189</f>
        <v/>
      </c>
      <c r="V189" s="15" t="inlineStr">
        <is>
          <t>nur Abholung</t>
        </is>
      </c>
      <c r="W189" s="15" t="inlineStr">
        <is>
          <t>F-193</t>
        </is>
      </c>
      <c r="X189" s="19" t="inlineStr">
        <is>
          <t>ja</t>
        </is>
      </c>
      <c r="Y189" s="19" t="n"/>
      <c r="Z189" s="19" t="inlineStr">
        <is>
          <t>verfügbar</t>
        </is>
      </c>
      <c r="AA189" s="19" t="n"/>
      <c r="AB189" s="19" t="n"/>
      <c r="AC189" s="19" t="n"/>
      <c r="AD189" s="19" t="n"/>
      <c r="AE189" s="20" t="n"/>
      <c r="AF189" s="21">
        <f>IF(K189="","",K189*AE189)</f>
        <v/>
      </c>
      <c r="AG189" s="19" t="n"/>
      <c r="AH189" s="19" t="n"/>
      <c r="AI189" s="19" t="n"/>
      <c r="AJ189" s="19" t="n"/>
      <c r="AK189" s="19" t="n"/>
      <c r="AL189" s="19" t="n"/>
      <c r="AM189" s="16" t="inlineStr">
        <is>
          <t>10 Stühle insgesamt: 4 im Schlafraum 5 (NU04-10) und 6 im Flur 2 im Untergeschoss des Bestandsgebäudes (BU02-11). Abgebildet ist einer davon.</t>
        </is>
      </c>
      <c r="AN189" s="22" t="inlineStr">
        <is>
          <t>Zusammengefasste Position über zwei Räume – Post-it-Nummer: BU02-11.</t>
        </is>
      </c>
    </row>
    <row r="190" ht="30" customHeight="1">
      <c r="A190" s="15" t="inlineStr">
        <is>
          <t>NU04-11</t>
        </is>
      </c>
      <c r="B190" s="15" t="n"/>
      <c r="C190" s="15" t="n"/>
      <c r="D190" s="15" t="inlineStr">
        <is>
          <t>NU04</t>
        </is>
      </c>
      <c r="E190" s="15" t="inlineStr">
        <is>
          <t>IKEA Stuva Tisch weiß</t>
        </is>
      </c>
      <c r="F190" s="16" t="inlineStr">
        <is>
          <t>Tisch beziehungsweise Sitzbank IKEA Stuva in Weiß mit Seitenwangen und Gleitern. Etikett an der Unterseite: Stuva.</t>
        </is>
      </c>
      <c r="G190" s="15" t="inlineStr">
        <is>
          <t>Möbel</t>
        </is>
      </c>
      <c r="H190" s="15" t="inlineStr">
        <is>
          <t>Schlafraum 5</t>
        </is>
      </c>
      <c r="I190" s="15" t="inlineStr">
        <is>
          <t>C</t>
        </is>
      </c>
      <c r="J190" s="17" t="n">
        <v>2</v>
      </c>
      <c r="K190" s="17" t="n"/>
      <c r="L190" s="18">
        <f>J190-IF(K190="",0,K190)</f>
        <v/>
      </c>
      <c r="M190" s="15" t="inlineStr">
        <is>
          <t>Stück</t>
        </is>
      </c>
      <c r="N190" s="15" t="inlineStr">
        <is>
          <t>gebraucht</t>
        </is>
      </c>
      <c r="O190" s="19" t="n"/>
      <c r="P190" s="19" t="inlineStr">
        <is>
          <t>ja</t>
        </is>
      </c>
      <c r="Q190" s="19" t="n"/>
      <c r="R190" s="20" t="n"/>
      <c r="S190" s="20" t="n">
        <v>25</v>
      </c>
      <c r="T190" s="19" t="inlineStr">
        <is>
          <t>VHB</t>
        </is>
      </c>
      <c r="U190" s="21">
        <f>L190*S190</f>
        <v/>
      </c>
      <c r="V190" s="15" t="inlineStr">
        <is>
          <t>nur Abholung</t>
        </is>
      </c>
      <c r="W190" s="15" t="inlineStr">
        <is>
          <t>F-194</t>
        </is>
      </c>
      <c r="X190" s="19" t="inlineStr">
        <is>
          <t>ja</t>
        </is>
      </c>
      <c r="Y190" s="19" t="n"/>
      <c r="Z190" s="19" t="inlineStr">
        <is>
          <t>verfügbar</t>
        </is>
      </c>
      <c r="AA190" s="19" t="inlineStr">
        <is>
          <t>IKEA</t>
        </is>
      </c>
      <c r="AB190" s="19" t="n"/>
      <c r="AC190" s="19" t="n"/>
      <c r="AD190" s="19" t="n"/>
      <c r="AE190" s="20" t="n"/>
      <c r="AF190" s="21">
        <f>IF(K190="","",K190*AE190)</f>
        <v/>
      </c>
      <c r="AG190" s="19" t="n"/>
      <c r="AH190" s="19" t="n"/>
      <c r="AI190" s="19" t="n"/>
      <c r="AJ190" s="19" t="n"/>
      <c r="AK190" s="19" t="n"/>
      <c r="AL190" s="19" t="n"/>
      <c r="AM190" s="16" t="inlineStr">
        <is>
          <t>2 Stück – abgebildet ist eines davon, das Etikett auf Foto F-195.</t>
        </is>
      </c>
      <c r="AN190" s="22" t="n"/>
    </row>
    <row r="191" ht="30" customHeight="1">
      <c r="A191" s="15" t="inlineStr">
        <is>
          <t>NU04-13</t>
        </is>
      </c>
      <c r="B191" s="15" t="n"/>
      <c r="C191" s="15" t="inlineStr">
        <is>
          <t>NE05-11</t>
        </is>
      </c>
      <c r="D191" s="15" t="inlineStr">
        <is>
          <t>NU04</t>
        </is>
      </c>
      <c r="E191" s="15" t="inlineStr">
        <is>
          <t>Kindertisch rund weiß mit Holzbeinen</t>
        </is>
      </c>
      <c r="F191" s="16" t="inlineStr">
        <is>
          <t>Runder Kindertisch, weiße Platte auf konischen Beinen aus massivem Holz.</t>
        </is>
      </c>
      <c r="G191" s="15" t="inlineStr">
        <is>
          <t>Kita-Ausstattung</t>
        </is>
      </c>
      <c r="H191" s="15" t="inlineStr">
        <is>
          <t>Schlafraum 5</t>
        </is>
      </c>
      <c r="I191" s="15" t="inlineStr">
        <is>
          <t>B</t>
        </is>
      </c>
      <c r="J191" s="17" t="n">
        <v>5</v>
      </c>
      <c r="K191" s="17" t="n"/>
      <c r="L191" s="18">
        <f>J191-IF(K191="",0,K191)</f>
        <v/>
      </c>
      <c r="M191" s="15" t="inlineStr">
        <is>
          <t>Stück</t>
        </is>
      </c>
      <c r="N191" s="15" t="inlineStr">
        <is>
          <t>gebraucht</t>
        </is>
      </c>
      <c r="O191" s="19" t="n"/>
      <c r="P191" s="19" t="inlineStr">
        <is>
          <t>ja</t>
        </is>
      </c>
      <c r="Q191" s="19" t="n"/>
      <c r="R191" s="20" t="n"/>
      <c r="S191" s="20" t="n">
        <v>45</v>
      </c>
      <c r="T191" s="19" t="inlineStr">
        <is>
          <t>VHB</t>
        </is>
      </c>
      <c r="U191" s="21">
        <f>L191*S191</f>
        <v/>
      </c>
      <c r="V191" s="15" t="inlineStr">
        <is>
          <t>nur Abholung</t>
        </is>
      </c>
      <c r="W191" s="15" t="inlineStr">
        <is>
          <t>F-197</t>
        </is>
      </c>
      <c r="X191" s="19" t="inlineStr">
        <is>
          <t>ja</t>
        </is>
      </c>
      <c r="Y191" s="19" t="n"/>
      <c r="Z191" s="19" t="inlineStr">
        <is>
          <t>verfügbar</t>
        </is>
      </c>
      <c r="AA191" s="19" t="n"/>
      <c r="AB191" s="19" t="n"/>
      <c r="AC191" s="19" t="n"/>
      <c r="AD191" s="19" t="n"/>
      <c r="AE191" s="20" t="n"/>
      <c r="AF191" s="21">
        <f>IF(K191="","",K191*AE191)</f>
        <v/>
      </c>
      <c r="AG191" s="19" t="n"/>
      <c r="AH191" s="19" t="n"/>
      <c r="AI191" s="19" t="n"/>
      <c r="AJ191" s="19" t="n"/>
      <c r="AK191" s="19" t="n"/>
      <c r="AL191" s="19" t="n"/>
      <c r="AM191" s="16" t="inlineStr">
        <is>
          <t>5 Tische: 1 im Schlafraum 5 (NU04-13) und 4 im Speisesaal (NE05-11). Bei dem Tisch im Schlafraum 5 ist die Plattenkante an einer Stelle beschädigt und dunkel abgestoßen; ein Tisch aus dem Speisesaal ist auf Foto F-478 zu sehen.</t>
        </is>
      </c>
      <c r="AN191" s="22" t="inlineStr">
        <is>
          <t>Zusammengefasste Position über zwei Räume – Post-it-Nummer: NE05-11.</t>
        </is>
      </c>
    </row>
    <row r="192" ht="30" customHeight="1">
      <c r="A192" s="15" t="inlineStr">
        <is>
          <t>NU04-14</t>
        </is>
      </c>
      <c r="B192" s="15" t="n"/>
      <c r="C192" s="15" t="inlineStr">
        <is>
          <t>BA06-13</t>
        </is>
      </c>
      <c r="D192" s="15" t="inlineStr">
        <is>
          <t>NU04</t>
        </is>
      </c>
      <c r="E192" s="15" t="inlineStr">
        <is>
          <t>Raumteiler Metallgitter, schwarz</t>
        </is>
      </c>
      <c r="F192" s="16" t="inlineStr">
        <is>
          <t>Freistehender Raumteiler: schwarz beschichtetes Metallgitter mit Rautenmuster auf ovalem Standfuß. Auch als Rankgitter oder zum Aufhängen nutzbar.</t>
        </is>
      </c>
      <c r="G192" s="15" t="inlineStr">
        <is>
          <t>Möbel</t>
        </is>
      </c>
      <c r="H192" s="15" t="inlineStr">
        <is>
          <t>Schlafraum 5</t>
        </is>
      </c>
      <c r="I192" s="15" t="inlineStr">
        <is>
          <t>B</t>
        </is>
      </c>
      <c r="J192" s="17" t="n">
        <v>2</v>
      </c>
      <c r="K192" s="17" t="n"/>
      <c r="L192" s="18">
        <f>J192-IF(K192="",0,K192)</f>
        <v/>
      </c>
      <c r="M192" s="15" t="inlineStr">
        <is>
          <t>Stück</t>
        </is>
      </c>
      <c r="N192" s="15" t="inlineStr">
        <is>
          <t>gebraucht</t>
        </is>
      </c>
      <c r="O192" s="19" t="n"/>
      <c r="P192" s="19" t="inlineStr">
        <is>
          <t>ja</t>
        </is>
      </c>
      <c r="Q192" s="19" t="n"/>
      <c r="R192" s="20" t="n"/>
      <c r="S192" s="20" t="n">
        <v>50</v>
      </c>
      <c r="T192" s="19" t="inlineStr">
        <is>
          <t>VHB</t>
        </is>
      </c>
      <c r="U192" s="21">
        <f>L192*S192</f>
        <v/>
      </c>
      <c r="V192" s="15" t="inlineStr">
        <is>
          <t>nur Abholung</t>
        </is>
      </c>
      <c r="W192" s="15" t="inlineStr">
        <is>
          <t>F-198</t>
        </is>
      </c>
      <c r="X192" s="19" t="inlineStr">
        <is>
          <t>ja</t>
        </is>
      </c>
      <c r="Y192" s="19" t="n"/>
      <c r="Z192" s="19" t="inlineStr">
        <is>
          <t>verfügbar</t>
        </is>
      </c>
      <c r="AA192" s="19" t="n"/>
      <c r="AB192" s="19" t="n"/>
      <c r="AC192" s="19" t="n"/>
      <c r="AD192" s="19" t="n"/>
      <c r="AE192" s="20" t="n"/>
      <c r="AF192" s="21">
        <f>IF(K192="","",K192*AE192)</f>
        <v/>
      </c>
      <c r="AG192" s="19" t="n"/>
      <c r="AH192" s="19" t="n"/>
      <c r="AI192" s="19" t="n"/>
      <c r="AJ192" s="19" t="n"/>
      <c r="AK192" s="19" t="n"/>
      <c r="AL192" s="19" t="n"/>
      <c r="AM192" s="16" t="inlineStr">
        <is>
          <t>2 Raumteiler: einer im Schlafraum 5 (NU04-14) und einer im Materialraum (dort mit BA06-13 beschriftet).</t>
        </is>
      </c>
      <c r="AN192" s="22" t="inlineStr">
        <is>
          <t>Zusammengefasste Position – Post-it-Nummer im zweiten Raum: BA06-13.</t>
        </is>
      </c>
    </row>
    <row r="193" ht="30" customHeight="1">
      <c r="A193" s="15" t="inlineStr">
        <is>
          <t>NU04-15</t>
        </is>
      </c>
      <c r="B193" s="15" t="n"/>
      <c r="C193" s="15" t="n"/>
      <c r="D193" s="15" t="inlineStr">
        <is>
          <t>NU04</t>
        </is>
      </c>
      <c r="E193" s="15" t="inlineStr">
        <is>
          <t>IKEA Regal weiß, 3 Fächer, schmal</t>
        </is>
      </c>
      <c r="F193" s="16" t="inlineStr">
        <is>
          <t>Schmales hohes Regal IKEA in Weiß mit drei Fächern.</t>
        </is>
      </c>
      <c r="G193" s="15" t="inlineStr">
        <is>
          <t>Möbel</t>
        </is>
      </c>
      <c r="H193" s="15" t="inlineStr">
        <is>
          <t>Schlafraum 5</t>
        </is>
      </c>
      <c r="I193" s="15" t="inlineStr">
        <is>
          <t>C</t>
        </is>
      </c>
      <c r="J193" s="17" t="n">
        <v>1</v>
      </c>
      <c r="K193" s="17" t="n"/>
      <c r="L193" s="18">
        <f>J193-IF(K193="",0,K193)</f>
        <v/>
      </c>
      <c r="M193" s="15" t="inlineStr">
        <is>
          <t>Stück</t>
        </is>
      </c>
      <c r="N193" s="15" t="inlineStr">
        <is>
          <t>gebraucht</t>
        </is>
      </c>
      <c r="O193" s="19" t="n"/>
      <c r="P193" s="19" t="inlineStr">
        <is>
          <t>ja</t>
        </is>
      </c>
      <c r="Q193" s="19" t="n"/>
      <c r="R193" s="20" t="n"/>
      <c r="S193" s="20" t="n">
        <v>25</v>
      </c>
      <c r="T193" s="19" t="inlineStr">
        <is>
          <t>VHB</t>
        </is>
      </c>
      <c r="U193" s="21">
        <f>L193*S193</f>
        <v/>
      </c>
      <c r="V193" s="15" t="inlineStr">
        <is>
          <t>nur Abholung</t>
        </is>
      </c>
      <c r="W193" s="15" t="inlineStr">
        <is>
          <t>F-200</t>
        </is>
      </c>
      <c r="X193" s="19" t="inlineStr">
        <is>
          <t>ja</t>
        </is>
      </c>
      <c r="Y193" s="19" t="n"/>
      <c r="Z193" s="19" t="inlineStr">
        <is>
          <t>verfügbar</t>
        </is>
      </c>
      <c r="AA193" s="19" t="inlineStr">
        <is>
          <t>IKEA</t>
        </is>
      </c>
      <c r="AB193" s="19" t="n"/>
      <c r="AC193" s="19" t="n"/>
      <c r="AD193" s="19" t="n"/>
      <c r="AE193" s="20" t="n"/>
      <c r="AF193" s="21">
        <f>IF(K193="","",K193*AE193)</f>
        <v/>
      </c>
      <c r="AG193" s="19" t="n"/>
      <c r="AH193" s="19" t="n"/>
      <c r="AI193" s="19" t="n"/>
      <c r="AJ193" s="19" t="n"/>
      <c r="AK193" s="19" t="n"/>
      <c r="AL193" s="19" t="n"/>
      <c r="AM193" s="16" t="inlineStr">
        <is>
          <t>1 Regal. Die Bücher gehören nicht dazu.</t>
        </is>
      </c>
      <c r="AN193" s="22" t="n"/>
    </row>
    <row r="194" ht="30" customHeight="1">
      <c r="A194" s="15" t="inlineStr">
        <is>
          <t>NU04-16</t>
        </is>
      </c>
      <c r="B194" s="15" t="n"/>
      <c r="C194" s="15" t="n"/>
      <c r="D194" s="15" t="inlineStr">
        <is>
          <t>NU04</t>
        </is>
      </c>
      <c r="E194" s="15" t="inlineStr">
        <is>
          <t>Bällebad mit Bällen</t>
        </is>
      </c>
      <c r="F194" s="16" t="inlineStr">
        <is>
          <t>Bällebad in Quadratform: Polsterrand in Grau, Sockel in weißem Kunstleder mit Rautennaht, einschließlich der Bälle in Grau, Weiß und Bunt.</t>
        </is>
      </c>
      <c r="G194" s="15" t="inlineStr">
        <is>
          <t>Kita-Ausstattung</t>
        </is>
      </c>
      <c r="H194" s="15" t="inlineStr">
        <is>
          <t>Schlafraum 5</t>
        </is>
      </c>
      <c r="I194" s="15" t="inlineStr">
        <is>
          <t>B</t>
        </is>
      </c>
      <c r="J194" s="17" t="n">
        <v>1</v>
      </c>
      <c r="K194" s="17" t="n"/>
      <c r="L194" s="18">
        <f>J194-IF(K194="",0,K194)</f>
        <v/>
      </c>
      <c r="M194" s="15" t="inlineStr">
        <is>
          <t>Stück</t>
        </is>
      </c>
      <c r="N194" s="15" t="inlineStr">
        <is>
          <t>gebraucht</t>
        </is>
      </c>
      <c r="O194" s="19" t="n"/>
      <c r="P194" s="19" t="inlineStr">
        <is>
          <t>ja</t>
        </is>
      </c>
      <c r="Q194" s="19" t="n"/>
      <c r="R194" s="20" t="n"/>
      <c r="S194" s="20" t="n">
        <v>75</v>
      </c>
      <c r="T194" s="19" t="inlineStr">
        <is>
          <t>VHB</t>
        </is>
      </c>
      <c r="U194" s="21">
        <f>L194*S194</f>
        <v/>
      </c>
      <c r="V194" s="15" t="inlineStr">
        <is>
          <t>nur Abholung</t>
        </is>
      </c>
      <c r="W194" s="15" t="inlineStr">
        <is>
          <t>F-202</t>
        </is>
      </c>
      <c r="X194" s="19" t="inlineStr">
        <is>
          <t>ja</t>
        </is>
      </c>
      <c r="Y194" s="19" t="n"/>
      <c r="Z194" s="19" t="inlineStr">
        <is>
          <t>verfügbar</t>
        </is>
      </c>
      <c r="AA194" s="19" t="n"/>
      <c r="AB194" s="19" t="n"/>
      <c r="AC194" s="19" t="n"/>
      <c r="AD194" s="19" t="n"/>
      <c r="AE194" s="20" t="n"/>
      <c r="AF194" s="21">
        <f>IF(K194="","",K194*AE194)</f>
        <v/>
      </c>
      <c r="AG194" s="19" t="n"/>
      <c r="AH194" s="19" t="n"/>
      <c r="AI194" s="19" t="n"/>
      <c r="AJ194" s="19" t="n"/>
      <c r="AK194" s="19" t="n"/>
      <c r="AL194" s="19" t="n"/>
      <c r="AM194" s="16" t="inlineStr">
        <is>
          <t>1 Bällebad einschließlich der Bälle, vom Haus bestätigt.</t>
        </is>
      </c>
      <c r="AN194" s="22" t="n"/>
    </row>
    <row r="195" ht="30" customHeight="1">
      <c r="A195" s="15" t="inlineStr">
        <is>
          <t>NU04-17</t>
        </is>
      </c>
      <c r="B195" s="15" t="n"/>
      <c r="C195" s="15" t="inlineStr">
        <is>
          <t>BA04-08</t>
        </is>
      </c>
      <c r="D195" s="15" t="inlineStr">
        <is>
          <t>NU04</t>
        </is>
      </c>
      <c r="E195" s="15" t="inlineStr">
        <is>
          <t>Spielregal Kiefer mit Wannen und Wandaufsatz</t>
        </is>
      </c>
      <c r="F195" s="16" t="inlineStr">
        <is>
          <t>Werkbankhohes Gestell aus Kiefer massiv mit weißen Kunststoffwannen und durchgehender Arbeitsplatte, dazu ein passender Wandaufsatz mit sechs Wannen.</t>
        </is>
      </c>
      <c r="G195" s="15" t="inlineStr">
        <is>
          <t>Kita-Ausstattung</t>
        </is>
      </c>
      <c r="H195" s="15" t="inlineStr">
        <is>
          <t>Schlafraum 5</t>
        </is>
      </c>
      <c r="I195" s="15" t="inlineStr">
        <is>
          <t>B</t>
        </is>
      </c>
      <c r="J195" s="17" t="n">
        <v>4</v>
      </c>
      <c r="K195" s="17" t="n"/>
      <c r="L195" s="18">
        <f>J195-IF(K195="",0,K195)</f>
        <v/>
      </c>
      <c r="M195" s="15" t="inlineStr">
        <is>
          <t>Stück</t>
        </is>
      </c>
      <c r="N195" s="15" t="inlineStr">
        <is>
          <t>gebraucht</t>
        </is>
      </c>
      <c r="O195" s="19" t="n"/>
      <c r="P195" s="19" t="inlineStr">
        <is>
          <t>ja</t>
        </is>
      </c>
      <c r="Q195" s="19" t="n"/>
      <c r="R195" s="20" t="n"/>
      <c r="S195" s="20" t="n">
        <v>70</v>
      </c>
      <c r="T195" s="19" t="inlineStr">
        <is>
          <t>VHB</t>
        </is>
      </c>
      <c r="U195" s="21">
        <f>L195*S195</f>
        <v/>
      </c>
      <c r="V195" s="15" t="inlineStr">
        <is>
          <t>nur Abholung</t>
        </is>
      </c>
      <c r="W195" s="15" t="inlineStr">
        <is>
          <t>F-203</t>
        </is>
      </c>
      <c r="X195" s="19" t="inlineStr">
        <is>
          <t>ja</t>
        </is>
      </c>
      <c r="Y195" s="19" t="n"/>
      <c r="Z195" s="19" t="inlineStr">
        <is>
          <t>verfügbar</t>
        </is>
      </c>
      <c r="AA195" s="19" t="n"/>
      <c r="AB195" s="19" t="n"/>
      <c r="AC195" s="19" t="n"/>
      <c r="AD195" s="19" t="n"/>
      <c r="AE195" s="20" t="n"/>
      <c r="AF195" s="21">
        <f>IF(K195="","",K195*AE195)</f>
        <v/>
      </c>
      <c r="AG195" s="19" t="n"/>
      <c r="AH195" s="19" t="n"/>
      <c r="AI195" s="19" t="n"/>
      <c r="AJ195" s="19" t="n"/>
      <c r="AK195" s="19" t="n"/>
      <c r="AL195" s="19" t="n"/>
      <c r="AM195" s="16" t="inlineStr">
        <is>
          <t>4 Einheiten, jeweils Unterteil und Wandaufsatz: 2 im Schlafraum 5 und 2 im Gruppenraum 4 (dort mit BA04-08 beschriftet). Der Inhalt der Wannen gehört nicht dazu.</t>
        </is>
      </c>
      <c r="AN195" s="22" t="inlineStr">
        <is>
          <t>Zusammengefasste Position – Post-it-Nummer im zweiten Raum: BA04-08.</t>
        </is>
      </c>
    </row>
    <row r="196" ht="30" customHeight="1">
      <c r="A196" s="15" t="inlineStr">
        <is>
          <t>NU04-18</t>
        </is>
      </c>
      <c r="B196" s="15" t="n"/>
      <c r="C196" s="15" t="n"/>
      <c r="D196" s="15" t="inlineStr">
        <is>
          <t>NU04</t>
        </is>
      </c>
      <c r="E196" s="15" t="inlineStr">
        <is>
          <t>Kinderwerkbank Holz mit Tafel</t>
        </is>
      </c>
      <c r="F196" s="16" t="inlineStr">
        <is>
          <t>Kinderwerkbank aus Holz mit Lochplatte, drei Werkzeugkästen, Tafellackfläche oben, Zollstockaufdruck an der Kante und Ablage unten. Einschließlich der Wandaufhängung.</t>
        </is>
      </c>
      <c r="G196" s="15" t="inlineStr">
        <is>
          <t>Kita-Ausstattung</t>
        </is>
      </c>
      <c r="H196" s="15" t="inlineStr">
        <is>
          <t>Schlafraum 5</t>
        </is>
      </c>
      <c r="I196" s="15" t="inlineStr">
        <is>
          <t>B</t>
        </is>
      </c>
      <c r="J196" s="17" t="n">
        <v>1</v>
      </c>
      <c r="K196" s="17" t="n"/>
      <c r="L196" s="18">
        <f>J196-IF(K196="",0,K196)</f>
        <v/>
      </c>
      <c r="M196" s="15" t="inlineStr">
        <is>
          <t>Stück</t>
        </is>
      </c>
      <c r="N196" s="15" t="inlineStr">
        <is>
          <t>gebraucht</t>
        </is>
      </c>
      <c r="O196" s="19" t="n"/>
      <c r="P196" s="19" t="inlineStr">
        <is>
          <t>ja</t>
        </is>
      </c>
      <c r="Q196" s="19" t="n"/>
      <c r="R196" s="20" t="n"/>
      <c r="S196" s="20" t="n">
        <v>35</v>
      </c>
      <c r="T196" s="19" t="inlineStr">
        <is>
          <t>VHB</t>
        </is>
      </c>
      <c r="U196" s="21">
        <f>L196*S196</f>
        <v/>
      </c>
      <c r="V196" s="15" t="inlineStr">
        <is>
          <t>nur Abholung</t>
        </is>
      </c>
      <c r="W196" s="15" t="inlineStr">
        <is>
          <t>F-204</t>
        </is>
      </c>
      <c r="X196" s="19" t="inlineStr">
        <is>
          <t>ja</t>
        </is>
      </c>
      <c r="Y196" s="19" t="n"/>
      <c r="Z196" s="19" t="inlineStr">
        <is>
          <t>verfügbar</t>
        </is>
      </c>
      <c r="AA196" s="19" t="n"/>
      <c r="AB196" s="19" t="n"/>
      <c r="AC196" s="19" t="n"/>
      <c r="AD196" s="19" t="n"/>
      <c r="AE196" s="20" t="n"/>
      <c r="AF196" s="21">
        <f>IF(K196="","",K196*AE196)</f>
        <v/>
      </c>
      <c r="AG196" s="19" t="n"/>
      <c r="AH196" s="19" t="n"/>
      <c r="AI196" s="19" t="n"/>
      <c r="AJ196" s="19" t="n"/>
      <c r="AK196" s="19" t="n"/>
      <c r="AL196" s="19" t="n"/>
      <c r="AM196" s="16" t="inlineStr">
        <is>
          <t>1 Werkbank einschließlich Wandaufhängung. Werkzeug, Helm und Zubehör gehören nicht dazu.</t>
        </is>
      </c>
      <c r="AN196" s="22" t="n"/>
    </row>
    <row r="197" ht="30" customHeight="1">
      <c r="A197" s="15" t="inlineStr">
        <is>
          <t>NU04-19</t>
        </is>
      </c>
      <c r="B197" s="15" t="n"/>
      <c r="C197" s="15" t="inlineStr">
        <is>
          <t>NE03-08</t>
        </is>
      </c>
      <c r="D197" s="15" t="inlineStr">
        <is>
          <t>NU04</t>
        </is>
      </c>
      <c r="E197" s="15" t="inlineStr">
        <is>
          <t>IKEA Kleiderschrank weiß mit drei Böden</t>
        </is>
      </c>
      <c r="F197" s="16" t="inlineStr">
        <is>
          <t>Hoher Schrank IKEA in Weiß mit zwei Türen, ovalen Griffmulden und drei Einlegeböden.</t>
        </is>
      </c>
      <c r="G197" s="15" t="inlineStr">
        <is>
          <t>Möbel</t>
        </is>
      </c>
      <c r="H197" s="15" t="inlineStr">
        <is>
          <t>Schlafraum 5</t>
        </is>
      </c>
      <c r="I197" s="15" t="inlineStr">
        <is>
          <t>B</t>
        </is>
      </c>
      <c r="J197" s="17" t="n">
        <v>3</v>
      </c>
      <c r="K197" s="17" t="n"/>
      <c r="L197" s="18">
        <f>J197-IF(K197="",0,K197)</f>
        <v/>
      </c>
      <c r="M197" s="15" t="inlineStr">
        <is>
          <t>Stück</t>
        </is>
      </c>
      <c r="N197" s="15" t="inlineStr">
        <is>
          <t>gebraucht</t>
        </is>
      </c>
      <c r="O197" s="19" t="n"/>
      <c r="P197" s="19" t="inlineStr">
        <is>
          <t>ja</t>
        </is>
      </c>
      <c r="Q197" s="19" t="n"/>
      <c r="R197" s="20" t="n"/>
      <c r="S197" s="20" t="n">
        <v>60</v>
      </c>
      <c r="T197" s="19" t="inlineStr">
        <is>
          <t>VHB</t>
        </is>
      </c>
      <c r="U197" s="21">
        <f>L197*S197</f>
        <v/>
      </c>
      <c r="V197" s="15" t="inlineStr">
        <is>
          <t>nur Abholung</t>
        </is>
      </c>
      <c r="W197" s="15" t="inlineStr">
        <is>
          <t>F-205</t>
        </is>
      </c>
      <c r="X197" s="19" t="inlineStr">
        <is>
          <t>ja</t>
        </is>
      </c>
      <c r="Y197" s="19" t="n"/>
      <c r="Z197" s="19" t="inlineStr">
        <is>
          <t>verfügbar</t>
        </is>
      </c>
      <c r="AA197" s="19" t="inlineStr">
        <is>
          <t>IKEA</t>
        </is>
      </c>
      <c r="AB197" s="19" t="n"/>
      <c r="AC197" s="19" t="n"/>
      <c r="AD197" s="19" t="n"/>
      <c r="AE197" s="20" t="n"/>
      <c r="AF197" s="21">
        <f>IF(K197="","",K197*AE197)</f>
        <v/>
      </c>
      <c r="AG197" s="19" t="n"/>
      <c r="AH197" s="19" t="n"/>
      <c r="AI197" s="19" t="n"/>
      <c r="AJ197" s="19" t="n"/>
      <c r="AK197" s="19" t="n"/>
      <c r="AL197" s="19" t="n"/>
      <c r="AM197" s="16" t="inlineStr">
        <is>
          <t>3 Schränke insgesamt: 2 im Schlafraum 5 (NU04-19) und 1 im Schlafraum 2 des Neubaus (NE03-08). Abgebildet ist einer davon, innen auf Foto F-206. Ein baugleicher Schrank in Anthrazit steht unter NE03-07.</t>
        </is>
      </c>
      <c r="AN197" s="22" t="inlineStr">
        <is>
          <t>Zusammengefasste Position über zwei Räume – Post-it-Nummer: NE03-08.</t>
        </is>
      </c>
    </row>
    <row r="198" ht="30" customHeight="1">
      <c r="A198" s="15" t="inlineStr">
        <is>
          <t>NU04-20</t>
        </is>
      </c>
      <c r="B198" s="15" t="n"/>
      <c r="C198" s="15" t="n"/>
      <c r="D198" s="15" t="inlineStr">
        <is>
          <t>NU04</t>
        </is>
      </c>
      <c r="E198" s="15" t="inlineStr">
        <is>
          <t>Vitra Panton Chair schwarz, Erwachsenengröße</t>
        </is>
      </c>
      <c r="F198" s="16" t="inlineStr">
        <is>
          <t>Panton Chair von Vitra, Entwurf Verner Panton: Freischwinger aus einem Stück Kunststoff, schwarz matt, S-förmig geschwungen. Erwachsenengröße.</t>
        </is>
      </c>
      <c r="G198" s="15" t="inlineStr">
        <is>
          <t>Möbel</t>
        </is>
      </c>
      <c r="H198" s="15" t="inlineStr">
        <is>
          <t>Schlafraum 5</t>
        </is>
      </c>
      <c r="I198" s="15" t="inlineStr">
        <is>
          <t>A</t>
        </is>
      </c>
      <c r="J198" s="17" t="n">
        <v>1</v>
      </c>
      <c r="K198" s="17" t="n"/>
      <c r="L198" s="18">
        <f>J198-IF(K198="",0,K198)</f>
        <v/>
      </c>
      <c r="M198" s="15" t="inlineStr">
        <is>
          <t>Stück</t>
        </is>
      </c>
      <c r="N198" s="15" t="inlineStr">
        <is>
          <t>gebraucht</t>
        </is>
      </c>
      <c r="O198" s="19" t="n"/>
      <c r="P198" s="19" t="inlineStr">
        <is>
          <t>ja</t>
        </is>
      </c>
      <c r="Q198" s="19" t="n"/>
      <c r="R198" s="20" t="n"/>
      <c r="S198" s="20" t="n">
        <v>220</v>
      </c>
      <c r="T198" s="19" t="inlineStr">
        <is>
          <t>VHB</t>
        </is>
      </c>
      <c r="U198" s="21">
        <f>L198*S198</f>
        <v/>
      </c>
      <c r="V198" s="15" t="inlineStr">
        <is>
          <t>nur Abholung</t>
        </is>
      </c>
      <c r="W198" s="15" t="inlineStr">
        <is>
          <t>F-208</t>
        </is>
      </c>
      <c r="X198" s="19" t="inlineStr">
        <is>
          <t>ja</t>
        </is>
      </c>
      <c r="Y198" s="19" t="n"/>
      <c r="Z198" s="19" t="inlineStr">
        <is>
          <t>verfügbar</t>
        </is>
      </c>
      <c r="AA198" s="19" t="inlineStr">
        <is>
          <t>Vitra</t>
        </is>
      </c>
      <c r="AB198" s="19" t="n"/>
      <c r="AC198" s="19" t="n"/>
      <c r="AD198" s="19" t="n"/>
      <c r="AE198" s="20" t="n"/>
      <c r="AF198" s="21">
        <f>IF(K198="","",K198*AE198)</f>
        <v/>
      </c>
      <c r="AG198" s="19" t="n"/>
      <c r="AH198" s="19" t="n"/>
      <c r="AI198" s="19" t="n"/>
      <c r="AJ198" s="19" t="n"/>
      <c r="AK198" s="19" t="n"/>
      <c r="AL198" s="19" t="n"/>
      <c r="AM198" s="16" t="inlineStr">
        <is>
          <t>1 Stuhl. Weitere Panton Chairs stehen unter NE05-04 (rot, Erwachsenengröße) sowie NE05-05 und NE05-12 (Kindergröße).</t>
        </is>
      </c>
      <c r="AN198" s="22" t="n"/>
    </row>
    <row r="199" ht="30" customHeight="1">
      <c r="A199" s="15" t="inlineStr">
        <is>
          <t>NU04-21</t>
        </is>
      </c>
      <c r="B199" s="15" t="n"/>
      <c r="C199" s="15" t="n"/>
      <c r="D199" s="15" t="inlineStr">
        <is>
          <t>NU04</t>
        </is>
      </c>
      <c r="E199" s="15" t="inlineStr">
        <is>
          <t>Spieltisch Kiefer mit abnehmbaren Platten</t>
        </is>
      </c>
      <c r="F199" s="16" t="inlineStr">
        <is>
          <t>Tisch aus Kiefer massiv mit zwei abnehmbaren weißen Kunststoffplatten. Darunter lässt sich eine Wanne einsetzen, im Haus für Bausteine und Sandspiel genutzt.</t>
        </is>
      </c>
      <c r="G199" s="15" t="inlineStr">
        <is>
          <t>Kita-Ausstattung</t>
        </is>
      </c>
      <c r="H199" s="15" t="inlineStr">
        <is>
          <t>Schlafraum 5</t>
        </is>
      </c>
      <c r="I199" s="15" t="inlineStr">
        <is>
          <t>B</t>
        </is>
      </c>
      <c r="J199" s="17" t="n">
        <v>1</v>
      </c>
      <c r="K199" s="17" t="n"/>
      <c r="L199" s="18">
        <f>J199-IF(K199="",0,K199)</f>
        <v/>
      </c>
      <c r="M199" s="15" t="inlineStr">
        <is>
          <t>Stück</t>
        </is>
      </c>
      <c r="N199" s="15" t="inlineStr">
        <is>
          <t>gebraucht</t>
        </is>
      </c>
      <c r="O199" s="19" t="n"/>
      <c r="P199" s="19" t="inlineStr">
        <is>
          <t>ja</t>
        </is>
      </c>
      <c r="Q199" s="19" t="n"/>
      <c r="R199" s="20" t="n"/>
      <c r="S199" s="20" t="n">
        <v>60</v>
      </c>
      <c r="T199" s="19" t="inlineStr">
        <is>
          <t>VHB</t>
        </is>
      </c>
      <c r="U199" s="21">
        <f>L199*S199</f>
        <v/>
      </c>
      <c r="V199" s="15" t="inlineStr">
        <is>
          <t>nur Abholung</t>
        </is>
      </c>
      <c r="W199" s="15" t="inlineStr">
        <is>
          <t>F-209</t>
        </is>
      </c>
      <c r="X199" s="19" t="inlineStr">
        <is>
          <t>ja</t>
        </is>
      </c>
      <c r="Y199" s="19" t="n"/>
      <c r="Z199" s="19" t="inlineStr">
        <is>
          <t>verfügbar</t>
        </is>
      </c>
      <c r="AA199" s="19" t="n"/>
      <c r="AB199" s="19" t="n"/>
      <c r="AC199" s="19" t="n"/>
      <c r="AD199" s="19" t="n"/>
      <c r="AE199" s="20" t="n"/>
      <c r="AF199" s="21">
        <f>IF(K199="","",K199*AE199)</f>
        <v/>
      </c>
      <c r="AG199" s="19" t="n"/>
      <c r="AH199" s="19" t="n"/>
      <c r="AI199" s="19" t="n"/>
      <c r="AJ199" s="19" t="n"/>
      <c r="AK199" s="19" t="n"/>
      <c r="AL199" s="19" t="n"/>
      <c r="AM199" s="16" t="inlineStr">
        <is>
          <t>1 Tisch mit Platten und Wanne. Der Inhalt gehört nicht dazu.</t>
        </is>
      </c>
      <c r="AN199" s="22" t="n"/>
    </row>
    <row r="200" ht="30" customHeight="1">
      <c r="A200" s="15" t="inlineStr">
        <is>
          <t>NU04-22</t>
        </is>
      </c>
      <c r="B200" s="15" t="n"/>
      <c r="C200" s="15" t="n"/>
      <c r="D200" s="15" t="inlineStr">
        <is>
          <t>NU04</t>
        </is>
      </c>
      <c r="E200" s="15" t="inlineStr">
        <is>
          <t>Wandregal weiß, schmal</t>
        </is>
      </c>
      <c r="F200" s="16" t="inlineStr">
        <is>
          <t>Schmales weißes Wandregal, sichtbar verschraubt.</t>
        </is>
      </c>
      <c r="G200" s="15" t="inlineStr">
        <is>
          <t>Möbel</t>
        </is>
      </c>
      <c r="H200" s="15" t="inlineStr">
        <is>
          <t>Schlafraum 5</t>
        </is>
      </c>
      <c r="I200" s="15" t="inlineStr">
        <is>
          <t>C</t>
        </is>
      </c>
      <c r="J200" s="17" t="n">
        <v>3</v>
      </c>
      <c r="K200" s="17" t="n"/>
      <c r="L200" s="18">
        <f>J200-IF(K200="",0,K200)</f>
        <v/>
      </c>
      <c r="M200" s="15" t="inlineStr">
        <is>
          <t>Stück</t>
        </is>
      </c>
      <c r="N200" s="15" t="inlineStr">
        <is>
          <t>gebraucht</t>
        </is>
      </c>
      <c r="O200" s="19" t="n"/>
      <c r="P200" s="19" t="inlineStr">
        <is>
          <t>ja</t>
        </is>
      </c>
      <c r="Q200" s="19" t="n"/>
      <c r="R200" s="20" t="n"/>
      <c r="S200" s="20" t="n">
        <v>10</v>
      </c>
      <c r="T200" s="19" t="inlineStr">
        <is>
          <t>VHB</t>
        </is>
      </c>
      <c r="U200" s="21">
        <f>L200*S200</f>
        <v/>
      </c>
      <c r="V200" s="15" t="inlineStr">
        <is>
          <t>nur Abholung</t>
        </is>
      </c>
      <c r="W200" s="15" t="inlineStr">
        <is>
          <t>F-210</t>
        </is>
      </c>
      <c r="X200" s="19" t="inlineStr">
        <is>
          <t>ja</t>
        </is>
      </c>
      <c r="Y200" s="19" t="n"/>
      <c r="Z200" s="19" t="inlineStr">
        <is>
          <t>verfügbar</t>
        </is>
      </c>
      <c r="AA200" s="19" t="n"/>
      <c r="AB200" s="19" t="n"/>
      <c r="AC200" s="19" t="n"/>
      <c r="AD200" s="19" t="n"/>
      <c r="AE200" s="20" t="n"/>
      <c r="AF200" s="21">
        <f>IF(K200="","",K200*AE200)</f>
        <v/>
      </c>
      <c r="AG200" s="19" t="n"/>
      <c r="AH200" s="19" t="n"/>
      <c r="AI200" s="19" t="n"/>
      <c r="AJ200" s="19" t="n"/>
      <c r="AK200" s="19" t="n"/>
      <c r="AL200" s="19" t="n"/>
      <c r="AM200" s="16" t="inlineStr">
        <is>
          <t>3 Regale – abgebildet sind zwei davon.</t>
        </is>
      </c>
      <c r="AN200" s="22" t="n"/>
    </row>
    <row r="201" ht="30" customHeight="1">
      <c r="A201" s="15" t="inlineStr">
        <is>
          <t>NU05-01</t>
        </is>
      </c>
      <c r="B201" s="15" t="n"/>
      <c r="C201" s="15" t="n"/>
      <c r="D201" s="15" t="inlineStr">
        <is>
          <t>NU05</t>
        </is>
      </c>
      <c r="E201" s="15" t="inlineStr">
        <is>
          <t>Stokke Steps Treppenhochstuhl, weiß mit Buchengestell</t>
        </is>
      </c>
      <c r="F201" s="16" t="inlineStr">
        <is>
          <t>Stokke Steps: mitwachsender Treppenhochstuhl, Seitenwangen aus Buche natur, Sitz- und Fußbrett sowie Rückenlehne mit Bügel in Weiß, in der Höhe verstellbar.</t>
        </is>
      </c>
      <c r="G201" s="15" t="inlineStr">
        <is>
          <t>Kita-Ausstattung</t>
        </is>
      </c>
      <c r="H201" s="15" t="inlineStr">
        <is>
          <t>Treppenraum 1</t>
        </is>
      </c>
      <c r="I201" s="15" t="inlineStr">
        <is>
          <t>B</t>
        </is>
      </c>
      <c r="J201" s="17" t="n">
        <v>6</v>
      </c>
      <c r="K201" s="17" t="n"/>
      <c r="L201" s="18">
        <f>J201-IF(K201="",0,K201)</f>
        <v/>
      </c>
      <c r="M201" s="15" t="inlineStr">
        <is>
          <t>Stück</t>
        </is>
      </c>
      <c r="N201" s="15" t="inlineStr">
        <is>
          <t>gebraucht</t>
        </is>
      </c>
      <c r="O201" s="19" t="n"/>
      <c r="P201" s="19" t="inlineStr">
        <is>
          <t>ja</t>
        </is>
      </c>
      <c r="Q201" s="19" t="n"/>
      <c r="R201" s="20" t="n"/>
      <c r="S201" s="20" t="n">
        <v>130</v>
      </c>
      <c r="T201" s="19" t="inlineStr">
        <is>
          <t>VHB</t>
        </is>
      </c>
      <c r="U201" s="21">
        <f>L201*S201</f>
        <v/>
      </c>
      <c r="V201" s="15" t="inlineStr">
        <is>
          <t>nur Abholung</t>
        </is>
      </c>
      <c r="W201" s="15" t="inlineStr">
        <is>
          <t>F-213</t>
        </is>
      </c>
      <c r="X201" s="19" t="inlineStr">
        <is>
          <t>ja</t>
        </is>
      </c>
      <c r="Y201" s="19" t="n"/>
      <c r="Z201" s="19" t="inlineStr">
        <is>
          <t>verfügbar</t>
        </is>
      </c>
      <c r="AA201" s="19" t="inlineStr">
        <is>
          <t>Stokke</t>
        </is>
      </c>
      <c r="AB201" s="19" t="n"/>
      <c r="AC201" s="19" t="n"/>
      <c r="AD201" s="19" t="n"/>
      <c r="AE201" s="20" t="n"/>
      <c r="AF201" s="21">
        <f>IF(K201="","",K201*AE201)</f>
        <v/>
      </c>
      <c r="AG201" s="19" t="n"/>
      <c r="AH201" s="19" t="n"/>
      <c r="AI201" s="19" t="n"/>
      <c r="AJ201" s="19" t="n"/>
      <c r="AK201" s="19" t="n"/>
      <c r="AL201" s="19" t="n"/>
      <c r="AM201" s="16" t="inlineStr">
        <is>
          <t>6 Stühle – abgebildet ist einer davon. Dieselbe Reihe in anderen Farben steht unter NE05-06, NE05-07 und NE05-08.</t>
        </is>
      </c>
      <c r="AN201" s="22" t="n"/>
    </row>
    <row r="202" ht="30" customHeight="1">
      <c r="A202" s="15" t="inlineStr">
        <is>
          <t>NU05-02</t>
        </is>
      </c>
      <c r="B202" s="15" t="n"/>
      <c r="C202" s="15" t="n"/>
      <c r="D202" s="15" t="inlineStr">
        <is>
          <t>NU05</t>
        </is>
      </c>
      <c r="E202" s="15" t="inlineStr">
        <is>
          <t>Juniorstuhl Holz weiß mit Kreuzlehne</t>
        </is>
      </c>
      <c r="F202" s="16" t="inlineStr">
        <is>
          <t>Juniorstuhl aus Massivholz, weiß lackiert, Rückenlehne mit gekreuzten Streben, Fußstütze als Querstrebe. Lack an Kanten und Sitzfläche abgestoßen.</t>
        </is>
      </c>
      <c r="G202" s="15" t="inlineStr">
        <is>
          <t>Kita-Ausstattung</t>
        </is>
      </c>
      <c r="H202" s="15" t="inlineStr">
        <is>
          <t>Treppenraum 1</t>
        </is>
      </c>
      <c r="I202" s="15" t="inlineStr">
        <is>
          <t>C</t>
        </is>
      </c>
      <c r="J202" s="17" t="n">
        <v>3</v>
      </c>
      <c r="K202" s="17" t="n"/>
      <c r="L202" s="18">
        <f>J202-IF(K202="",0,K202)</f>
        <v/>
      </c>
      <c r="M202" s="15" t="inlineStr">
        <is>
          <t>Stück</t>
        </is>
      </c>
      <c r="N202" s="15" t="inlineStr">
        <is>
          <t>gebraucht</t>
        </is>
      </c>
      <c r="O202" s="19" t="n"/>
      <c r="P202" s="19" t="inlineStr">
        <is>
          <t>ja</t>
        </is>
      </c>
      <c r="Q202" s="19" t="n"/>
      <c r="R202" s="20" t="n"/>
      <c r="S202" s="20" t="n">
        <v>25</v>
      </c>
      <c r="T202" s="19" t="inlineStr">
        <is>
          <t>VHB</t>
        </is>
      </c>
      <c r="U202" s="21">
        <f>L202*S202</f>
        <v/>
      </c>
      <c r="V202" s="15" t="inlineStr">
        <is>
          <t>nur Abholung</t>
        </is>
      </c>
      <c r="W202" s="15" t="inlineStr">
        <is>
          <t>F-214</t>
        </is>
      </c>
      <c r="X202" s="19" t="inlineStr">
        <is>
          <t>ja</t>
        </is>
      </c>
      <c r="Y202" s="19" t="n"/>
      <c r="Z202" s="19" t="inlineStr">
        <is>
          <t>verfügbar</t>
        </is>
      </c>
      <c r="AA202" s="19" t="n"/>
      <c r="AB202" s="19" t="n"/>
      <c r="AC202" s="19" t="n"/>
      <c r="AD202" s="19" t="n"/>
      <c r="AE202" s="20" t="n"/>
      <c r="AF202" s="21">
        <f>IF(K202="","",K202*AE202)</f>
        <v/>
      </c>
      <c r="AG202" s="19" t="n"/>
      <c r="AH202" s="19" t="n"/>
      <c r="AI202" s="19" t="n"/>
      <c r="AJ202" s="19" t="n"/>
      <c r="AK202" s="19" t="n"/>
      <c r="AL202" s="19" t="n"/>
      <c r="AM202" s="16" t="inlineStr">
        <is>
          <t>3 Stühle – abgebildet ist einer davon.</t>
        </is>
      </c>
      <c r="AN202" s="22" t="n"/>
    </row>
    <row r="203" ht="30" customHeight="1">
      <c r="A203" s="15" t="inlineStr">
        <is>
          <t>NU05-03</t>
        </is>
      </c>
      <c r="B203" s="15" t="n"/>
      <c r="C203" s="15" t="n"/>
      <c r="D203" s="15" t="inlineStr">
        <is>
          <t>NU05</t>
        </is>
      </c>
      <c r="E203" s="15" t="inlineStr">
        <is>
          <t>Kindertisch weiß groß mit Holzbeinen</t>
        </is>
      </c>
      <c r="F203" s="16" t="inlineStr">
        <is>
          <t>Großer Kindertisch: weiße Platte mit abgerundeten Ecken und Multiplex-Kante auf konischen Beinen aus Buche.</t>
        </is>
      </c>
      <c r="G203" s="15" t="inlineStr">
        <is>
          <t>Kita-Ausstattung</t>
        </is>
      </c>
      <c r="H203" s="15" t="inlineStr">
        <is>
          <t>Treppenraum 1</t>
        </is>
      </c>
      <c r="I203" s="15" t="inlineStr">
        <is>
          <t>B</t>
        </is>
      </c>
      <c r="J203" s="17" t="n">
        <v>2</v>
      </c>
      <c r="K203" s="17" t="n"/>
      <c r="L203" s="18">
        <f>J203-IF(K203="",0,K203)</f>
        <v/>
      </c>
      <c r="M203" s="15" t="inlineStr">
        <is>
          <t>Stück</t>
        </is>
      </c>
      <c r="N203" s="15" t="inlineStr">
        <is>
          <t>gebraucht</t>
        </is>
      </c>
      <c r="O203" s="19" t="n"/>
      <c r="P203" s="19" t="inlineStr">
        <is>
          <t>ja</t>
        </is>
      </c>
      <c r="Q203" s="19" t="n"/>
      <c r="R203" s="20" t="n"/>
      <c r="S203" s="20" t="n">
        <v>90</v>
      </c>
      <c r="T203" s="19" t="inlineStr">
        <is>
          <t>VHB</t>
        </is>
      </c>
      <c r="U203" s="21">
        <f>L203*S203</f>
        <v/>
      </c>
      <c r="V203" s="15" t="inlineStr">
        <is>
          <t>nur Abholung</t>
        </is>
      </c>
      <c r="W203" s="15" t="inlineStr">
        <is>
          <t>F-215</t>
        </is>
      </c>
      <c r="X203" s="19" t="inlineStr">
        <is>
          <t>ja</t>
        </is>
      </c>
      <c r="Y203" s="19" t="n"/>
      <c r="Z203" s="19" t="inlineStr">
        <is>
          <t>verfügbar</t>
        </is>
      </c>
      <c r="AA203" s="19" t="n"/>
      <c r="AB203" s="19" t="n"/>
      <c r="AC203" s="19" t="n"/>
      <c r="AD203" s="19" t="n"/>
      <c r="AE203" s="20" t="n"/>
      <c r="AF203" s="21">
        <f>IF(K203="","",K203*AE203)</f>
        <v/>
      </c>
      <c r="AG203" s="19" t="n"/>
      <c r="AH203" s="19" t="n"/>
      <c r="AI203" s="19" t="n"/>
      <c r="AJ203" s="19" t="n"/>
      <c r="AK203" s="19" t="n"/>
      <c r="AL203" s="19" t="n"/>
      <c r="AM203" s="16" t="inlineStr">
        <is>
          <t>2 Tische – abgebildet ist einer davon. Der Inhalt gehört nicht dazu.</t>
        </is>
      </c>
      <c r="AN203" s="22" t="n"/>
    </row>
    <row r="204" ht="30" customHeight="1">
      <c r="A204" s="15" t="inlineStr">
        <is>
          <t>NU05-04</t>
        </is>
      </c>
      <c r="B204" s="15" t="n"/>
      <c r="C204" s="15" t="n"/>
      <c r="D204" s="15" t="inlineStr">
        <is>
          <t>NU05</t>
        </is>
      </c>
      <c r="E204" s="15" t="inlineStr">
        <is>
          <t>Regal weiß hoch, vier Böden</t>
        </is>
      </c>
      <c r="F204" s="16" t="inlineStr">
        <is>
          <t>Hohes weißes Regal mit vier Einlegeböden, Bohrreihen zum Verstellen.</t>
        </is>
      </c>
      <c r="G204" s="15" t="inlineStr">
        <is>
          <t>Möbel</t>
        </is>
      </c>
      <c r="H204" s="15" t="inlineStr">
        <is>
          <t>Treppenraum 1</t>
        </is>
      </c>
      <c r="I204" s="15" t="inlineStr">
        <is>
          <t>B</t>
        </is>
      </c>
      <c r="J204" s="17" t="n">
        <v>1</v>
      </c>
      <c r="K204" s="17" t="n"/>
      <c r="L204" s="18">
        <f>J204-IF(K204="",0,K204)</f>
        <v/>
      </c>
      <c r="M204" s="15" t="inlineStr">
        <is>
          <t>Stück</t>
        </is>
      </c>
      <c r="N204" s="15" t="inlineStr">
        <is>
          <t>gebraucht</t>
        </is>
      </c>
      <c r="O204" s="19" t="n"/>
      <c r="P204" s="19" t="inlineStr">
        <is>
          <t>ja</t>
        </is>
      </c>
      <c r="Q204" s="19" t="n"/>
      <c r="R204" s="20" t="n"/>
      <c r="S204" s="20" t="n">
        <v>35</v>
      </c>
      <c r="T204" s="19" t="inlineStr">
        <is>
          <t>VHB</t>
        </is>
      </c>
      <c r="U204" s="21">
        <f>L204*S204</f>
        <v/>
      </c>
      <c r="V204" s="15" t="inlineStr">
        <is>
          <t>nur Abholung</t>
        </is>
      </c>
      <c r="W204" s="15" t="inlineStr">
        <is>
          <t>F-216</t>
        </is>
      </c>
      <c r="X204" s="19" t="inlineStr">
        <is>
          <t>ja</t>
        </is>
      </c>
      <c r="Y204" s="19" t="n"/>
      <c r="Z204" s="19" t="inlineStr">
        <is>
          <t>verfügbar</t>
        </is>
      </c>
      <c r="AA204" s="19" t="n"/>
      <c r="AB204" s="19" t="n"/>
      <c r="AC204" s="19" t="n"/>
      <c r="AD204" s="19" t="n"/>
      <c r="AE204" s="20" t="n"/>
      <c r="AF204" s="21">
        <f>IF(K204="","",K204*AE204)</f>
        <v/>
      </c>
      <c r="AG204" s="19" t="n"/>
      <c r="AH204" s="19" t="n"/>
      <c r="AI204" s="19" t="n"/>
      <c r="AJ204" s="19" t="n"/>
      <c r="AK204" s="19" t="n"/>
      <c r="AL204" s="19" t="n"/>
      <c r="AM204" s="16" t="inlineStr">
        <is>
          <t>1 Regal.</t>
        </is>
      </c>
      <c r="AN204" s="22" t="n"/>
    </row>
    <row r="205" ht="30" customHeight="1">
      <c r="A205" s="15" t="inlineStr">
        <is>
          <t>NU05-06</t>
        </is>
      </c>
      <c r="B205" s="15" t="n"/>
      <c r="C205" s="15" t="n"/>
      <c r="D205" s="15" t="inlineStr">
        <is>
          <t>NU05</t>
        </is>
      </c>
      <c r="E205" s="15" t="inlineStr">
        <is>
          <t>Regal weiß mit zwei Schubladen und zwei Böden</t>
        </is>
      </c>
      <c r="F205" s="16" t="inlineStr">
        <is>
          <t>Weißes Regal mit zwei Einlegeböden oben und zwei großen Schubladen mit Griffmulden unten, Front der Schubladen dunkel.</t>
        </is>
      </c>
      <c r="G205" s="15" t="inlineStr">
        <is>
          <t>Möbel</t>
        </is>
      </c>
      <c r="H205" s="15" t="inlineStr">
        <is>
          <t>Treppenraum 1</t>
        </is>
      </c>
      <c r="I205" s="15" t="inlineStr">
        <is>
          <t>B</t>
        </is>
      </c>
      <c r="J205" s="17" t="n">
        <v>1</v>
      </c>
      <c r="K205" s="17" t="n"/>
      <c r="L205" s="18">
        <f>J205-IF(K205="",0,K205)</f>
        <v/>
      </c>
      <c r="M205" s="15" t="inlineStr">
        <is>
          <t>Stück</t>
        </is>
      </c>
      <c r="N205" s="15" t="inlineStr">
        <is>
          <t>gebraucht</t>
        </is>
      </c>
      <c r="O205" s="19" t="n"/>
      <c r="P205" s="19" t="inlineStr">
        <is>
          <t>ja</t>
        </is>
      </c>
      <c r="Q205" s="19" t="n"/>
      <c r="R205" s="20" t="n"/>
      <c r="S205" s="20" t="n">
        <v>60</v>
      </c>
      <c r="T205" s="19" t="inlineStr">
        <is>
          <t>VHB</t>
        </is>
      </c>
      <c r="U205" s="21">
        <f>L205*S205</f>
        <v/>
      </c>
      <c r="V205" s="15" t="inlineStr">
        <is>
          <t>nur Abholung</t>
        </is>
      </c>
      <c r="W205" s="15" t="inlineStr">
        <is>
          <t>F-218</t>
        </is>
      </c>
      <c r="X205" s="19" t="inlineStr">
        <is>
          <t>ja</t>
        </is>
      </c>
      <c r="Y205" s="19" t="n"/>
      <c r="Z205" s="19" t="inlineStr">
        <is>
          <t>verfügbar</t>
        </is>
      </c>
      <c r="AA205" s="19" t="n"/>
      <c r="AB205" s="19" t="n"/>
      <c r="AC205" s="19" t="n"/>
      <c r="AD205" s="19" t="n"/>
      <c r="AE205" s="20" t="n"/>
      <c r="AF205" s="21">
        <f>IF(K205="","",K205*AE205)</f>
        <v/>
      </c>
      <c r="AG205" s="19" t="n"/>
      <c r="AH205" s="19" t="n"/>
      <c r="AI205" s="19" t="n"/>
      <c r="AJ205" s="19" t="n"/>
      <c r="AK205" s="19" t="n"/>
      <c r="AL205" s="19" t="n"/>
      <c r="AM205" s="16" t="inlineStr">
        <is>
          <t>1 Regal. Der Inhalt gehört nicht dazu.</t>
        </is>
      </c>
      <c r="AN205" s="22" t="n"/>
    </row>
    <row r="206" ht="30" customHeight="1">
      <c r="A206" s="15" t="inlineStr">
        <is>
          <t>NU05-07</t>
        </is>
      </c>
      <c r="B206" s="15" t="n"/>
      <c r="C206" s="15" t="n"/>
      <c r="D206" s="15" t="inlineStr">
        <is>
          <t>NU05</t>
        </is>
      </c>
      <c r="E206" s="15" t="inlineStr">
        <is>
          <t>Mal- und Trockengestell fahrbar</t>
        </is>
      </c>
      <c r="F206" s="16" t="inlineStr">
        <is>
          <t>Fahrbares Gestell aus Holz mit acht herausziehbaren Drahtgitter-Einschüben zum Trocknen von Bildern, Griffstange oben, auf Rollen.</t>
        </is>
      </c>
      <c r="G206" s="15" t="inlineStr">
        <is>
          <t>Kita-Ausstattung</t>
        </is>
      </c>
      <c r="H206" s="15" t="inlineStr">
        <is>
          <t>Treppenraum 1</t>
        </is>
      </c>
      <c r="I206" s="15" t="inlineStr">
        <is>
          <t>B</t>
        </is>
      </c>
      <c r="J206" s="17" t="n">
        <v>1</v>
      </c>
      <c r="K206" s="17" t="n"/>
      <c r="L206" s="18">
        <f>J206-IF(K206="",0,K206)</f>
        <v/>
      </c>
      <c r="M206" s="15" t="inlineStr">
        <is>
          <t>Stück</t>
        </is>
      </c>
      <c r="N206" s="15" t="inlineStr">
        <is>
          <t>gebraucht</t>
        </is>
      </c>
      <c r="O206" s="19" t="n"/>
      <c r="P206" s="19" t="inlineStr">
        <is>
          <t>ja</t>
        </is>
      </c>
      <c r="Q206" s="19" t="n"/>
      <c r="R206" s="20" t="n"/>
      <c r="S206" s="20" t="n">
        <v>100</v>
      </c>
      <c r="T206" s="19" t="inlineStr">
        <is>
          <t>VHB</t>
        </is>
      </c>
      <c r="U206" s="21">
        <f>L206*S206</f>
        <v/>
      </c>
      <c r="V206" s="15" t="inlineStr">
        <is>
          <t>nur Abholung</t>
        </is>
      </c>
      <c r="W206" s="15" t="inlineStr">
        <is>
          <t>F-219</t>
        </is>
      </c>
      <c r="X206" s="19" t="inlineStr">
        <is>
          <t>ja</t>
        </is>
      </c>
      <c r="Y206" s="19" t="n"/>
      <c r="Z206" s="19" t="inlineStr">
        <is>
          <t>verfügbar</t>
        </is>
      </c>
      <c r="AA206" s="19" t="n"/>
      <c r="AB206" s="19" t="n"/>
      <c r="AC206" s="19" t="n"/>
      <c r="AD206" s="19" t="n"/>
      <c r="AE206" s="20" t="n"/>
      <c r="AF206" s="21">
        <f>IF(K206="","",K206*AE206)</f>
        <v/>
      </c>
      <c r="AG206" s="19" t="n"/>
      <c r="AH206" s="19" t="n"/>
      <c r="AI206" s="19" t="n"/>
      <c r="AJ206" s="19" t="n"/>
      <c r="AK206" s="19" t="n"/>
      <c r="AL206" s="19" t="n"/>
      <c r="AM206" s="16" t="inlineStr">
        <is>
          <t>1 Gestell mit acht Einschüben.</t>
        </is>
      </c>
      <c r="AN206" s="22" t="n"/>
    </row>
    <row r="207" ht="30" customHeight="1">
      <c r="A207" s="15" t="inlineStr">
        <is>
          <t>NU05-08</t>
        </is>
      </c>
      <c r="B207" s="15" t="n"/>
      <c r="C207" s="15" t="n"/>
      <c r="D207" s="15" t="inlineStr">
        <is>
          <t>NU05</t>
        </is>
      </c>
      <c r="E207" s="15" t="inlineStr">
        <is>
          <t>Maltafel Holz mit Kreidetafel und Farbablage</t>
        </is>
      </c>
      <c r="F207" s="16" t="inlineStr">
        <is>
          <t>Standtafel aus Holz mit schwarzer Kreidetafel, Ablage mit Aussparungen für Farbbecher und Schwamm, Papierrollenhalter oben. Farbspuren am Rahmen.</t>
        </is>
      </c>
      <c r="G207" s="15" t="inlineStr">
        <is>
          <t>Kita-Ausstattung</t>
        </is>
      </c>
      <c r="H207" s="15" t="inlineStr">
        <is>
          <t>Treppenraum 1</t>
        </is>
      </c>
      <c r="I207" s="15" t="inlineStr">
        <is>
          <t>B</t>
        </is>
      </c>
      <c r="J207" s="17" t="n">
        <v>1</v>
      </c>
      <c r="K207" s="17" t="n"/>
      <c r="L207" s="18">
        <f>J207-IF(K207="",0,K207)</f>
        <v/>
      </c>
      <c r="M207" s="15" t="inlineStr">
        <is>
          <t>Stück</t>
        </is>
      </c>
      <c r="N207" s="15" t="inlineStr">
        <is>
          <t>gebraucht</t>
        </is>
      </c>
      <c r="O207" s="19" t="n"/>
      <c r="P207" s="19" t="inlineStr">
        <is>
          <t>ja</t>
        </is>
      </c>
      <c r="Q207" s="19" t="n"/>
      <c r="R207" s="20" t="n"/>
      <c r="S207" s="20" t="n">
        <v>50</v>
      </c>
      <c r="T207" s="19" t="inlineStr">
        <is>
          <t>VHB</t>
        </is>
      </c>
      <c r="U207" s="21">
        <f>L207*S207</f>
        <v/>
      </c>
      <c r="V207" s="15" t="inlineStr">
        <is>
          <t>nur Abholung</t>
        </is>
      </c>
      <c r="W207" s="15" t="inlineStr">
        <is>
          <t>F-220</t>
        </is>
      </c>
      <c r="X207" s="19" t="inlineStr">
        <is>
          <t>ja</t>
        </is>
      </c>
      <c r="Y207" s="19" t="n"/>
      <c r="Z207" s="19" t="inlineStr">
        <is>
          <t>verfügbar</t>
        </is>
      </c>
      <c r="AA207" s="19" t="n"/>
      <c r="AB207" s="19" t="n"/>
      <c r="AC207" s="19" t="n"/>
      <c r="AD207" s="19" t="n"/>
      <c r="AE207" s="20" t="n"/>
      <c r="AF207" s="21">
        <f>IF(K207="","",K207*AE207)</f>
        <v/>
      </c>
      <c r="AG207" s="19" t="n"/>
      <c r="AH207" s="19" t="n"/>
      <c r="AI207" s="19" t="n"/>
      <c r="AJ207" s="19" t="n"/>
      <c r="AK207" s="19" t="n"/>
      <c r="AL207" s="19" t="n"/>
      <c r="AM207" s="16" t="inlineStr">
        <is>
          <t>1 Tafel. Schwamm und Becher gehören nicht dazu.</t>
        </is>
      </c>
      <c r="AN207" s="22" t="n"/>
    </row>
    <row r="208" ht="30" customHeight="1">
      <c r="A208" s="15" t="inlineStr">
        <is>
          <t>NU06-01</t>
        </is>
      </c>
      <c r="B208" s="15" t="n"/>
      <c r="C208" s="15" t="n"/>
      <c r="D208" s="15" t="inlineStr">
        <is>
          <t>NU06</t>
        </is>
      </c>
      <c r="E208" s="15" t="inlineStr">
        <is>
          <t>Garderobenwand weiß, 13 Plätze</t>
        </is>
      </c>
      <c r="F208" s="16" t="inlineStr">
        <is>
          <t>Lange Garderobenwand in Weiß: oben ein durchgehendes Ablagefach, darunter eine Leiste mit 13 Doppelhaken, unten eine Sitzbank mit offenen Schuhfächern. Schreinerarbeit.</t>
        </is>
      </c>
      <c r="G208" s="15" t="inlineStr">
        <is>
          <t>Kita-Ausstattung</t>
        </is>
      </c>
      <c r="H208" s="15" t="inlineStr">
        <is>
          <t>WC</t>
        </is>
      </c>
      <c r="I208" s="15" t="inlineStr">
        <is>
          <t>A</t>
        </is>
      </c>
      <c r="J208" s="17" t="n">
        <v>1</v>
      </c>
      <c r="K208" s="17" t="n"/>
      <c r="L208" s="18">
        <f>J208-IF(K208="",0,K208)</f>
        <v/>
      </c>
      <c r="M208" s="15" t="inlineStr">
        <is>
          <t>Stück</t>
        </is>
      </c>
      <c r="N208" s="15" t="inlineStr">
        <is>
          <t>gebraucht</t>
        </is>
      </c>
      <c r="O208" s="19" t="n"/>
      <c r="P208" s="19" t="inlineStr">
        <is>
          <t>ja</t>
        </is>
      </c>
      <c r="Q208" s="19" t="n"/>
      <c r="R208" s="20" t="n"/>
      <c r="S208" s="20" t="n">
        <v>250</v>
      </c>
      <c r="T208" s="19" t="inlineStr">
        <is>
          <t>VHB</t>
        </is>
      </c>
      <c r="U208" s="21">
        <f>L208*S208</f>
        <v/>
      </c>
      <c r="V208" s="15" t="inlineStr">
        <is>
          <t>nur Abholung</t>
        </is>
      </c>
      <c r="W208" s="15" t="inlineStr">
        <is>
          <t>F-223</t>
        </is>
      </c>
      <c r="X208" s="19" t="inlineStr">
        <is>
          <t>ja</t>
        </is>
      </c>
      <c r="Y208" s="19" t="n"/>
      <c r="Z208" s="19" t="inlineStr">
        <is>
          <t>verfügbar</t>
        </is>
      </c>
      <c r="AA208" s="19" t="n"/>
      <c r="AB208" s="19" t="n"/>
      <c r="AC208" s="19" t="n"/>
      <c r="AD208" s="19" t="n"/>
      <c r="AE208" s="20" t="n"/>
      <c r="AF208" s="21">
        <f>IF(K208="","",K208*AE208)</f>
        <v/>
      </c>
      <c r="AG208" s="19" t="n"/>
      <c r="AH208" s="19" t="n"/>
      <c r="AI208" s="19" t="n"/>
      <c r="AJ208" s="19" t="n"/>
      <c r="AK208" s="19" t="n"/>
      <c r="AL208" s="19" t="n"/>
      <c r="AM208" s="16" t="inlineStr">
        <is>
          <t>1 Garderobenwand mit 13 Plätzen. Die Stoffkörbe gehören nicht dazu.</t>
        </is>
      </c>
      <c r="AN208" s="22" t="inlineStr">
        <is>
          <t>Foto zeigt einen grauen Balken: dort hingen Fotokarten der Kinder mit Namen. Neues Foto ohne die Karten waere besser.</t>
        </is>
      </c>
    </row>
    <row r="209" ht="30" customHeight="1">
      <c r="A209" s="15" t="inlineStr">
        <is>
          <t>NU06-02</t>
        </is>
      </c>
      <c r="B209" s="15" t="n"/>
      <c r="C209" s="15" t="n"/>
      <c r="D209" s="15" t="inlineStr">
        <is>
          <t>NU06</t>
        </is>
      </c>
      <c r="E209" s="15" t="inlineStr">
        <is>
          <t>Garderobenwand weiß, 9 Plätze</t>
        </is>
      </c>
      <c r="F209" s="16" t="inlineStr">
        <is>
          <t>Garderobenwand in Weiß: oben ein durchgehendes Ablagefach, darunter eine Leiste mit neun Doppelhaken, unten eine Sitzbank mit offenen Schuhfächern. Schreinerarbeit.</t>
        </is>
      </c>
      <c r="G209" s="15" t="inlineStr">
        <is>
          <t>Kita-Ausstattung</t>
        </is>
      </c>
      <c r="H209" s="15" t="inlineStr">
        <is>
          <t>WC</t>
        </is>
      </c>
      <c r="I209" s="15" t="inlineStr">
        <is>
          <t>A</t>
        </is>
      </c>
      <c r="J209" s="17" t="n">
        <v>6</v>
      </c>
      <c r="K209" s="17" t="n"/>
      <c r="L209" s="18">
        <f>J209-IF(K209="",0,K209)</f>
        <v/>
      </c>
      <c r="M209" s="15" t="inlineStr">
        <is>
          <t>Stück</t>
        </is>
      </c>
      <c r="N209" s="15" t="inlineStr">
        <is>
          <t>gebraucht</t>
        </is>
      </c>
      <c r="O209" s="19" t="n"/>
      <c r="P209" s="19" t="inlineStr">
        <is>
          <t>ja</t>
        </is>
      </c>
      <c r="Q209" s="19" t="n"/>
      <c r="R209" s="20" t="n"/>
      <c r="S209" s="20" t="n">
        <v>180</v>
      </c>
      <c r="T209" s="19" t="inlineStr">
        <is>
          <t>VHB</t>
        </is>
      </c>
      <c r="U209" s="21">
        <f>L209*S209</f>
        <v/>
      </c>
      <c r="V209" s="15" t="inlineStr">
        <is>
          <t>nur Abholung</t>
        </is>
      </c>
      <c r="W209" s="15" t="inlineStr">
        <is>
          <t>F-224</t>
        </is>
      </c>
      <c r="X209" s="19" t="inlineStr">
        <is>
          <t>ja</t>
        </is>
      </c>
      <c r="Y209" s="19" t="n"/>
      <c r="Z209" s="19" t="inlineStr">
        <is>
          <t>verfügbar</t>
        </is>
      </c>
      <c r="AA209" s="19" t="n"/>
      <c r="AB209" s="19" t="n"/>
      <c r="AC209" s="19" t="n"/>
      <c r="AD209" s="19" t="n"/>
      <c r="AE209" s="20" t="n"/>
      <c r="AF209" s="21">
        <f>IF(K209="","",K209*AE209)</f>
        <v/>
      </c>
      <c r="AG209" s="19" t="n"/>
      <c r="AH209" s="19" t="n"/>
      <c r="AI209" s="19" t="n"/>
      <c r="AJ209" s="19" t="n"/>
      <c r="AK209" s="19" t="n"/>
      <c r="AL209" s="19" t="n"/>
      <c r="AM209" s="16" t="inlineStr">
        <is>
          <t>6 Garderobenwände mit je 9 Plätzen – abgebildet ist eine davon. Die Stoffkörbe gehören nicht dazu.</t>
        </is>
      </c>
      <c r="AN209" s="22" t="n"/>
    </row>
    <row r="210" ht="30" customHeight="1">
      <c r="A210" s="15" t="inlineStr">
        <is>
          <t>NU06-03</t>
        </is>
      </c>
      <c r="B210" s="15" t="n"/>
      <c r="C210" s="15" t="n"/>
      <c r="D210" s="15" t="inlineStr">
        <is>
          <t>NU06</t>
        </is>
      </c>
      <c r="E210" s="15" t="inlineStr">
        <is>
          <t>Hängegarderobe weiß mit Wannen</t>
        </is>
      </c>
      <c r="F210" s="16" t="inlineStr">
        <is>
          <t>Wandelement in Weiß mit sechs eingeschobenen Kunststoffwannen, darunter drei rote Doppelhaken.</t>
        </is>
      </c>
      <c r="G210" s="15" t="inlineStr">
        <is>
          <t>Kita-Ausstattung</t>
        </is>
      </c>
      <c r="H210" s="15" t="inlineStr">
        <is>
          <t>WC</t>
        </is>
      </c>
      <c r="I210" s="15" t="inlineStr">
        <is>
          <t>B</t>
        </is>
      </c>
      <c r="J210" s="17" t="n">
        <v>3</v>
      </c>
      <c r="K210" s="17" t="n"/>
      <c r="L210" s="18">
        <f>J210-IF(K210="",0,K210)</f>
        <v/>
      </c>
      <c r="M210" s="15" t="inlineStr">
        <is>
          <t>Stück</t>
        </is>
      </c>
      <c r="N210" s="15" t="inlineStr">
        <is>
          <t>gebraucht</t>
        </is>
      </c>
      <c r="O210" s="19" t="n"/>
      <c r="P210" s="19" t="inlineStr">
        <is>
          <t>ja</t>
        </is>
      </c>
      <c r="Q210" s="19" t="n"/>
      <c r="R210" s="20" t="n"/>
      <c r="S210" s="20" t="n">
        <v>45</v>
      </c>
      <c r="T210" s="19" t="inlineStr">
        <is>
          <t>VHB</t>
        </is>
      </c>
      <c r="U210" s="21">
        <f>L210*S210</f>
        <v/>
      </c>
      <c r="V210" s="15" t="inlineStr">
        <is>
          <t>nur Abholung</t>
        </is>
      </c>
      <c r="W210" s="15" t="inlineStr">
        <is>
          <t>F-225</t>
        </is>
      </c>
      <c r="X210" s="19" t="inlineStr">
        <is>
          <t>ja</t>
        </is>
      </c>
      <c r="Y210" s="19" t="n"/>
      <c r="Z210" s="19" t="inlineStr">
        <is>
          <t>verfügbar</t>
        </is>
      </c>
      <c r="AA210" s="19" t="n"/>
      <c r="AB210" s="19" t="n"/>
      <c r="AC210" s="19" t="n"/>
      <c r="AD210" s="19" t="n"/>
      <c r="AE210" s="20" t="n"/>
      <c r="AF210" s="21">
        <f>IF(K210="","",K210*AE210)</f>
        <v/>
      </c>
      <c r="AG210" s="19" t="n"/>
      <c r="AH210" s="19" t="n"/>
      <c r="AI210" s="19" t="n"/>
      <c r="AJ210" s="19" t="n"/>
      <c r="AK210" s="19" t="n"/>
      <c r="AL210" s="19" t="n"/>
      <c r="AM210" s="16" t="inlineStr">
        <is>
          <t>3 Elemente einschließlich der Wannen – abgebildet ist eines davon.</t>
        </is>
      </c>
      <c r="AN210" s="22" t="inlineStr">
        <is>
          <t>Foto zeigt zwei graue Balken: dort standen Vornamen auf den Etiketten.</t>
        </is>
      </c>
    </row>
    <row r="211" ht="30" customHeight="1">
      <c r="A211" s="15" t="inlineStr">
        <is>
          <t>NU06-04</t>
        </is>
      </c>
      <c r="B211" s="15" t="n"/>
      <c r="C211" s="15" t="n"/>
      <c r="D211" s="15" t="inlineStr">
        <is>
          <t>NU06</t>
        </is>
      </c>
      <c r="E211" s="15" t="inlineStr">
        <is>
          <t>Holzregal weiß, sechs Fächer</t>
        </is>
      </c>
      <c r="F211" s="16" t="inlineStr">
        <is>
          <t>Regal aus Holz, weiß gestrichen, sechs Fächer in zwei Reihen. Farbe an Kanten und Fachböden großflächig abgeplatzt.</t>
        </is>
      </c>
      <c r="G211" s="15" t="inlineStr">
        <is>
          <t>Kita-Ausstattung</t>
        </is>
      </c>
      <c r="H211" s="15" t="inlineStr">
        <is>
          <t>WC</t>
        </is>
      </c>
      <c r="I211" s="15" t="inlineStr">
        <is>
          <t>B</t>
        </is>
      </c>
      <c r="J211" s="17" t="n">
        <v>2</v>
      </c>
      <c r="K211" s="17" t="n"/>
      <c r="L211" s="18">
        <f>J211-IF(K211="",0,K211)</f>
        <v/>
      </c>
      <c r="M211" s="15" t="inlineStr">
        <is>
          <t>Stück</t>
        </is>
      </c>
      <c r="N211" s="15" t="inlineStr">
        <is>
          <t>stark gebraucht</t>
        </is>
      </c>
      <c r="O211" s="19" t="n"/>
      <c r="P211" s="19" t="inlineStr">
        <is>
          <t>ja</t>
        </is>
      </c>
      <c r="Q211" s="19" t="n"/>
      <c r="R211" s="20" t="n"/>
      <c r="S211" s="20" t="n">
        <v>30</v>
      </c>
      <c r="T211" s="19" t="inlineStr">
        <is>
          <t>VHB</t>
        </is>
      </c>
      <c r="U211" s="21">
        <f>L211*S211</f>
        <v/>
      </c>
      <c r="V211" s="15" t="inlineStr">
        <is>
          <t>nur Abholung</t>
        </is>
      </c>
      <c r="W211" s="15" t="inlineStr">
        <is>
          <t>F-226</t>
        </is>
      </c>
      <c r="X211" s="19" t="inlineStr">
        <is>
          <t>ja</t>
        </is>
      </c>
      <c r="Y211" s="19" t="n"/>
      <c r="Z211" s="19" t="inlineStr">
        <is>
          <t>verfügbar</t>
        </is>
      </c>
      <c r="AA211" s="19" t="n"/>
      <c r="AB211" s="19" t="n"/>
      <c r="AC211" s="19" t="n"/>
      <c r="AD211" s="19" t="n"/>
      <c r="AE211" s="20" t="n"/>
      <c r="AF211" s="21">
        <f>IF(K211="","",K211*AE211)</f>
        <v/>
      </c>
      <c r="AG211" s="19" t="n"/>
      <c r="AH211" s="19" t="n"/>
      <c r="AI211" s="19" t="n"/>
      <c r="AJ211" s="19" t="n"/>
      <c r="AK211" s="19" t="n"/>
      <c r="AL211" s="19" t="n"/>
      <c r="AM211" s="16" t="inlineStr">
        <is>
          <t>2 Regale – abgebildet ist eines davon.</t>
        </is>
      </c>
      <c r="AN211" s="22" t="n"/>
    </row>
    <row r="212" ht="30" customHeight="1">
      <c r="A212" s="15" t="inlineStr">
        <is>
          <t>NU06-05</t>
        </is>
      </c>
      <c r="B212" s="15" t="n"/>
      <c r="C212" s="15" t="n"/>
      <c r="D212" s="15" t="inlineStr">
        <is>
          <t>NU06</t>
        </is>
      </c>
      <c r="E212" s="15" t="inlineStr">
        <is>
          <t>Bauknecht Kühl-Gefrierkombination, Standgerät</t>
        </is>
      </c>
      <c r="F212" s="16" t="inlineStr">
        <is>
          <t>Standgerät von Bauknecht in Edelstahloptik: Kühlteil oben mit Glasböden, Gemüsefach und Innenbeleuchtung, Gefrierteil unten. No Frost.</t>
        </is>
      </c>
      <c r="G212" s="15" t="inlineStr">
        <is>
          <t>Technik</t>
        </is>
      </c>
      <c r="H212" s="15" t="inlineStr">
        <is>
          <t>WC</t>
        </is>
      </c>
      <c r="I212" s="15" t="inlineStr">
        <is>
          <t>A</t>
        </is>
      </c>
      <c r="J212" s="17" t="n">
        <v>1</v>
      </c>
      <c r="K212" s="17" t="n"/>
      <c r="L212" s="18">
        <f>J212-IF(K212="",0,K212)</f>
        <v/>
      </c>
      <c r="M212" s="15" t="inlineStr">
        <is>
          <t>Stück</t>
        </is>
      </c>
      <c r="N212" s="15" t="inlineStr">
        <is>
          <t>gebraucht</t>
        </is>
      </c>
      <c r="O212" s="19" t="n"/>
      <c r="P212" s="19" t="inlineStr">
        <is>
          <t>ja</t>
        </is>
      </c>
      <c r="Q212" s="19" t="n"/>
      <c r="R212" s="20" t="n"/>
      <c r="S212" s="20" t="n">
        <v>220</v>
      </c>
      <c r="T212" s="19" t="inlineStr">
        <is>
          <t>VHB</t>
        </is>
      </c>
      <c r="U212" s="21">
        <f>L212*S212</f>
        <v/>
      </c>
      <c r="V212" s="15" t="inlineStr">
        <is>
          <t>nur Abholung</t>
        </is>
      </c>
      <c r="W212" s="15" t="inlineStr">
        <is>
          <t>F-227</t>
        </is>
      </c>
      <c r="X212" s="19" t="inlineStr">
        <is>
          <t>ja</t>
        </is>
      </c>
      <c r="Y212" s="19" t="n"/>
      <c r="Z212" s="19" t="inlineStr">
        <is>
          <t>verfügbar</t>
        </is>
      </c>
      <c r="AA212" s="19" t="inlineStr">
        <is>
          <t>Bauknecht</t>
        </is>
      </c>
      <c r="AB212" s="19" t="n"/>
      <c r="AC212" s="19" t="n"/>
      <c r="AD212" s="19" t="n"/>
      <c r="AE212" s="20" t="n"/>
      <c r="AF212" s="21">
        <f>IF(K212="","",K212*AE212)</f>
        <v/>
      </c>
      <c r="AG212" s="19" t="n"/>
      <c r="AH212" s="19" t="n"/>
      <c r="AI212" s="19" t="n"/>
      <c r="AJ212" s="19" t="n"/>
      <c r="AK212" s="19" t="n"/>
      <c r="AL212" s="19" t="n"/>
      <c r="AM212" s="16" t="inlineStr">
        <is>
          <t>1 Gerät. Der Innenraum ist auf Foto F-228 zu sehen.</t>
        </is>
      </c>
      <c r="AN212" s="22" t="inlineStr">
        <is>
          <t>Foto zeigt einen grauen Balken: in der Tuer spiegelte sich eine Person. Neues Foto aus anderem Winkel waere besser.</t>
        </is>
      </c>
    </row>
    <row r="213" ht="30" customHeight="1">
      <c r="A213" s="15" t="inlineStr">
        <is>
          <t>NU06-06</t>
        </is>
      </c>
      <c r="B213" s="15" t="n"/>
      <c r="C213" s="15" t="n"/>
      <c r="D213" s="15" t="inlineStr">
        <is>
          <t>NU06</t>
        </is>
      </c>
      <c r="E213" s="15" t="inlineStr">
        <is>
          <t>Schwerlastregal verzinkt, vier Böden</t>
        </is>
      </c>
      <c r="F213" s="16" t="inlineStr">
        <is>
          <t>Steckregal aus verzinktem Stahl mit vier Holzböden, höhenverstellbar.</t>
        </is>
      </c>
      <c r="G213" s="15" t="inlineStr">
        <is>
          <t>Sonstiges</t>
        </is>
      </c>
      <c r="H213" s="15" t="inlineStr">
        <is>
          <t>WC</t>
        </is>
      </c>
      <c r="I213" s="15" t="inlineStr">
        <is>
          <t>B</t>
        </is>
      </c>
      <c r="J213" s="17" t="n">
        <v>2</v>
      </c>
      <c r="K213" s="17" t="n"/>
      <c r="L213" s="18">
        <f>J213-IF(K213="",0,K213)</f>
        <v/>
      </c>
      <c r="M213" s="15" t="inlineStr">
        <is>
          <t>Stück</t>
        </is>
      </c>
      <c r="N213" s="15" t="inlineStr">
        <is>
          <t>gebraucht</t>
        </is>
      </c>
      <c r="O213" s="19" t="n"/>
      <c r="P213" s="19" t="inlineStr">
        <is>
          <t>ja</t>
        </is>
      </c>
      <c r="Q213" s="19" t="n"/>
      <c r="R213" s="20" t="n"/>
      <c r="S213" s="20" t="n">
        <v>50</v>
      </c>
      <c r="T213" s="19" t="inlineStr">
        <is>
          <t>VHB</t>
        </is>
      </c>
      <c r="U213" s="21">
        <f>L213*S213</f>
        <v/>
      </c>
      <c r="V213" s="15" t="inlineStr">
        <is>
          <t>nur Abholung</t>
        </is>
      </c>
      <c r="W213" s="15" t="inlineStr">
        <is>
          <t>F-229</t>
        </is>
      </c>
      <c r="X213" s="19" t="inlineStr">
        <is>
          <t>ja</t>
        </is>
      </c>
      <c r="Y213" s="19" t="n"/>
      <c r="Z213" s="19" t="inlineStr">
        <is>
          <t>verfügbar</t>
        </is>
      </c>
      <c r="AA213" s="19" t="n"/>
      <c r="AB213" s="19" t="n"/>
      <c r="AC213" s="19" t="n"/>
      <c r="AD213" s="19" t="n"/>
      <c r="AE213" s="20" t="n"/>
      <c r="AF213" s="21">
        <f>IF(K213="","",K213*AE213)</f>
        <v/>
      </c>
      <c r="AG213" s="19" t="n"/>
      <c r="AH213" s="19" t="n"/>
      <c r="AI213" s="19" t="n"/>
      <c r="AJ213" s="19" t="n"/>
      <c r="AK213" s="19" t="n"/>
      <c r="AL213" s="19" t="n"/>
      <c r="AM213" s="16" t="inlineStr">
        <is>
          <t>2 Regale – abgebildet ist eines davon. Der Inhalt gehört nicht dazu.</t>
        </is>
      </c>
      <c r="AN213" s="22" t="n"/>
    </row>
    <row r="214" ht="30" customHeight="1">
      <c r="A214" s="15" t="inlineStr">
        <is>
          <t>NU06-07</t>
        </is>
      </c>
      <c r="B214" s="15" t="n"/>
      <c r="C214" s="15" t="n"/>
      <c r="D214" s="15" t="inlineStr">
        <is>
          <t>NU06</t>
        </is>
      </c>
      <c r="E214" s="15" t="inlineStr">
        <is>
          <t>Bild Paris bei Nacht, groß gerahmt</t>
        </is>
      </c>
      <c r="F214" s="16" t="inlineStr">
        <is>
          <t>Großformatiges Bild von Paris bei Nacht mit beleuchtetem Eiffelturm, schwarz-weiß mit goldenen Lichtern, in silberfarbenem Aluminiumrahmen. Aufdruck am unteren Rand: „Paris" Scanpix/age fotostock, Jean-Marc Charles, gedruckt für IKEA.</t>
        </is>
      </c>
      <c r="G214" s="15" t="inlineStr">
        <is>
          <t>Deko</t>
        </is>
      </c>
      <c r="H214" s="15" t="inlineStr">
        <is>
          <t>WC</t>
        </is>
      </c>
      <c r="I214" s="15" t="inlineStr">
        <is>
          <t>C</t>
        </is>
      </c>
      <c r="J214" s="17" t="n">
        <v>1</v>
      </c>
      <c r="K214" s="17" t="n"/>
      <c r="L214" s="18">
        <f>J214-IF(K214="",0,K214)</f>
        <v/>
      </c>
      <c r="M214" s="15" t="inlineStr">
        <is>
          <t>Stück</t>
        </is>
      </c>
      <c r="N214" s="15" t="inlineStr">
        <is>
          <t>gut</t>
        </is>
      </c>
      <c r="O214" s="19" t="n"/>
      <c r="P214" s="19" t="inlineStr">
        <is>
          <t>ja</t>
        </is>
      </c>
      <c r="Q214" s="19" t="n"/>
      <c r="R214" s="20" t="n"/>
      <c r="S214" s="20" t="n">
        <v>25</v>
      </c>
      <c r="T214" s="19" t="inlineStr">
        <is>
          <t>VHB</t>
        </is>
      </c>
      <c r="U214" s="21">
        <f>L214*S214</f>
        <v/>
      </c>
      <c r="V214" s="15" t="inlineStr">
        <is>
          <t>Versand möglich</t>
        </is>
      </c>
      <c r="W214" s="15" t="inlineStr">
        <is>
          <t>F-230</t>
        </is>
      </c>
      <c r="X214" s="19" t="inlineStr">
        <is>
          <t>ja</t>
        </is>
      </c>
      <c r="Y214" s="19" t="n"/>
      <c r="Z214" s="19" t="inlineStr">
        <is>
          <t>verfügbar</t>
        </is>
      </c>
      <c r="AA214" s="19" t="inlineStr">
        <is>
          <t>IKEA</t>
        </is>
      </c>
      <c r="AB214" s="19" t="n"/>
      <c r="AC214" s="19" t="n"/>
      <c r="AD214" s="19" t="n"/>
      <c r="AE214" s="20" t="n"/>
      <c r="AF214" s="21">
        <f>IF(K214="","",K214*AE214)</f>
        <v/>
      </c>
      <c r="AG214" s="19" t="n"/>
      <c r="AH214" s="19" t="n"/>
      <c r="AI214" s="19" t="n"/>
      <c r="AJ214" s="19" t="n"/>
      <c r="AK214" s="19" t="n"/>
      <c r="AL214" s="19" t="n"/>
      <c r="AM214" s="16" t="inlineStr">
        <is>
          <t>1 Bild.</t>
        </is>
      </c>
      <c r="AN214" s="22" t="n"/>
    </row>
    <row r="215" ht="30" customHeight="1">
      <c r="A215" s="15" t="inlineStr">
        <is>
          <t>NU07-01</t>
        </is>
      </c>
      <c r="B215" s="15" t="n"/>
      <c r="C215" s="15" t="n"/>
      <c r="D215" s="15" t="inlineStr">
        <is>
          <t>NU07</t>
        </is>
      </c>
      <c r="E215" s="15" t="inlineStr">
        <is>
          <t>Hausbett schwarz mit Dach</t>
        </is>
      </c>
      <c r="F215" s="16" t="inlineStr">
        <is>
          <t>Kinderbett in Hausform, dunkelbraun-schwarz lackiert, mit Satteldach, Firstbalken und ausgesägten Sprossenfenstern an beiden Seiten. Matratze liegt auf und kann auf Wunsch mitgenommen werden.</t>
        </is>
      </c>
      <c r="G215" s="15" t="inlineStr">
        <is>
          <t>Kita-Ausstattung</t>
        </is>
      </c>
      <c r="H215" s="15" t="inlineStr">
        <is>
          <t>Garage</t>
        </is>
      </c>
      <c r="I215" s="15" t="inlineStr">
        <is>
          <t>A</t>
        </is>
      </c>
      <c r="J215" s="17" t="n">
        <v>1</v>
      </c>
      <c r="K215" s="17" t="n"/>
      <c r="L215" s="18">
        <f>J215-IF(K215="",0,K215)</f>
        <v/>
      </c>
      <c r="M215" s="15" t="inlineStr">
        <is>
          <t>Stück</t>
        </is>
      </c>
      <c r="N215" s="15" t="inlineStr">
        <is>
          <t>gut</t>
        </is>
      </c>
      <c r="O215" s="19" t="n"/>
      <c r="P215" s="19" t="inlineStr">
        <is>
          <t>ja</t>
        </is>
      </c>
      <c r="Q215" s="19" t="n"/>
      <c r="R215" s="20" t="n"/>
      <c r="S215" s="20" t="n">
        <v>180</v>
      </c>
      <c r="T215" s="19" t="inlineStr">
        <is>
          <t>VHB</t>
        </is>
      </c>
      <c r="U215" s="21">
        <f>L215*S215</f>
        <v/>
      </c>
      <c r="V215" s="15" t="inlineStr">
        <is>
          <t>nur Abholung</t>
        </is>
      </c>
      <c r="W215" s="15" t="inlineStr">
        <is>
          <t>F-233</t>
        </is>
      </c>
      <c r="X215" s="19" t="inlineStr">
        <is>
          <t>ja</t>
        </is>
      </c>
      <c r="Y215" s="19" t="n"/>
      <c r="Z215" s="19" t="inlineStr">
        <is>
          <t>verfügbar</t>
        </is>
      </c>
      <c r="AA215" s="19" t="n"/>
      <c r="AB215" s="19" t="n"/>
      <c r="AC215" s="19" t="n"/>
      <c r="AD215" s="19" t="n"/>
      <c r="AE215" s="20" t="n"/>
      <c r="AF215" s="21">
        <f>IF(K215="","",K215*AE215)</f>
        <v/>
      </c>
      <c r="AG215" s="19" t="n"/>
      <c r="AH215" s="19" t="n"/>
      <c r="AI215" s="19" t="n"/>
      <c r="AJ215" s="19" t="n"/>
      <c r="AK215" s="19" t="n"/>
      <c r="AL215" s="19" t="n"/>
      <c r="AM215" s="16" t="inlineStr">
        <is>
          <t>1 Bett. Bettwäsche und Kissen gehören nicht dazu.</t>
        </is>
      </c>
      <c r="AN215" s="22" t="n"/>
    </row>
    <row r="216" ht="30" customHeight="1">
      <c r="A216" s="15" t="inlineStr">
        <is>
          <t>NU07-02</t>
        </is>
      </c>
      <c r="B216" s="15" t="n"/>
      <c r="C216" s="15" t="n"/>
      <c r="D216" s="15" t="inlineStr">
        <is>
          <t>NU07</t>
        </is>
      </c>
      <c r="E216" s="15" t="inlineStr">
        <is>
          <t>Kaufladen weiß mit Aufsatz</t>
        </is>
      </c>
      <c r="F216" s="16" t="inlineStr">
        <is>
          <t>Kaufladen aus Holz, weiß mit grauer Rückwand: Verkaufstheke mit Ablage unten, Aufsatz mit sechs Fächern und geschwungener Blende.</t>
        </is>
      </c>
      <c r="G216" s="15" t="inlineStr">
        <is>
          <t>Kita-Ausstattung</t>
        </is>
      </c>
      <c r="H216" s="15" t="inlineStr">
        <is>
          <t>Garage</t>
        </is>
      </c>
      <c r="I216" s="15" t="inlineStr">
        <is>
          <t>B</t>
        </is>
      </c>
      <c r="J216" s="17" t="n">
        <v>1</v>
      </c>
      <c r="K216" s="17" t="n"/>
      <c r="L216" s="18">
        <f>J216-IF(K216="",0,K216)</f>
        <v/>
      </c>
      <c r="M216" s="15" t="inlineStr">
        <is>
          <t>Stück</t>
        </is>
      </c>
      <c r="N216" s="15" t="inlineStr">
        <is>
          <t>gebraucht</t>
        </is>
      </c>
      <c r="O216" s="19" t="n"/>
      <c r="P216" s="19" t="inlineStr">
        <is>
          <t>ja</t>
        </is>
      </c>
      <c r="Q216" s="19" t="n"/>
      <c r="R216" s="20" t="n"/>
      <c r="S216" s="20" t="n">
        <v>90</v>
      </c>
      <c r="T216" s="19" t="inlineStr">
        <is>
          <t>VHB</t>
        </is>
      </c>
      <c r="U216" s="21">
        <f>L216*S216</f>
        <v/>
      </c>
      <c r="V216" s="15" t="inlineStr">
        <is>
          <t>nur Abholung</t>
        </is>
      </c>
      <c r="W216" s="15" t="inlineStr">
        <is>
          <t>F-234</t>
        </is>
      </c>
      <c r="X216" s="19" t="inlineStr">
        <is>
          <t>ja</t>
        </is>
      </c>
      <c r="Y216" s="19" t="n"/>
      <c r="Z216" s="19" t="inlineStr">
        <is>
          <t>verfügbar</t>
        </is>
      </c>
      <c r="AA216" s="19" t="n"/>
      <c r="AB216" s="19" t="n"/>
      <c r="AC216" s="19" t="n"/>
      <c r="AD216" s="19" t="n"/>
      <c r="AE216" s="20" t="n"/>
      <c r="AF216" s="21">
        <f>IF(K216="","",K216*AE216)</f>
        <v/>
      </c>
      <c r="AG216" s="19" t="n"/>
      <c r="AH216" s="19" t="n"/>
      <c r="AI216" s="19" t="n"/>
      <c r="AJ216" s="19" t="n"/>
      <c r="AK216" s="19" t="n"/>
      <c r="AL216" s="19" t="n"/>
      <c r="AM216" s="16" t="inlineStr">
        <is>
          <t>1 Kaufladen. Spiellebensmittel, Kasse und Telefon gehören nicht dazu.</t>
        </is>
      </c>
      <c r="AN216" s="22" t="n"/>
    </row>
    <row r="217" ht="30" customHeight="1">
      <c r="A217" s="15" t="inlineStr">
        <is>
          <t>NU07-03</t>
        </is>
      </c>
      <c r="B217" s="15" t="n"/>
      <c r="C217" s="15" t="n"/>
      <c r="D217" s="15" t="inlineStr">
        <is>
          <t>NU07</t>
        </is>
      </c>
      <c r="E217" s="15" t="inlineStr">
        <is>
          <t>Wesco Spielküche, mehrteilig</t>
        </is>
      </c>
      <c r="F217" s="16" t="inlineStr">
        <is>
          <t>Zweite Spielküche von Wesco aus Birke-Multiplex: Mikrowellenmodul und Hängeschrank für die Wand, dazu Unterschränke mit Kochfeld, Spülbecken und Herdplatte. Weiße Klappen mit Holzgriffen, Module stehen frei.</t>
        </is>
      </c>
      <c r="G217" s="15" t="inlineStr">
        <is>
          <t>Kita-Ausstattung</t>
        </is>
      </c>
      <c r="H217" s="15" t="inlineStr">
        <is>
          <t>Garage</t>
        </is>
      </c>
      <c r="I217" s="15" t="inlineStr">
        <is>
          <t>A</t>
        </is>
      </c>
      <c r="J217" s="17" t="n">
        <v>1</v>
      </c>
      <c r="K217" s="17" t="n"/>
      <c r="L217" s="18">
        <f>J217-IF(K217="",0,K217)</f>
        <v/>
      </c>
      <c r="M217" s="15" t="inlineStr">
        <is>
          <t>Set</t>
        </is>
      </c>
      <c r="N217" s="15" t="inlineStr">
        <is>
          <t>gebraucht</t>
        </is>
      </c>
      <c r="O217" s="19" t="n"/>
      <c r="P217" s="19" t="inlineStr">
        <is>
          <t>ja</t>
        </is>
      </c>
      <c r="Q217" s="19" t="n"/>
      <c r="R217" s="20" t="n"/>
      <c r="S217" s="20" t="n">
        <v>650</v>
      </c>
      <c r="T217" s="19" t="inlineStr">
        <is>
          <t>VHB</t>
        </is>
      </c>
      <c r="U217" s="21">
        <f>L217*S217</f>
        <v/>
      </c>
      <c r="V217" s="15" t="inlineStr">
        <is>
          <t>nur Abholung</t>
        </is>
      </c>
      <c r="W217" s="15" t="inlineStr">
        <is>
          <t>F-236</t>
        </is>
      </c>
      <c r="X217" s="19" t="inlineStr">
        <is>
          <t>ja</t>
        </is>
      </c>
      <c r="Y217" s="19" t="n"/>
      <c r="Z217" s="19" t="inlineStr">
        <is>
          <t>verfügbar</t>
        </is>
      </c>
      <c r="AA217" s="19" t="inlineStr">
        <is>
          <t>Wesco</t>
        </is>
      </c>
      <c r="AB217" s="19" t="n"/>
      <c r="AC217" s="19" t="n"/>
      <c r="AD217" s="19" t="n"/>
      <c r="AE217" s="20" t="n"/>
      <c r="AF217" s="21">
        <f>IF(K217="","",K217*AE217)</f>
        <v/>
      </c>
      <c r="AG217" s="19" t="n"/>
      <c r="AH217" s="19" t="n"/>
      <c r="AI217" s="19" t="n"/>
      <c r="AJ217" s="19" t="n"/>
      <c r="AK217" s="19" t="n"/>
      <c r="AL217" s="19" t="n"/>
      <c r="AM217" s="16" t="inlineStr">
        <is>
          <t>1 Küche aus mehreren Modulen, mit Mikrowellenmodul und Hängeschrank. Eine zweite, anders zusammengesetzte Wesco-Küche steht unter NU03-03.</t>
        </is>
      </c>
      <c r="AN217" s="22" t="inlineStr">
        <is>
          <t>Nicht baugleich mit NU03-03, vom Haus bestaetigt – bleibt getrennt.</t>
        </is>
      </c>
    </row>
    <row r="218" ht="30" customHeight="1">
      <c r="A218" s="15" t="inlineStr">
        <is>
          <t>NU07-04</t>
        </is>
      </c>
      <c r="B218" s="15" t="n"/>
      <c r="C218" s="15" t="n"/>
      <c r="D218" s="15" t="inlineStr">
        <is>
          <t>NU07</t>
        </is>
      </c>
      <c r="E218" s="15" t="inlineStr">
        <is>
          <t>howa Kinderspielgrill</t>
        </is>
      </c>
      <c r="F218" s="16" t="inlineStr">
        <is>
          <t>Spielgrill aus Holz von howa: Rollklappe in Alu-Optik, Grillrost, zwei Drehknöpfe mit Digitalanzeige, seitliche Kochstelle und Ablageboden. Farbe an Kanten abgeplatzt.</t>
        </is>
      </c>
      <c r="G218" s="15" t="inlineStr">
        <is>
          <t>Kita-Ausstattung</t>
        </is>
      </c>
      <c r="H218" s="15" t="inlineStr">
        <is>
          <t>Garage</t>
        </is>
      </c>
      <c r="I218" s="15" t="inlineStr">
        <is>
          <t>B</t>
        </is>
      </c>
      <c r="J218" s="17" t="n">
        <v>1</v>
      </c>
      <c r="K218" s="17" t="n"/>
      <c r="L218" s="18">
        <f>J218-IF(K218="",0,K218)</f>
        <v/>
      </c>
      <c r="M218" s="15" t="inlineStr">
        <is>
          <t>Stück</t>
        </is>
      </c>
      <c r="N218" s="15" t="inlineStr">
        <is>
          <t>gebraucht</t>
        </is>
      </c>
      <c r="O218" s="19" t="n"/>
      <c r="P218" s="19" t="inlineStr">
        <is>
          <t>ja</t>
        </is>
      </c>
      <c r="Q218" s="19" t="n"/>
      <c r="R218" s="20" t="n"/>
      <c r="S218" s="20" t="n">
        <v>35</v>
      </c>
      <c r="T218" s="19" t="inlineStr">
        <is>
          <t>VHB</t>
        </is>
      </c>
      <c r="U218" s="21">
        <f>L218*S218</f>
        <v/>
      </c>
      <c r="V218" s="15" t="inlineStr">
        <is>
          <t>nur Abholung</t>
        </is>
      </c>
      <c r="W218" s="15" t="inlineStr">
        <is>
          <t>F-237</t>
        </is>
      </c>
      <c r="X218" s="19" t="inlineStr">
        <is>
          <t>ja</t>
        </is>
      </c>
      <c r="Y218" s="19" t="n"/>
      <c r="Z218" s="19" t="inlineStr">
        <is>
          <t>verfügbar</t>
        </is>
      </c>
      <c r="AA218" s="19" t="inlineStr">
        <is>
          <t>howa</t>
        </is>
      </c>
      <c r="AB218" s="19" t="n"/>
      <c r="AC218" s="19" t="n"/>
      <c r="AD218" s="19" t="n"/>
      <c r="AE218" s="20" t="n"/>
      <c r="AF218" s="21">
        <f>IF(K218="","",K218*AE218)</f>
        <v/>
      </c>
      <c r="AG218" s="19" t="n"/>
      <c r="AH218" s="19" t="n"/>
      <c r="AI218" s="19" t="n"/>
      <c r="AJ218" s="19" t="n"/>
      <c r="AK218" s="19" t="n"/>
      <c r="AL218" s="19" t="n"/>
      <c r="AM218" s="16" t="inlineStr">
        <is>
          <t>1 Grill.</t>
        </is>
      </c>
      <c r="AN218" s="22" t="n"/>
    </row>
    <row r="219" ht="30" customHeight="1">
      <c r="A219" s="15" t="inlineStr">
        <is>
          <t>NU07-05</t>
        </is>
      </c>
      <c r="B219" s="15" t="n"/>
      <c r="C219" s="15" t="n"/>
      <c r="D219" s="15" t="inlineStr">
        <is>
          <t>NU07</t>
        </is>
      </c>
      <c r="E219" s="15" t="inlineStr">
        <is>
          <t>Kinderkleiderschrank Birke mit zwei Türen</t>
        </is>
      </c>
      <c r="F219" s="16" t="inlineStr">
        <is>
          <t>Kleiderschrank aus Birke-Multiplex mit zwei weißen Türen und Griffmulden. Innen links eine Kleiderstange, rechts zwei Einlegeböden mit Durchgriff.</t>
        </is>
      </c>
      <c r="G219" s="15" t="inlineStr">
        <is>
          <t>Kita-Ausstattung</t>
        </is>
      </c>
      <c r="H219" s="15" t="inlineStr">
        <is>
          <t>Garage</t>
        </is>
      </c>
      <c r="I219" s="15" t="inlineStr">
        <is>
          <t>B</t>
        </is>
      </c>
      <c r="J219" s="17" t="n">
        <v>1</v>
      </c>
      <c r="K219" s="17" t="n"/>
      <c r="L219" s="18">
        <f>J219-IF(K219="",0,K219)</f>
        <v/>
      </c>
      <c r="M219" s="15" t="inlineStr">
        <is>
          <t>Stück</t>
        </is>
      </c>
      <c r="N219" s="15" t="inlineStr">
        <is>
          <t>gebraucht</t>
        </is>
      </c>
      <c r="O219" s="19" t="n"/>
      <c r="P219" s="19" t="inlineStr">
        <is>
          <t>ja</t>
        </is>
      </c>
      <c r="Q219" s="19" t="n"/>
      <c r="R219" s="20" t="n"/>
      <c r="S219" s="20" t="n">
        <v>140</v>
      </c>
      <c r="T219" s="19" t="inlineStr">
        <is>
          <t>VHB</t>
        </is>
      </c>
      <c r="U219" s="21">
        <f>L219*S219</f>
        <v/>
      </c>
      <c r="V219" s="15" t="inlineStr">
        <is>
          <t>nur Abholung</t>
        </is>
      </c>
      <c r="W219" s="15" t="inlineStr">
        <is>
          <t>F-238</t>
        </is>
      </c>
      <c r="X219" s="19" t="inlineStr">
        <is>
          <t>ja</t>
        </is>
      </c>
      <c r="Y219" s="19" t="n"/>
      <c r="Z219" s="19" t="inlineStr">
        <is>
          <t>verfügbar</t>
        </is>
      </c>
      <c r="AA219" s="19" t="n"/>
      <c r="AB219" s="19" t="n"/>
      <c r="AC219" s="19" t="n"/>
      <c r="AD219" s="19" t="n"/>
      <c r="AE219" s="20" t="n"/>
      <c r="AF219" s="21">
        <f>IF(K219="","",K219*AE219)</f>
        <v/>
      </c>
      <c r="AG219" s="19" t="n"/>
      <c r="AH219" s="19" t="n"/>
      <c r="AI219" s="19" t="n"/>
      <c r="AJ219" s="19" t="n"/>
      <c r="AK219" s="19" t="n"/>
      <c r="AL219" s="19" t="n"/>
      <c r="AM219" s="16" t="inlineStr">
        <is>
          <t>1 Schrank. Der Innenraum ist auf Foto F-239 zu sehen.</t>
        </is>
      </c>
      <c r="AN219" s="22" t="n"/>
    </row>
    <row r="220" ht="30" customHeight="1">
      <c r="A220" s="15" t="inlineStr">
        <is>
          <t>NU07-07</t>
        </is>
      </c>
      <c r="B220" s="15" t="n"/>
      <c r="C220" s="15" t="n"/>
      <c r="D220" s="15" t="inlineStr">
        <is>
          <t>NU07</t>
        </is>
      </c>
      <c r="E220" s="15" t="inlineStr">
        <is>
          <t>Aufbewahrungsregal weiß mit zehn Einschüben</t>
        </is>
      </c>
      <c r="F220" s="16" t="inlineStr">
        <is>
          <t>Schmales hohes Regal in Weiß mit zehn Einschubschienen, für flache Kästen oder Papier.</t>
        </is>
      </c>
      <c r="G220" s="15" t="inlineStr">
        <is>
          <t>Kita-Ausstattung</t>
        </is>
      </c>
      <c r="H220" s="15" t="inlineStr">
        <is>
          <t>Garage</t>
        </is>
      </c>
      <c r="I220" s="15" t="inlineStr">
        <is>
          <t>B</t>
        </is>
      </c>
      <c r="J220" s="17" t="n">
        <v>1</v>
      </c>
      <c r="K220" s="17" t="n"/>
      <c r="L220" s="18">
        <f>J220-IF(K220="",0,K220)</f>
        <v/>
      </c>
      <c r="M220" s="15" t="inlineStr">
        <is>
          <t>Stück</t>
        </is>
      </c>
      <c r="N220" s="15" t="inlineStr">
        <is>
          <t>gebraucht</t>
        </is>
      </c>
      <c r="O220" s="19" t="n"/>
      <c r="P220" s="19" t="inlineStr">
        <is>
          <t>ja</t>
        </is>
      </c>
      <c r="Q220" s="19" t="n"/>
      <c r="R220" s="20" t="n"/>
      <c r="S220" s="20" t="n">
        <v>75</v>
      </c>
      <c r="T220" s="19" t="inlineStr">
        <is>
          <t>VHB</t>
        </is>
      </c>
      <c r="U220" s="21">
        <f>L220*S220</f>
        <v/>
      </c>
      <c r="V220" s="15" t="inlineStr">
        <is>
          <t>nur Abholung</t>
        </is>
      </c>
      <c r="W220" s="15" t="inlineStr">
        <is>
          <t>F-241</t>
        </is>
      </c>
      <c r="X220" s="19" t="inlineStr">
        <is>
          <t>ja</t>
        </is>
      </c>
      <c r="Y220" s="19" t="n"/>
      <c r="Z220" s="19" t="inlineStr">
        <is>
          <t>verfügbar</t>
        </is>
      </c>
      <c r="AA220" s="19" t="n"/>
      <c r="AB220" s="19" t="n"/>
      <c r="AC220" s="19" t="n"/>
      <c r="AD220" s="19" t="n"/>
      <c r="AE220" s="20" t="n"/>
      <c r="AF220" s="21">
        <f>IF(K220="","",K220*AE220)</f>
        <v/>
      </c>
      <c r="AG220" s="19" t="n"/>
      <c r="AH220" s="19" t="n"/>
      <c r="AI220" s="19" t="n"/>
      <c r="AJ220" s="19" t="n"/>
      <c r="AK220" s="19" t="n"/>
      <c r="AL220" s="19" t="n"/>
      <c r="AM220" s="16" t="inlineStr">
        <is>
          <t>1 Regal. Die Einschubkästen gehören nicht dazu.</t>
        </is>
      </c>
      <c r="AN220" s="22" t="n"/>
    </row>
    <row r="221" ht="30" customHeight="1">
      <c r="A221" s="15" t="inlineStr">
        <is>
          <t>NU07-08</t>
        </is>
      </c>
      <c r="B221" s="15" t="n"/>
      <c r="C221" s="15" t="n"/>
      <c r="D221" s="15" t="inlineStr">
        <is>
          <t>NU07</t>
        </is>
      </c>
      <c r="E221" s="15" t="inlineStr">
        <is>
          <t>Sitzgruppe: Tisch und zwei Truhenbänke</t>
        </is>
      </c>
      <c r="F221" s="16" t="inlineStr">
        <is>
          <t>Sitzgruppe aus einem Kindertisch und zwei Sitzbänken mit Rückenlehne. Die Sitzflächen lassen sich anheben und geben je einen Stauraum frei, gedämpft über eine Gasdruckfeder. Weiße Platten auf Beinen aus Buche.</t>
        </is>
      </c>
      <c r="G221" s="15" t="inlineStr">
        <is>
          <t>Kita-Ausstattung</t>
        </is>
      </c>
      <c r="H221" s="15" t="inlineStr">
        <is>
          <t>Garage</t>
        </is>
      </c>
      <c r="I221" s="15" t="inlineStr">
        <is>
          <t>B</t>
        </is>
      </c>
      <c r="J221" s="17" t="n">
        <v>1</v>
      </c>
      <c r="K221" s="17" t="n"/>
      <c r="L221" s="18">
        <f>J221-IF(K221="",0,K221)</f>
        <v/>
      </c>
      <c r="M221" s="15" t="inlineStr">
        <is>
          <t>Set</t>
        </is>
      </c>
      <c r="N221" s="15" t="inlineStr">
        <is>
          <t>gebraucht</t>
        </is>
      </c>
      <c r="O221" s="19" t="n"/>
      <c r="P221" s="19" t="inlineStr">
        <is>
          <t>ja</t>
        </is>
      </c>
      <c r="Q221" s="19" t="n"/>
      <c r="R221" s="20" t="n"/>
      <c r="S221" s="20" t="n">
        <v>150</v>
      </c>
      <c r="T221" s="19" t="inlineStr">
        <is>
          <t>VHB</t>
        </is>
      </c>
      <c r="U221" s="21">
        <f>L221*S221</f>
        <v/>
      </c>
      <c r="V221" s="15" t="inlineStr">
        <is>
          <t>nur Abholung</t>
        </is>
      </c>
      <c r="W221" s="15" t="inlineStr">
        <is>
          <t>F-242</t>
        </is>
      </c>
      <c r="X221" s="19" t="inlineStr">
        <is>
          <t>ja</t>
        </is>
      </c>
      <c r="Y221" s="19" t="n"/>
      <c r="Z221" s="19" t="inlineStr">
        <is>
          <t>verfügbar</t>
        </is>
      </c>
      <c r="AA221" s="19" t="n"/>
      <c r="AB221" s="19" t="n"/>
      <c r="AC221" s="19" t="n"/>
      <c r="AD221" s="19" t="n"/>
      <c r="AE221" s="20" t="n"/>
      <c r="AF221" s="21">
        <f>IF(K221="","",K221*AE221)</f>
        <v/>
      </c>
      <c r="AG221" s="19" t="n"/>
      <c r="AH221" s="19" t="n"/>
      <c r="AI221" s="19" t="n"/>
      <c r="AJ221" s="19" t="n"/>
      <c r="AK221" s="19" t="n"/>
      <c r="AL221" s="19" t="n"/>
      <c r="AM221" s="16" t="inlineStr">
        <is>
          <t>1 Sitzgruppe aus drei Teilen: ein Tisch und zwei Truhenbänke. Der Stauraum unter der Sitzfläche ist auf Foto F-243 zu sehen.</t>
        </is>
      </c>
      <c r="AN221" s="22" t="n"/>
    </row>
    <row r="222" ht="30" customHeight="1">
      <c r="A222" s="15" t="inlineStr">
        <is>
          <t>NE01-17</t>
        </is>
      </c>
      <c r="B222" s="15" t="n"/>
      <c r="C222" s="15" t="n"/>
      <c r="D222" s="15" t="inlineStr">
        <is>
          <t>NE01</t>
        </is>
      </c>
      <c r="E222" s="15" t="inlineStr">
        <is>
          <t>Wandregal Berg, grau mit Holzablagen</t>
        </is>
      </c>
      <c r="F222" s="16" t="inlineStr">
        <is>
          <t>Wandregal in Bergform, grau lackiert mit gelber Gipfellinie, mit mehreren Ablagebrettern aus Buche. Im Haus als Regal für Hörfiguren genutzt.</t>
        </is>
      </c>
      <c r="G222" s="15" t="inlineStr">
        <is>
          <t>Möbel</t>
        </is>
      </c>
      <c r="H222" s="15" t="inlineStr">
        <is>
          <t>Flur</t>
        </is>
      </c>
      <c r="I222" s="15" t="inlineStr">
        <is>
          <t>C</t>
        </is>
      </c>
      <c r="J222" s="17" t="n">
        <v>2</v>
      </c>
      <c r="K222" s="17" t="n"/>
      <c r="L222" s="18">
        <f>J222-IF(K222="",0,K222)</f>
        <v/>
      </c>
      <c r="M222" s="15" t="inlineStr">
        <is>
          <t>Stück</t>
        </is>
      </c>
      <c r="N222" s="15" t="inlineStr">
        <is>
          <t>gebraucht</t>
        </is>
      </c>
      <c r="O222" s="19" t="n"/>
      <c r="P222" s="19" t="inlineStr">
        <is>
          <t>ja</t>
        </is>
      </c>
      <c r="Q222" s="19" t="n"/>
      <c r="R222" s="20" t="n"/>
      <c r="S222" s="20" t="n">
        <v>20</v>
      </c>
      <c r="T222" s="19" t="inlineStr">
        <is>
          <t>VHB</t>
        </is>
      </c>
      <c r="U222" s="21">
        <f>L222*S222</f>
        <v/>
      </c>
      <c r="V222" s="15" t="inlineStr">
        <is>
          <t>Versand möglich</t>
        </is>
      </c>
      <c r="W222" s="15" t="inlineStr">
        <is>
          <t>F-246</t>
        </is>
      </c>
      <c r="X222" s="19" t="inlineStr">
        <is>
          <t>ja</t>
        </is>
      </c>
      <c r="Y222" s="19" t="n"/>
      <c r="Z222" s="19" t="inlineStr">
        <is>
          <t>verfügbar</t>
        </is>
      </c>
      <c r="AA222" s="19" t="n"/>
      <c r="AB222" s="19" t="n"/>
      <c r="AC222" s="19" t="n"/>
      <c r="AD222" s="19" t="n"/>
      <c r="AE222" s="20" t="n"/>
      <c r="AF222" s="21">
        <f>IF(K222="","",K222*AE222)</f>
        <v/>
      </c>
      <c r="AG222" s="19" t="n"/>
      <c r="AH222" s="19" t="n"/>
      <c r="AI222" s="19" t="n"/>
      <c r="AJ222" s="19" t="n"/>
      <c r="AK222" s="19" t="n"/>
      <c r="AL222" s="19" t="n"/>
      <c r="AM222" s="16" t="inlineStr">
        <is>
          <t>2 Regale, beide abgebildet. Figuren und Abspielgerät gehören nicht dazu.</t>
        </is>
      </c>
      <c r="AN222" s="22" t="n"/>
    </row>
    <row r="223" ht="30" customHeight="1">
      <c r="A223" s="15" t="inlineStr">
        <is>
          <t>NE01-18</t>
        </is>
      </c>
      <c r="B223" s="15" t="n"/>
      <c r="C223" s="15" t="n"/>
      <c r="D223" s="15" t="inlineStr">
        <is>
          <t>NE01</t>
        </is>
      </c>
      <c r="E223" s="15" t="inlineStr">
        <is>
          <t>Highboard weiß auf schwarzem Metallgestell</t>
        </is>
      </c>
      <c r="F223" s="16" t="inlineStr">
        <is>
          <t>Highboard mit weißen Fronten: zwei Türen oben, zwei breite Schubladen unten, flache schwarze Griffleisten, auf einem schwarzen Metallkufengestell.</t>
        </is>
      </c>
      <c r="G223" s="15" t="inlineStr">
        <is>
          <t>Möbel</t>
        </is>
      </c>
      <c r="H223" s="15" t="inlineStr">
        <is>
          <t>Flur</t>
        </is>
      </c>
      <c r="I223" s="15" t="inlineStr">
        <is>
          <t>B</t>
        </is>
      </c>
      <c r="J223" s="17" t="n">
        <v>1</v>
      </c>
      <c r="K223" s="17" t="n"/>
      <c r="L223" s="18">
        <f>J223-IF(K223="",0,K223)</f>
        <v/>
      </c>
      <c r="M223" s="15" t="inlineStr">
        <is>
          <t>Stück</t>
        </is>
      </c>
      <c r="N223" s="15" t="inlineStr">
        <is>
          <t>gebraucht</t>
        </is>
      </c>
      <c r="O223" s="19" t="n"/>
      <c r="P223" s="19" t="inlineStr">
        <is>
          <t>ja</t>
        </is>
      </c>
      <c r="Q223" s="19" t="n"/>
      <c r="R223" s="20" t="n"/>
      <c r="S223" s="20" t="n">
        <v>150</v>
      </c>
      <c r="T223" s="19" t="inlineStr">
        <is>
          <t>VHB</t>
        </is>
      </c>
      <c r="U223" s="21">
        <f>L223*S223</f>
        <v/>
      </c>
      <c r="V223" s="15" t="inlineStr">
        <is>
          <t>nur Abholung</t>
        </is>
      </c>
      <c r="W223" s="15" t="inlineStr">
        <is>
          <t>F-247</t>
        </is>
      </c>
      <c r="X223" s="19" t="inlineStr">
        <is>
          <t>ja</t>
        </is>
      </c>
      <c r="Y223" s="19" t="n"/>
      <c r="Z223" s="19" t="inlineStr">
        <is>
          <t>verfügbar</t>
        </is>
      </c>
      <c r="AA223" s="19" t="n"/>
      <c r="AB223" s="19" t="n"/>
      <c r="AC223" s="19" t="n"/>
      <c r="AD223" s="19" t="n"/>
      <c r="AE223" s="20" t="n"/>
      <c r="AF223" s="21">
        <f>IF(K223="","",K223*AE223)</f>
        <v/>
      </c>
      <c r="AG223" s="19" t="n"/>
      <c r="AH223" s="19" t="n"/>
      <c r="AI223" s="19" t="n"/>
      <c r="AJ223" s="19" t="n"/>
      <c r="AK223" s="19" t="n"/>
      <c r="AL223" s="19" t="n"/>
      <c r="AM223" s="16" t="inlineStr">
        <is>
          <t>1 Highboard.</t>
        </is>
      </c>
      <c r="AN223" s="22" t="n"/>
    </row>
    <row r="224" ht="30" customHeight="1">
      <c r="A224" s="15" t="inlineStr">
        <is>
          <t>NE01-19</t>
        </is>
      </c>
      <c r="B224" s="15" t="n"/>
      <c r="C224" s="15" t="n"/>
      <c r="D224" s="15" t="inlineStr">
        <is>
          <t>NE01</t>
        </is>
      </c>
      <c r="E224" s="15" t="inlineStr">
        <is>
          <t>Stoff-Alpaka groß</t>
        </is>
      </c>
      <c r="F224" s="16" t="inlineStr">
        <is>
          <t>Großes Stofftier in Alpakaform, beiger Bouclé-Bezug, standfest. Etwa einen Meter hoch.</t>
        </is>
      </c>
      <c r="G224" s="15" t="inlineStr">
        <is>
          <t>Deko</t>
        </is>
      </c>
      <c r="H224" s="15" t="inlineStr">
        <is>
          <t>Flur</t>
        </is>
      </c>
      <c r="I224" s="15" t="inlineStr">
        <is>
          <t>B</t>
        </is>
      </c>
      <c r="J224" s="17" t="n">
        <v>1</v>
      </c>
      <c r="K224" s="17" t="n"/>
      <c r="L224" s="18">
        <f>J224-IF(K224="",0,K224)</f>
        <v/>
      </c>
      <c r="M224" s="15" t="inlineStr">
        <is>
          <t>Stück</t>
        </is>
      </c>
      <c r="N224" s="15" t="inlineStr">
        <is>
          <t>gebraucht</t>
        </is>
      </c>
      <c r="O224" s="19" t="n"/>
      <c r="P224" s="19" t="inlineStr">
        <is>
          <t>ja</t>
        </is>
      </c>
      <c r="Q224" s="19" t="n"/>
      <c r="R224" s="20" t="n"/>
      <c r="S224" s="20" t="n">
        <v>55</v>
      </c>
      <c r="T224" s="19" t="inlineStr">
        <is>
          <t>VHB</t>
        </is>
      </c>
      <c r="U224" s="21">
        <f>L224*S224</f>
        <v/>
      </c>
      <c r="V224" s="15" t="inlineStr">
        <is>
          <t>nur Abholung</t>
        </is>
      </c>
      <c r="W224" s="15" t="inlineStr">
        <is>
          <t>F-248</t>
        </is>
      </c>
      <c r="X224" s="19" t="inlineStr">
        <is>
          <t>ja</t>
        </is>
      </c>
      <c r="Y224" s="19" t="n"/>
      <c r="Z224" s="19" t="inlineStr">
        <is>
          <t>verfügbar</t>
        </is>
      </c>
      <c r="AA224" s="19" t="n"/>
      <c r="AB224" s="19" t="n"/>
      <c r="AC224" s="19" t="n"/>
      <c r="AD224" s="19" t="n"/>
      <c r="AE224" s="20" t="n"/>
      <c r="AF224" s="21">
        <f>IF(K224="","",K224*AE224)</f>
        <v/>
      </c>
      <c r="AG224" s="19" t="n"/>
      <c r="AH224" s="19" t="n"/>
      <c r="AI224" s="19" t="n"/>
      <c r="AJ224" s="19" t="n"/>
      <c r="AK224" s="19" t="n"/>
      <c r="AL224" s="19" t="n"/>
      <c r="AM224" s="16" t="inlineStr">
        <is>
          <t>1 Stück.</t>
        </is>
      </c>
      <c r="AN224" s="22" t="n"/>
    </row>
    <row r="225" ht="30" customHeight="1">
      <c r="A225" s="15" t="inlineStr">
        <is>
          <t>NE01-20</t>
        </is>
      </c>
      <c r="B225" s="15" t="n"/>
      <c r="C225" s="15" t="n"/>
      <c r="D225" s="15" t="inlineStr">
        <is>
          <t>NE01</t>
        </is>
      </c>
      <c r="E225" s="15" t="inlineStr">
        <is>
          <t>Kinder-Ohrensessel rot, Kunstleder</t>
        </is>
      </c>
      <c r="F225" s="16" t="inlineStr">
        <is>
          <t>Ohrensessel in Kindergröße, roter Kunstlederbezug, geschwungene schwarze Holzbeine. An einer Armlehne ist der Bezug aufgerissen.</t>
        </is>
      </c>
      <c r="G225" s="15" t="inlineStr">
        <is>
          <t>Möbel</t>
        </is>
      </c>
      <c r="H225" s="15" t="inlineStr">
        <is>
          <t>Flur</t>
        </is>
      </c>
      <c r="I225" s="15" t="inlineStr">
        <is>
          <t>B</t>
        </is>
      </c>
      <c r="J225" s="17" t="n">
        <v>2</v>
      </c>
      <c r="K225" s="17" t="n"/>
      <c r="L225" s="18">
        <f>J225-IF(K225="",0,K225)</f>
        <v/>
      </c>
      <c r="M225" s="15" t="inlineStr">
        <is>
          <t>Stück</t>
        </is>
      </c>
      <c r="N225" s="15" t="inlineStr">
        <is>
          <t>stark gebraucht</t>
        </is>
      </c>
      <c r="O225" s="19" t="n"/>
      <c r="P225" s="19" t="inlineStr">
        <is>
          <t>ja</t>
        </is>
      </c>
      <c r="Q225" s="19" t="n"/>
      <c r="R225" s="20" t="n"/>
      <c r="S225" s="20" t="n">
        <v>55</v>
      </c>
      <c r="T225" s="19" t="inlineStr">
        <is>
          <t>VHB</t>
        </is>
      </c>
      <c r="U225" s="21">
        <f>L225*S225</f>
        <v/>
      </c>
      <c r="V225" s="15" t="inlineStr">
        <is>
          <t>nur Abholung</t>
        </is>
      </c>
      <c r="W225" s="15" t="inlineStr">
        <is>
          <t>F-249</t>
        </is>
      </c>
      <c r="X225" s="19" t="inlineStr">
        <is>
          <t>ja</t>
        </is>
      </c>
      <c r="Y225" s="19" t="n"/>
      <c r="Z225" s="19" t="inlineStr">
        <is>
          <t>verfügbar</t>
        </is>
      </c>
      <c r="AA225" s="19" t="n"/>
      <c r="AB225" s="19" t="n"/>
      <c r="AC225" s="19" t="n"/>
      <c r="AD225" s="19" t="n"/>
      <c r="AE225" s="20" t="n"/>
      <c r="AF225" s="21">
        <f>IF(K225="","",K225*AE225)</f>
        <v/>
      </c>
      <c r="AG225" s="19" t="n"/>
      <c r="AH225" s="19" t="n"/>
      <c r="AI225" s="19" t="n"/>
      <c r="AJ225" s="19" t="n"/>
      <c r="AK225" s="19" t="n"/>
      <c r="AL225" s="19" t="n"/>
      <c r="AM225" s="16" t="inlineStr">
        <is>
          <t>2 Sessel – abgebildet ist einer davon.</t>
        </is>
      </c>
      <c r="AN225" s="22" t="n"/>
    </row>
    <row r="226" ht="30" customHeight="1">
      <c r="A226" s="15" t="inlineStr">
        <is>
          <t>NE01-21</t>
        </is>
      </c>
      <c r="B226" s="15" t="n"/>
      <c r="C226" s="15" t="n"/>
      <c r="D226" s="15" t="inlineStr">
        <is>
          <t>NE01</t>
        </is>
      </c>
      <c r="E226" s="15" t="inlineStr">
        <is>
          <t>Wandregal weiß mit drei Wannen</t>
        </is>
      </c>
      <c r="F226" s="16" t="inlineStr">
        <is>
          <t>Weißes Wandelement mit drei Fächern und eingeschobenen Kunststoffwannen.</t>
        </is>
      </c>
      <c r="G226" s="15" t="inlineStr">
        <is>
          <t>Kita-Ausstattung</t>
        </is>
      </c>
      <c r="H226" s="15" t="inlineStr">
        <is>
          <t>Flur</t>
        </is>
      </c>
      <c r="I226" s="15" t="inlineStr">
        <is>
          <t>B</t>
        </is>
      </c>
      <c r="J226" s="17" t="n">
        <v>12</v>
      </c>
      <c r="K226" s="17" t="n"/>
      <c r="L226" s="18">
        <f>J226-IF(K226="",0,K226)</f>
        <v/>
      </c>
      <c r="M226" s="15" t="inlineStr">
        <is>
          <t>Stück</t>
        </is>
      </c>
      <c r="N226" s="15" t="inlineStr">
        <is>
          <t>gebraucht</t>
        </is>
      </c>
      <c r="O226" s="19" t="n"/>
      <c r="P226" s="19" t="inlineStr">
        <is>
          <t>ja</t>
        </is>
      </c>
      <c r="Q226" s="19" t="n"/>
      <c r="R226" s="20" t="n"/>
      <c r="S226" s="20" t="n">
        <v>35</v>
      </c>
      <c r="T226" s="19" t="inlineStr">
        <is>
          <t>VHB</t>
        </is>
      </c>
      <c r="U226" s="21">
        <f>L226*S226</f>
        <v/>
      </c>
      <c r="V226" s="15" t="inlineStr">
        <is>
          <t>nur Abholung</t>
        </is>
      </c>
      <c r="W226" s="15" t="inlineStr">
        <is>
          <t>F-250</t>
        </is>
      </c>
      <c r="X226" s="19" t="inlineStr">
        <is>
          <t>ja</t>
        </is>
      </c>
      <c r="Y226" s="19" t="n"/>
      <c r="Z226" s="19" t="inlineStr">
        <is>
          <t>verfügbar</t>
        </is>
      </c>
      <c r="AA226" s="19" t="n"/>
      <c r="AB226" s="19" t="n"/>
      <c r="AC226" s="19" t="n"/>
      <c r="AD226" s="19" t="n"/>
      <c r="AE226" s="20" t="n"/>
      <c r="AF226" s="21">
        <f>IF(K226="","",K226*AE226)</f>
        <v/>
      </c>
      <c r="AG226" s="19" t="n"/>
      <c r="AH226" s="19" t="n"/>
      <c r="AI226" s="19" t="n"/>
      <c r="AJ226" s="19" t="n"/>
      <c r="AK226" s="19" t="n"/>
      <c r="AL226" s="19" t="n"/>
      <c r="AM226" s="16" t="inlineStr">
        <is>
          <t>12 Regale einschließlich der Wannen – abgebildet ist eines davon. Die Hundehaken darunter sind eigene Positionen (NE01-22 und NE01-23).</t>
        </is>
      </c>
      <c r="AN226" s="22" t="n"/>
    </row>
    <row r="227" ht="30" customHeight="1">
      <c r="A227" s="15" t="inlineStr">
        <is>
          <t>NE01-22</t>
        </is>
      </c>
      <c r="B227" s="15" t="n"/>
      <c r="C227" s="15" t="n"/>
      <c r="D227" s="15" t="inlineStr">
        <is>
          <t>NE01</t>
        </is>
      </c>
      <c r="E227" s="15" t="inlineStr">
        <is>
          <t>Wandhaken Hund, schwarz</t>
        </is>
      </c>
      <c r="F227" s="16" t="inlineStr">
        <is>
          <t>Wandhaken in Form eines Hunde-Hinterteils mit aufgestelltem Schwanz, schwarz, mit einer Schraube befestigt.</t>
        </is>
      </c>
      <c r="G227" s="15" t="inlineStr">
        <is>
          <t>Deko</t>
        </is>
      </c>
      <c r="H227" s="15" t="inlineStr">
        <is>
          <t>Flur</t>
        </is>
      </c>
      <c r="I227" s="15" t="inlineStr">
        <is>
          <t>C</t>
        </is>
      </c>
      <c r="J227" s="17" t="n">
        <v>21</v>
      </c>
      <c r="K227" s="17" t="n"/>
      <c r="L227" s="18">
        <f>J227-IF(K227="",0,K227)</f>
        <v/>
      </c>
      <c r="M227" s="15" t="inlineStr">
        <is>
          <t>Stück</t>
        </is>
      </c>
      <c r="N227" s="15" t="inlineStr">
        <is>
          <t>gebraucht</t>
        </is>
      </c>
      <c r="O227" s="19" t="n"/>
      <c r="P227" s="19" t="inlineStr">
        <is>
          <t>ja</t>
        </is>
      </c>
      <c r="Q227" s="19" t="n"/>
      <c r="R227" s="20" t="n"/>
      <c r="S227" s="20" t="n">
        <v>6</v>
      </c>
      <c r="T227" s="19" t="inlineStr">
        <is>
          <t>VHB</t>
        </is>
      </c>
      <c r="U227" s="21">
        <f>L227*S227</f>
        <v/>
      </c>
      <c r="V227" s="15" t="inlineStr">
        <is>
          <t>Versand möglich</t>
        </is>
      </c>
      <c r="W227" s="15" t="inlineStr">
        <is>
          <t>F-251</t>
        </is>
      </c>
      <c r="X227" s="19" t="inlineStr">
        <is>
          <t>ja</t>
        </is>
      </c>
      <c r="Y227" s="19" t="n"/>
      <c r="Z227" s="19" t="inlineStr">
        <is>
          <t>verfügbar</t>
        </is>
      </c>
      <c r="AA227" s="19" t="n"/>
      <c r="AB227" s="19" t="n"/>
      <c r="AC227" s="19" t="n"/>
      <c r="AD227" s="19" t="n"/>
      <c r="AE227" s="20" t="n"/>
      <c r="AF227" s="21">
        <f>IF(K227="","",K227*AE227)</f>
        <v/>
      </c>
      <c r="AG227" s="19" t="n"/>
      <c r="AH227" s="19" t="n"/>
      <c r="AI227" s="19" t="n"/>
      <c r="AJ227" s="19" t="n"/>
      <c r="AK227" s="19" t="n"/>
      <c r="AL227" s="19" t="n"/>
      <c r="AM227" s="16" t="inlineStr">
        <is>
          <t>21 Haken – abgebildet ist einer davon.</t>
        </is>
      </c>
      <c r="AN227" s="22" t="n"/>
    </row>
    <row r="228" ht="30" customHeight="1">
      <c r="A228" s="15" t="inlineStr">
        <is>
          <t>NE01-23</t>
        </is>
      </c>
      <c r="B228" s="15" t="n"/>
      <c r="C228" s="15" t="n"/>
      <c r="D228" s="15" t="inlineStr">
        <is>
          <t>NE01</t>
        </is>
      </c>
      <c r="E228" s="15" t="inlineStr">
        <is>
          <t>Wandhaken Hund, grün</t>
        </is>
      </c>
      <c r="F228" s="16" t="inlineStr">
        <is>
          <t>Wandhaken in Form eines Hunde-Hinterteils mit aufgestelltem Schwanz, hellgrün, mit einer Schraube befestigt.</t>
        </is>
      </c>
      <c r="G228" s="15" t="inlineStr">
        <is>
          <t>Deko</t>
        </is>
      </c>
      <c r="H228" s="15" t="inlineStr">
        <is>
          <t>Flur</t>
        </is>
      </c>
      <c r="I228" s="15" t="inlineStr">
        <is>
          <t>C</t>
        </is>
      </c>
      <c r="J228" s="17" t="n">
        <v>11</v>
      </c>
      <c r="K228" s="17" t="n"/>
      <c r="L228" s="18">
        <f>J228-IF(K228="",0,K228)</f>
        <v/>
      </c>
      <c r="M228" s="15" t="inlineStr">
        <is>
          <t>Stück</t>
        </is>
      </c>
      <c r="N228" s="15" t="inlineStr">
        <is>
          <t>gebraucht</t>
        </is>
      </c>
      <c r="O228" s="19" t="n"/>
      <c r="P228" s="19" t="inlineStr">
        <is>
          <t>ja</t>
        </is>
      </c>
      <c r="Q228" s="19" t="n"/>
      <c r="R228" s="20" t="n"/>
      <c r="S228" s="20" t="n">
        <v>6</v>
      </c>
      <c r="T228" s="19" t="inlineStr">
        <is>
          <t>VHB</t>
        </is>
      </c>
      <c r="U228" s="21">
        <f>L228*S228</f>
        <v/>
      </c>
      <c r="V228" s="15" t="inlineStr">
        <is>
          <t>Versand möglich</t>
        </is>
      </c>
      <c r="W228" s="15" t="inlineStr">
        <is>
          <t>F-252</t>
        </is>
      </c>
      <c r="X228" s="19" t="inlineStr">
        <is>
          <t>ja</t>
        </is>
      </c>
      <c r="Y228" s="19" t="n"/>
      <c r="Z228" s="19" t="inlineStr">
        <is>
          <t>verfügbar</t>
        </is>
      </c>
      <c r="AA228" s="19" t="n"/>
      <c r="AB228" s="19" t="n"/>
      <c r="AC228" s="19" t="n"/>
      <c r="AD228" s="19" t="n"/>
      <c r="AE228" s="20" t="n"/>
      <c r="AF228" s="21">
        <f>IF(K228="","",K228*AE228)</f>
        <v/>
      </c>
      <c r="AG228" s="19" t="n"/>
      <c r="AH228" s="19" t="n"/>
      <c r="AI228" s="19" t="n"/>
      <c r="AJ228" s="19" t="n"/>
      <c r="AK228" s="19" t="n"/>
      <c r="AL228" s="19" t="n"/>
      <c r="AM228" s="16" t="inlineStr">
        <is>
          <t>11 Haken – abgebildet ist einer davon.</t>
        </is>
      </c>
      <c r="AN228" s="22" t="n"/>
    </row>
    <row r="229" ht="30" customHeight="1">
      <c r="A229" s="15" t="inlineStr">
        <is>
          <t>NE01-24</t>
        </is>
      </c>
      <c r="B229" s="15" t="n"/>
      <c r="C229" s="15" t="n"/>
      <c r="D229" s="15" t="inlineStr">
        <is>
          <t>NE01</t>
        </is>
      </c>
      <c r="E229" s="15" t="inlineStr">
        <is>
          <t>Truhenbank Kindergröße, Buche mit weiß</t>
        </is>
      </c>
      <c r="F229" s="16" t="inlineStr">
        <is>
          <t>Sitzbank in Kindergröße: Gestell und Sprossenlehne aus Buche massiv, Sitzfläche und Korpus weiß. Unter der Sitzfläche ein Stauraum. Sitzfläche stark verschmutzt und abgestoßen.</t>
        </is>
      </c>
      <c r="G229" s="15" t="inlineStr">
        <is>
          <t>Kita-Ausstattung</t>
        </is>
      </c>
      <c r="H229" s="15" t="inlineStr">
        <is>
          <t>Flur</t>
        </is>
      </c>
      <c r="I229" s="15" t="inlineStr">
        <is>
          <t>B</t>
        </is>
      </c>
      <c r="J229" s="17" t="n">
        <v>3</v>
      </c>
      <c r="K229" s="17" t="n"/>
      <c r="L229" s="18">
        <f>J229-IF(K229="",0,K229)</f>
        <v/>
      </c>
      <c r="M229" s="15" t="inlineStr">
        <is>
          <t>Stück</t>
        </is>
      </c>
      <c r="N229" s="15" t="inlineStr">
        <is>
          <t>stark gebraucht</t>
        </is>
      </c>
      <c r="O229" s="19" t="n"/>
      <c r="P229" s="19" t="inlineStr">
        <is>
          <t>ja</t>
        </is>
      </c>
      <c r="Q229" s="19" t="n"/>
      <c r="R229" s="20" t="n"/>
      <c r="S229" s="20" t="n">
        <v>35</v>
      </c>
      <c r="T229" s="19" t="inlineStr">
        <is>
          <t>VHB</t>
        </is>
      </c>
      <c r="U229" s="21">
        <f>L229*S229</f>
        <v/>
      </c>
      <c r="V229" s="15" t="inlineStr">
        <is>
          <t>nur Abholung</t>
        </is>
      </c>
      <c r="W229" s="15" t="inlineStr">
        <is>
          <t>F-253</t>
        </is>
      </c>
      <c r="X229" s="19" t="inlineStr">
        <is>
          <t>ja</t>
        </is>
      </c>
      <c r="Y229" s="19" t="n"/>
      <c r="Z229" s="19" t="inlineStr">
        <is>
          <t>verfügbar</t>
        </is>
      </c>
      <c r="AA229" s="19" t="n"/>
      <c r="AB229" s="19" t="n"/>
      <c r="AC229" s="19" t="n"/>
      <c r="AD229" s="19" t="n"/>
      <c r="AE229" s="20" t="n"/>
      <c r="AF229" s="21">
        <f>IF(K229="","",K229*AE229)</f>
        <v/>
      </c>
      <c r="AG229" s="19" t="n"/>
      <c r="AH229" s="19" t="n"/>
      <c r="AI229" s="19" t="n"/>
      <c r="AJ229" s="19" t="n"/>
      <c r="AK229" s="19" t="n"/>
      <c r="AL229" s="19" t="n"/>
      <c r="AM229" s="16" t="inlineStr">
        <is>
          <t>3 Bänke – abgebildet sind zwei davon.</t>
        </is>
      </c>
      <c r="AN229" s="22" t="n"/>
    </row>
    <row r="230" ht="30" customHeight="1">
      <c r="A230" s="15" t="inlineStr">
        <is>
          <t>NE01-25</t>
        </is>
      </c>
      <c r="B230" s="15" t="n"/>
      <c r="C230" s="15" t="n"/>
      <c r="D230" s="15" t="inlineStr">
        <is>
          <t>NE01</t>
        </is>
      </c>
      <c r="E230" s="15" t="inlineStr">
        <is>
          <t>Truhenbank Kindergröße, ganz weiß</t>
        </is>
      </c>
      <c r="F230" s="16" t="inlineStr">
        <is>
          <t>Sitzbank in Kindergröße, komplett weiß lackiert, mit Sprossenlehne und Stauraum unter der Sitzfläche. Lack an Kanten abgeplatzt, Sitzfläche zerkratzt.</t>
        </is>
      </c>
      <c r="G230" s="15" t="inlineStr">
        <is>
          <t>Kita-Ausstattung</t>
        </is>
      </c>
      <c r="H230" s="15" t="inlineStr">
        <is>
          <t>Flur</t>
        </is>
      </c>
      <c r="I230" s="15" t="inlineStr">
        <is>
          <t>B</t>
        </is>
      </c>
      <c r="J230" s="17" t="n">
        <v>3</v>
      </c>
      <c r="K230" s="17" t="n"/>
      <c r="L230" s="18">
        <f>J230-IF(K230="",0,K230)</f>
        <v/>
      </c>
      <c r="M230" s="15" t="inlineStr">
        <is>
          <t>Stück</t>
        </is>
      </c>
      <c r="N230" s="15" t="inlineStr">
        <is>
          <t>stark gebraucht</t>
        </is>
      </c>
      <c r="O230" s="19" t="n"/>
      <c r="P230" s="19" t="inlineStr">
        <is>
          <t>ja</t>
        </is>
      </c>
      <c r="Q230" s="19" t="n"/>
      <c r="R230" s="20" t="n"/>
      <c r="S230" s="20" t="n">
        <v>35</v>
      </c>
      <c r="T230" s="19" t="inlineStr">
        <is>
          <t>VHB</t>
        </is>
      </c>
      <c r="U230" s="21">
        <f>L230*S230</f>
        <v/>
      </c>
      <c r="V230" s="15" t="inlineStr">
        <is>
          <t>nur Abholung</t>
        </is>
      </c>
      <c r="W230" s="15" t="inlineStr">
        <is>
          <t>F-254</t>
        </is>
      </c>
      <c r="X230" s="19" t="inlineStr">
        <is>
          <t>ja</t>
        </is>
      </c>
      <c r="Y230" s="19" t="n"/>
      <c r="Z230" s="19" t="inlineStr">
        <is>
          <t>verfügbar</t>
        </is>
      </c>
      <c r="AA230" s="19" t="n"/>
      <c r="AB230" s="19" t="n"/>
      <c r="AC230" s="19" t="n"/>
      <c r="AD230" s="19" t="n"/>
      <c r="AE230" s="20" t="n"/>
      <c r="AF230" s="21">
        <f>IF(K230="","",K230*AE230)</f>
        <v/>
      </c>
      <c r="AG230" s="19" t="n"/>
      <c r="AH230" s="19" t="n"/>
      <c r="AI230" s="19" t="n"/>
      <c r="AJ230" s="19" t="n"/>
      <c r="AK230" s="19" t="n"/>
      <c r="AL230" s="19" t="n"/>
      <c r="AM230" s="16" t="inlineStr">
        <is>
          <t>3 Bänke – abgebildet ist eine davon.</t>
        </is>
      </c>
      <c r="AN230" s="22" t="n"/>
    </row>
    <row r="231" ht="30" customHeight="1">
      <c r="A231" s="15" t="inlineStr">
        <is>
          <t>NE01-26</t>
        </is>
      </c>
      <c r="B231" s="15" t="n"/>
      <c r="C231" s="15" t="n"/>
      <c r="D231" s="15" t="inlineStr">
        <is>
          <t>NE01</t>
        </is>
      </c>
      <c r="E231" s="15" t="inlineStr">
        <is>
          <t>Sitzbank weiß mit Stauraum, lang</t>
        </is>
      </c>
      <c r="F231" s="16" t="inlineStr">
        <is>
          <t>Lange Sitzbank in Weiß mit niedrigen Armlehnen und aufklappbarer Sitzfläche, darunter Stauraum mit Griffmulde. Lack großflächig zerkratzt.</t>
        </is>
      </c>
      <c r="G231" s="15" t="inlineStr">
        <is>
          <t>Kita-Ausstattung</t>
        </is>
      </c>
      <c r="H231" s="15" t="inlineStr">
        <is>
          <t>Flur</t>
        </is>
      </c>
      <c r="I231" s="15" t="inlineStr">
        <is>
          <t>B</t>
        </is>
      </c>
      <c r="J231" s="17" t="n">
        <v>7</v>
      </c>
      <c r="K231" s="17" t="n"/>
      <c r="L231" s="18">
        <f>J231-IF(K231="",0,K231)</f>
        <v/>
      </c>
      <c r="M231" s="15" t="inlineStr">
        <is>
          <t>Stück</t>
        </is>
      </c>
      <c r="N231" s="15" t="inlineStr">
        <is>
          <t>stark gebraucht</t>
        </is>
      </c>
      <c r="O231" s="19" t="n"/>
      <c r="P231" s="19" t="inlineStr">
        <is>
          <t>ja</t>
        </is>
      </c>
      <c r="Q231" s="19" t="n"/>
      <c r="R231" s="20" t="n"/>
      <c r="S231" s="20" t="n">
        <v>45</v>
      </c>
      <c r="T231" s="19" t="inlineStr">
        <is>
          <t>VHB</t>
        </is>
      </c>
      <c r="U231" s="21">
        <f>L231*S231</f>
        <v/>
      </c>
      <c r="V231" s="15" t="inlineStr">
        <is>
          <t>nur Abholung</t>
        </is>
      </c>
      <c r="W231" s="15" t="inlineStr">
        <is>
          <t>F-255</t>
        </is>
      </c>
      <c r="X231" s="19" t="inlineStr">
        <is>
          <t>ja</t>
        </is>
      </c>
      <c r="Y231" s="19" t="n"/>
      <c r="Z231" s="19" t="inlineStr">
        <is>
          <t>verfügbar</t>
        </is>
      </c>
      <c r="AA231" s="19" t="n"/>
      <c r="AB231" s="19" t="n"/>
      <c r="AC231" s="19" t="n"/>
      <c r="AD231" s="19" t="n"/>
      <c r="AE231" s="20" t="n"/>
      <c r="AF231" s="21">
        <f>IF(K231="","",K231*AE231)</f>
        <v/>
      </c>
      <c r="AG231" s="19" t="n"/>
      <c r="AH231" s="19" t="n"/>
      <c r="AI231" s="19" t="n"/>
      <c r="AJ231" s="19" t="n"/>
      <c r="AK231" s="19" t="n"/>
      <c r="AL231" s="19" t="n"/>
      <c r="AM231" s="16" t="inlineStr">
        <is>
          <t>7 Bänke – abgebildet ist eine davon.</t>
        </is>
      </c>
      <c r="AN231" s="22" t="n"/>
    </row>
    <row r="232" ht="30" customHeight="1">
      <c r="A232" s="15" t="inlineStr">
        <is>
          <t>BA01-01</t>
        </is>
      </c>
      <c r="B232" s="15" t="n"/>
      <c r="C232" s="15" t="n"/>
      <c r="D232" s="15" t="inlineStr">
        <is>
          <t>BA01</t>
        </is>
      </c>
      <c r="E232" s="15" t="inlineStr">
        <is>
          <t>Gemälde Mona Lisa, Pop-Art</t>
        </is>
      </c>
      <c r="F232" s="16" t="inlineStr">
        <is>
          <t>Acryl auf Leinwand im Hochformat: Mona Lisa als flächige Schablonenmalerei in Grau und Creme, darüber grüne Farbläufe vom oberen Rand. Eigenarbeit einer Privatperson, nicht signiert. Großes Format.</t>
        </is>
      </c>
      <c r="G232" s="15" t="inlineStr">
        <is>
          <t>Kunst</t>
        </is>
      </c>
      <c r="H232" s="15" t="inlineStr">
        <is>
          <t>Flur 1</t>
        </is>
      </c>
      <c r="I232" s="15" t="inlineStr">
        <is>
          <t>A</t>
        </is>
      </c>
      <c r="J232" s="17" t="n">
        <v>1</v>
      </c>
      <c r="K232" s="17" t="n"/>
      <c r="L232" s="18">
        <f>J232-IF(K232="",0,K232)</f>
        <v/>
      </c>
      <c r="M232" s="15" t="inlineStr">
        <is>
          <t>Stück</t>
        </is>
      </c>
      <c r="N232" s="15" t="inlineStr">
        <is>
          <t>gut</t>
        </is>
      </c>
      <c r="O232" s="19" t="n"/>
      <c r="P232" s="19" t="inlineStr">
        <is>
          <t>ja</t>
        </is>
      </c>
      <c r="Q232" s="19" t="n"/>
      <c r="R232" s="20" t="n"/>
      <c r="S232" s="20" t="n">
        <v>250</v>
      </c>
      <c r="T232" s="19" t="inlineStr">
        <is>
          <t>VHB</t>
        </is>
      </c>
      <c r="U232" s="21">
        <f>L232*S232</f>
        <v/>
      </c>
      <c r="V232" s="15" t="inlineStr">
        <is>
          <t>Versand möglich</t>
        </is>
      </c>
      <c r="W232" s="15" t="inlineStr">
        <is>
          <t>F-258</t>
        </is>
      </c>
      <c r="X232" s="19" t="inlineStr">
        <is>
          <t>ja</t>
        </is>
      </c>
      <c r="Y232" s="19" t="n"/>
      <c r="Z232" s="19" t="inlineStr">
        <is>
          <t>verfügbar</t>
        </is>
      </c>
      <c r="AA232" s="19" t="n"/>
      <c r="AB232" s="19" t="n"/>
      <c r="AC232" s="19" t="n"/>
      <c r="AD232" s="19" t="n"/>
      <c r="AE232" s="20" t="n"/>
      <c r="AF232" s="21">
        <f>IF(K232="","",K232*AE232)</f>
        <v/>
      </c>
      <c r="AG232" s="19" t="n"/>
      <c r="AH232" s="19" t="n"/>
      <c r="AI232" s="19" t="n"/>
      <c r="AJ232" s="19" t="n"/>
      <c r="AK232" s="19" t="n"/>
      <c r="AL232" s="19" t="n"/>
      <c r="AM232" s="16" t="inlineStr">
        <is>
          <t>1 Bild.</t>
        </is>
      </c>
      <c r="AN232" s="22" t="inlineStr">
        <is>
          <t>Preis unbestaetigt: stilistisch verwandt mit NU01-06 (Marilyn mit Bollenhut, 650 EUR) von derselben Hand. Bitte pruefen, ob 250 EUR passt.</t>
        </is>
      </c>
    </row>
    <row r="233" ht="30" customHeight="1">
      <c r="A233" s="15" t="inlineStr">
        <is>
          <t>BA01-02</t>
        </is>
      </c>
      <c r="B233" s="15" t="n"/>
      <c r="C233" s="15" t="n"/>
      <c r="D233" s="15" t="inlineStr">
        <is>
          <t>BA01</t>
        </is>
      </c>
      <c r="E233" s="15" t="inlineStr">
        <is>
          <t>Acrylbild abstrakt, Neonfarben</t>
        </is>
      </c>
      <c r="F233" s="16" t="inlineStr">
        <is>
          <t>Acryl auf Leinwand: abstrakte Komposition mit breiten Pinselzügen in Grün und Blau, darüber Schleudertechnik in Neongelb, Neonrot und Pink. Eigenarbeit einer Privatperson, nicht signiert.</t>
        </is>
      </c>
      <c r="G233" s="15" t="inlineStr">
        <is>
          <t>Kunst</t>
        </is>
      </c>
      <c r="H233" s="15" t="inlineStr">
        <is>
          <t>Flur 1</t>
        </is>
      </c>
      <c r="I233" s="15" t="inlineStr">
        <is>
          <t>B</t>
        </is>
      </c>
      <c r="J233" s="17" t="n">
        <v>1</v>
      </c>
      <c r="K233" s="17" t="n"/>
      <c r="L233" s="18">
        <f>J233-IF(K233="",0,K233)</f>
        <v/>
      </c>
      <c r="M233" s="15" t="inlineStr">
        <is>
          <t>Stück</t>
        </is>
      </c>
      <c r="N233" s="15" t="inlineStr">
        <is>
          <t>gut</t>
        </is>
      </c>
      <c r="O233" s="19" t="n"/>
      <c r="P233" s="19" t="inlineStr">
        <is>
          <t>ja</t>
        </is>
      </c>
      <c r="Q233" s="19" t="n"/>
      <c r="R233" s="20" t="n"/>
      <c r="S233" s="20" t="n">
        <v>90</v>
      </c>
      <c r="T233" s="19" t="inlineStr">
        <is>
          <t>VHB</t>
        </is>
      </c>
      <c r="U233" s="21">
        <f>L233*S233</f>
        <v/>
      </c>
      <c r="V233" s="15" t="inlineStr">
        <is>
          <t>Versand möglich</t>
        </is>
      </c>
      <c r="W233" s="15" t="inlineStr">
        <is>
          <t>F-259</t>
        </is>
      </c>
      <c r="X233" s="19" t="inlineStr">
        <is>
          <t>ja</t>
        </is>
      </c>
      <c r="Y233" s="19" t="n"/>
      <c r="Z233" s="19" t="inlineStr">
        <is>
          <t>verfügbar</t>
        </is>
      </c>
      <c r="AA233" s="19" t="n"/>
      <c r="AB233" s="19" t="n"/>
      <c r="AC233" s="19" t="n"/>
      <c r="AD233" s="19" t="n"/>
      <c r="AE233" s="20" t="n"/>
      <c r="AF233" s="21">
        <f>IF(K233="","",K233*AE233)</f>
        <v/>
      </c>
      <c r="AG233" s="19" t="n"/>
      <c r="AH233" s="19" t="n"/>
      <c r="AI233" s="19" t="n"/>
      <c r="AJ233" s="19" t="n"/>
      <c r="AK233" s="19" t="n"/>
      <c r="AL233" s="19" t="n"/>
      <c r="AM233" s="16" t="inlineStr">
        <is>
          <t>1 Bild.</t>
        </is>
      </c>
      <c r="AN233" s="22" t="n"/>
    </row>
    <row r="234" ht="30" customHeight="1">
      <c r="A234" s="15" t="inlineStr">
        <is>
          <t>BA01-03</t>
        </is>
      </c>
      <c r="B234" s="15" t="n"/>
      <c r="C234" s="15" t="n"/>
      <c r="D234" s="15" t="inlineStr">
        <is>
          <t>BA01</t>
        </is>
      </c>
      <c r="E234" s="15" t="inlineStr">
        <is>
          <t>Deko-Tannen Metall auf Holzsockel</t>
        </is>
      </c>
      <c r="F234" s="16" t="inlineStr">
        <is>
          <t>Stilisierte Tannen aus schwarz mattiertem Metall, auf ovalen Sockeln aus Massivholz. Skandinavischer Stil, standfest.</t>
        </is>
      </c>
      <c r="G234" s="15" t="inlineStr">
        <is>
          <t>Deko</t>
        </is>
      </c>
      <c r="H234" s="15" t="inlineStr">
        <is>
          <t>Flur 1</t>
        </is>
      </c>
      <c r="I234" s="15" t="inlineStr">
        <is>
          <t>C</t>
        </is>
      </c>
      <c r="J234" s="17" t="n">
        <v>3</v>
      </c>
      <c r="K234" s="17" t="n"/>
      <c r="L234" s="18">
        <f>J234-IF(K234="",0,K234)</f>
        <v/>
      </c>
      <c r="M234" s="15" t="inlineStr">
        <is>
          <t>Stück</t>
        </is>
      </c>
      <c r="N234" s="15" t="inlineStr">
        <is>
          <t>gut</t>
        </is>
      </c>
      <c r="O234" s="19" t="n"/>
      <c r="P234" s="19" t="inlineStr">
        <is>
          <t>ja</t>
        </is>
      </c>
      <c r="Q234" s="19" t="n"/>
      <c r="R234" s="20" t="n"/>
      <c r="S234" s="20" t="n">
        <v>25</v>
      </c>
      <c r="T234" s="19" t="inlineStr">
        <is>
          <t>VHB</t>
        </is>
      </c>
      <c r="U234" s="21">
        <f>L234*S234</f>
        <v/>
      </c>
      <c r="V234" s="15" t="inlineStr">
        <is>
          <t>Versand möglich</t>
        </is>
      </c>
      <c r="W234" s="15" t="inlineStr">
        <is>
          <t>F-262</t>
        </is>
      </c>
      <c r="X234" s="19" t="inlineStr">
        <is>
          <t>ja</t>
        </is>
      </c>
      <c r="Y234" s="19" t="n"/>
      <c r="Z234" s="19" t="inlineStr">
        <is>
          <t>verfügbar</t>
        </is>
      </c>
      <c r="AA234" s="19" t="n"/>
      <c r="AB234" s="19" t="n"/>
      <c r="AC234" s="19" t="n"/>
      <c r="AD234" s="19" t="n"/>
      <c r="AE234" s="20" t="n"/>
      <c r="AF234" s="21">
        <f>IF(K234="","",K234*AE234)</f>
        <v/>
      </c>
      <c r="AG234" s="19" t="n"/>
      <c r="AH234" s="19" t="n"/>
      <c r="AI234" s="19" t="n"/>
      <c r="AJ234" s="19" t="n"/>
      <c r="AK234" s="19" t="n"/>
      <c r="AL234" s="19" t="n"/>
      <c r="AM234" s="16" t="inlineStr">
        <is>
          <t>3 Sockel, unterschiedlich bestückt: einer mit einem großen Baum, zwei mit je drei Bäumen. Alle drei sind abgebildet.</t>
        </is>
      </c>
      <c r="AN234" s="22" t="inlineStr">
        <is>
          <t>Bisher unter NE01-15 gefuehrt; dort durchgestrichen, weil sie in den Flur 1 umgezogen sind.</t>
        </is>
      </c>
    </row>
    <row r="235" ht="30" customHeight="1">
      <c r="A235" s="15" t="inlineStr">
        <is>
          <t>BA01-04</t>
        </is>
      </c>
      <c r="B235" s="15" t="n"/>
      <c r="C235" s="15" t="inlineStr">
        <is>
          <t>BA02-07</t>
        </is>
      </c>
      <c r="D235" s="15" t="inlineStr">
        <is>
          <t>BA01</t>
        </is>
      </c>
      <c r="E235" s="15" t="inlineStr">
        <is>
          <t>Leuchtbuchstabe K, schwarz</t>
        </is>
      </c>
      <c r="F235" s="16" t="inlineStr">
        <is>
          <t>Buchstabe K aus schwarz beschichtetem Metall mit sechs runden Leuchtmitteln auf der Front, zum Aufstellen.</t>
        </is>
      </c>
      <c r="G235" s="15" t="inlineStr">
        <is>
          <t>Deko</t>
        </is>
      </c>
      <c r="H235" s="15" t="inlineStr">
        <is>
          <t>Flur 1</t>
        </is>
      </c>
      <c r="I235" s="15" t="inlineStr">
        <is>
          <t>C</t>
        </is>
      </c>
      <c r="J235" s="17" t="n">
        <v>2</v>
      </c>
      <c r="K235" s="17" t="n"/>
      <c r="L235" s="18">
        <f>J235-IF(K235="",0,K235)</f>
        <v/>
      </c>
      <c r="M235" s="15" t="inlineStr">
        <is>
          <t>Stück</t>
        </is>
      </c>
      <c r="N235" s="15" t="inlineStr">
        <is>
          <t>gebraucht</t>
        </is>
      </c>
      <c r="O235" s="19" t="n"/>
      <c r="P235" s="19" t="inlineStr">
        <is>
          <t>ja</t>
        </is>
      </c>
      <c r="Q235" s="19" t="n"/>
      <c r="R235" s="20" t="n"/>
      <c r="S235" s="20" t="n">
        <v>20</v>
      </c>
      <c r="T235" s="19" t="inlineStr">
        <is>
          <t>VHB</t>
        </is>
      </c>
      <c r="U235" s="21">
        <f>L235*S235</f>
        <v/>
      </c>
      <c r="V235" s="15" t="inlineStr">
        <is>
          <t>Versand möglich</t>
        </is>
      </c>
      <c r="W235" s="15" t="inlineStr">
        <is>
          <t>F-260</t>
        </is>
      </c>
      <c r="X235" s="19" t="inlineStr">
        <is>
          <t>ja</t>
        </is>
      </c>
      <c r="Y235" s="19" t="n"/>
      <c r="Z235" s="19" t="inlineStr">
        <is>
          <t>verfügbar</t>
        </is>
      </c>
      <c r="AA235" s="19" t="n"/>
      <c r="AB235" s="19" t="n"/>
      <c r="AC235" s="19" t="n"/>
      <c r="AD235" s="19" t="n"/>
      <c r="AE235" s="20" t="n"/>
      <c r="AF235" s="21">
        <f>IF(K235="","",K235*AE235)</f>
        <v/>
      </c>
      <c r="AG235" s="19" t="n"/>
      <c r="AH235" s="19" t="n"/>
      <c r="AI235" s="19" t="n"/>
      <c r="AJ235" s="19" t="n"/>
      <c r="AK235" s="19" t="n"/>
      <c r="AL235" s="19" t="n"/>
      <c r="AM235" s="16" t="inlineStr">
        <is>
          <t>2 Buchstaben: einer im Flur 1 (BA01-04) und einer im Flur 2 (dort mit BA02-07 beschriftet).</t>
        </is>
      </c>
      <c r="AN235" s="22" t="inlineStr">
        <is>
          <t>Zusammengefasste Position – Post-it-Nummer im zweiten Raum: BA02-07.</t>
        </is>
      </c>
    </row>
    <row r="236" ht="30" customHeight="1">
      <c r="A236" s="15" t="inlineStr">
        <is>
          <t>BA02-02</t>
        </is>
      </c>
      <c r="B236" s="15" t="n"/>
      <c r="C236" s="15" t="n"/>
      <c r="D236" s="15" t="inlineStr">
        <is>
          <t>BA02</t>
        </is>
      </c>
      <c r="E236" s="15" t="inlineStr">
        <is>
          <t>Rutscherauto rot</t>
        </is>
      </c>
      <c r="F236" s="16" t="inlineStr">
        <is>
          <t>Rutscherauto in Sportwagenform, roter Kunststoffkorpus mit schwarzer Sitzfläche in Rautensteppung, verchromte Felgen, Lehne hinten zum Schieben.</t>
        </is>
      </c>
      <c r="G236" s="15" t="inlineStr">
        <is>
          <t>Kita-Ausstattung</t>
        </is>
      </c>
      <c r="H236" s="15" t="inlineStr">
        <is>
          <t>Flur 2</t>
        </is>
      </c>
      <c r="I236" s="15" t="inlineStr">
        <is>
          <t>B</t>
        </is>
      </c>
      <c r="J236" s="17" t="n">
        <v>1</v>
      </c>
      <c r="K236" s="17" t="n"/>
      <c r="L236" s="18">
        <f>J236-IF(K236="",0,K236)</f>
        <v/>
      </c>
      <c r="M236" s="15" t="inlineStr">
        <is>
          <t>Stück</t>
        </is>
      </c>
      <c r="N236" s="15" t="inlineStr">
        <is>
          <t>gebraucht</t>
        </is>
      </c>
      <c r="O236" s="19" t="n"/>
      <c r="P236" s="19" t="inlineStr">
        <is>
          <t>ja</t>
        </is>
      </c>
      <c r="Q236" s="19" t="n"/>
      <c r="R236" s="20" t="n"/>
      <c r="S236" s="20" t="n">
        <v>35</v>
      </c>
      <c r="T236" s="19" t="inlineStr">
        <is>
          <t>VHB</t>
        </is>
      </c>
      <c r="U236" s="21">
        <f>L236*S236</f>
        <v/>
      </c>
      <c r="V236" s="15" t="inlineStr">
        <is>
          <t>nur Abholung</t>
        </is>
      </c>
      <c r="W236" s="15" t="inlineStr">
        <is>
          <t>F-263</t>
        </is>
      </c>
      <c r="X236" s="19" t="inlineStr">
        <is>
          <t>ja</t>
        </is>
      </c>
      <c r="Y236" s="19" t="n"/>
      <c r="Z236" s="19" t="inlineStr">
        <is>
          <t>verfügbar</t>
        </is>
      </c>
      <c r="AA236" s="19" t="n"/>
      <c r="AB236" s="19" t="n"/>
      <c r="AC236" s="19" t="n"/>
      <c r="AD236" s="19" t="n"/>
      <c r="AE236" s="20" t="n"/>
      <c r="AF236" s="21">
        <f>IF(K236="","",K236*AE236)</f>
        <v/>
      </c>
      <c r="AG236" s="19" t="n"/>
      <c r="AH236" s="19" t="n"/>
      <c r="AI236" s="19" t="n"/>
      <c r="AJ236" s="19" t="n"/>
      <c r="AK236" s="19" t="n"/>
      <c r="AL236" s="19" t="n"/>
      <c r="AM236" s="16" t="inlineStr">
        <is>
          <t>1 Fahrzeug.</t>
        </is>
      </c>
      <c r="AN236" s="22" t="n"/>
    </row>
    <row r="237" ht="30" customHeight="1">
      <c r="A237" s="15" t="inlineStr">
        <is>
          <t>BA02-03</t>
        </is>
      </c>
      <c r="B237" s="15" t="n"/>
      <c r="C237" s="15" t="n"/>
      <c r="D237" s="15" t="inlineStr">
        <is>
          <t>BA02</t>
        </is>
      </c>
      <c r="E237" s="15" t="inlineStr">
        <is>
          <t>Bilder Schwarzwald, gerahmt</t>
        </is>
      </c>
      <c r="F237" s="16" t="inlineStr">
        <is>
          <t>Schwarz gerahmte Zeichnungen hinter Glas in schlichter Strichtechnik: Bergkette, Mädchen mit Bollenhut und Tannenwald. Motivgruppe Schwarzwald.</t>
        </is>
      </c>
      <c r="G237" s="15" t="inlineStr">
        <is>
          <t>Kunst</t>
        </is>
      </c>
      <c r="H237" s="15" t="inlineStr">
        <is>
          <t>Flur 2</t>
        </is>
      </c>
      <c r="I237" s="15" t="inlineStr">
        <is>
          <t>B</t>
        </is>
      </c>
      <c r="J237" s="17" t="n">
        <v>3</v>
      </c>
      <c r="K237" s="17" t="n"/>
      <c r="L237" s="18">
        <f>J237-IF(K237="",0,K237)</f>
        <v/>
      </c>
      <c r="M237" s="15" t="inlineStr">
        <is>
          <t>Stück</t>
        </is>
      </c>
      <c r="N237" s="15" t="inlineStr">
        <is>
          <t>gut</t>
        </is>
      </c>
      <c r="O237" s="19" t="n"/>
      <c r="P237" s="19" t="inlineStr">
        <is>
          <t>ja</t>
        </is>
      </c>
      <c r="Q237" s="19" t="n"/>
      <c r="R237" s="20" t="n"/>
      <c r="S237" s="20" t="n">
        <v>45</v>
      </c>
      <c r="T237" s="19" t="inlineStr">
        <is>
          <t>VHB</t>
        </is>
      </c>
      <c r="U237" s="21">
        <f>L237*S237</f>
        <v/>
      </c>
      <c r="V237" s="15" t="inlineStr">
        <is>
          <t>Versand möglich</t>
        </is>
      </c>
      <c r="W237" s="15" t="inlineStr">
        <is>
          <t>F-264</t>
        </is>
      </c>
      <c r="X237" s="19" t="inlineStr">
        <is>
          <t>ja</t>
        </is>
      </c>
      <c r="Y237" s="19" t="n"/>
      <c r="Z237" s="19" t="inlineStr">
        <is>
          <t>verfügbar</t>
        </is>
      </c>
      <c r="AA237" s="19" t="n"/>
      <c r="AB237" s="19" t="inlineStr">
        <is>
          <t>Schwarzwald</t>
        </is>
      </c>
      <c r="AC237" s="19" t="n"/>
      <c r="AD237" s="19" t="n"/>
      <c r="AE237" s="20" t="n"/>
      <c r="AF237" s="21">
        <f>IF(K237="","",K237*AE237)</f>
        <v/>
      </c>
      <c r="AG237" s="19" t="n"/>
      <c r="AH237" s="19" t="n"/>
      <c r="AI237" s="19" t="n"/>
      <c r="AJ237" s="19" t="n"/>
      <c r="AK237" s="19" t="n"/>
      <c r="AL237" s="19" t="n"/>
      <c r="AM237" s="16" t="inlineStr">
        <is>
          <t>3 Bilder, alle abgebildet.</t>
        </is>
      </c>
      <c r="AN237" s="22" t="n"/>
    </row>
    <row r="238" ht="30" customHeight="1">
      <c r="A238" s="15" t="inlineStr">
        <is>
          <t>BA02-04</t>
        </is>
      </c>
      <c r="B238" s="15" t="n"/>
      <c r="C238" s="15" t="n"/>
      <c r="D238" s="15" t="inlineStr">
        <is>
          <t>BA02</t>
        </is>
      </c>
      <c r="E238" s="15" t="inlineStr">
        <is>
          <t>Kinder-Ohrensessel grau, Kunstleder</t>
        </is>
      </c>
      <c r="F238" s="16" t="inlineStr">
        <is>
          <t>Ohrensessel in Kindergröße, hellgrauer Kunstlederbezug, geschwungene schwarze Holzbeine.</t>
        </is>
      </c>
      <c r="G238" s="15" t="inlineStr">
        <is>
          <t>Möbel</t>
        </is>
      </c>
      <c r="H238" s="15" t="inlineStr">
        <is>
          <t>Flur 2</t>
        </is>
      </c>
      <c r="I238" s="15" t="inlineStr">
        <is>
          <t>B</t>
        </is>
      </c>
      <c r="J238" s="17" t="n">
        <v>1</v>
      </c>
      <c r="K238" s="17" t="n"/>
      <c r="L238" s="18">
        <f>J238-IF(K238="",0,K238)</f>
        <v/>
      </c>
      <c r="M238" s="15" t="inlineStr">
        <is>
          <t>Stück</t>
        </is>
      </c>
      <c r="N238" s="15" t="inlineStr">
        <is>
          <t>gebraucht</t>
        </is>
      </c>
      <c r="O238" s="19" t="n"/>
      <c r="P238" s="19" t="inlineStr">
        <is>
          <t>ja</t>
        </is>
      </c>
      <c r="Q238" s="19" t="n"/>
      <c r="R238" s="20" t="n"/>
      <c r="S238" s="20" t="n">
        <v>55</v>
      </c>
      <c r="T238" s="19" t="inlineStr">
        <is>
          <t>VHB</t>
        </is>
      </c>
      <c r="U238" s="21">
        <f>L238*S238</f>
        <v/>
      </c>
      <c r="V238" s="15" t="inlineStr">
        <is>
          <t>nur Abholung</t>
        </is>
      </c>
      <c r="W238" s="15" t="inlineStr">
        <is>
          <t>F-265</t>
        </is>
      </c>
      <c r="X238" s="19" t="inlineStr">
        <is>
          <t>ja</t>
        </is>
      </c>
      <c r="Y238" s="19" t="n"/>
      <c r="Z238" s="19" t="inlineStr">
        <is>
          <t>verfügbar</t>
        </is>
      </c>
      <c r="AA238" s="19" t="n"/>
      <c r="AB238" s="19" t="n"/>
      <c r="AC238" s="19" t="n"/>
      <c r="AD238" s="19" t="n"/>
      <c r="AE238" s="20" t="n"/>
      <c r="AF238" s="21">
        <f>IF(K238="","",K238*AE238)</f>
        <v/>
      </c>
      <c r="AG238" s="19" t="n"/>
      <c r="AH238" s="19" t="n"/>
      <c r="AI238" s="19" t="n"/>
      <c r="AJ238" s="19" t="n"/>
      <c r="AK238" s="19" t="n"/>
      <c r="AL238" s="19" t="n"/>
      <c r="AM238" s="16" t="inlineStr">
        <is>
          <t>1 Sessel. Baugleich in Rot gibt es zwei Stück unter NE01-20.</t>
        </is>
      </c>
      <c r="AN238" s="22" t="n"/>
    </row>
    <row r="239" ht="30" customHeight="1">
      <c r="A239" s="15" t="inlineStr">
        <is>
          <t>BA02-05</t>
        </is>
      </c>
      <c r="B239" s="15" t="n"/>
      <c r="C239" s="15" t="n"/>
      <c r="D239" s="15" t="inlineStr">
        <is>
          <t>BA02</t>
        </is>
      </c>
      <c r="E239" s="15" t="inlineStr">
        <is>
          <t>Ablagepult Holz auf Metallgestell</t>
        </is>
      </c>
      <c r="F239" s="16" t="inlineStr">
        <is>
          <t>Pult mit geneigter Platte aus dunklem Holz mit schwarzer Auflage, auf einem C-förmigen schwarzen Metallgestell. Untergreifbar, im Haus als Stehpult für die Anwesenheitsliste genutzt.</t>
        </is>
      </c>
      <c r="G239" s="15" t="inlineStr">
        <is>
          <t>Möbel</t>
        </is>
      </c>
      <c r="H239" s="15" t="inlineStr">
        <is>
          <t>Flur 2</t>
        </is>
      </c>
      <c r="I239" s="15" t="inlineStr">
        <is>
          <t>B</t>
        </is>
      </c>
      <c r="J239" s="17" t="n">
        <v>1</v>
      </c>
      <c r="K239" s="17" t="n"/>
      <c r="L239" s="18">
        <f>J239-IF(K239="",0,K239)</f>
        <v/>
      </c>
      <c r="M239" s="15" t="inlineStr">
        <is>
          <t>Stück</t>
        </is>
      </c>
      <c r="N239" s="15" t="inlineStr">
        <is>
          <t>gebraucht</t>
        </is>
      </c>
      <c r="O239" s="19" t="n"/>
      <c r="P239" s="19" t="inlineStr">
        <is>
          <t>ja</t>
        </is>
      </c>
      <c r="Q239" s="19" t="n"/>
      <c r="R239" s="20" t="n"/>
      <c r="S239" s="20" t="n">
        <v>45</v>
      </c>
      <c r="T239" s="19" t="inlineStr">
        <is>
          <t>VHB</t>
        </is>
      </c>
      <c r="U239" s="21">
        <f>L239*S239</f>
        <v/>
      </c>
      <c r="V239" s="15" t="inlineStr">
        <is>
          <t>nur Abholung</t>
        </is>
      </c>
      <c r="W239" s="15" t="inlineStr">
        <is>
          <t>F-266</t>
        </is>
      </c>
      <c r="X239" s="19" t="inlineStr">
        <is>
          <t>ja</t>
        </is>
      </c>
      <c r="Y239" s="19" t="n"/>
      <c r="Z239" s="19" t="inlineStr">
        <is>
          <t>verfügbar</t>
        </is>
      </c>
      <c r="AA239" s="19" t="n"/>
      <c r="AB239" s="19" t="n"/>
      <c r="AC239" s="19" t="n"/>
      <c r="AD239" s="19" t="n"/>
      <c r="AE239" s="20" t="n"/>
      <c r="AF239" s="21">
        <f>IF(K239="","",K239*AE239)</f>
        <v/>
      </c>
      <c r="AG239" s="19" t="n"/>
      <c r="AH239" s="19" t="n"/>
      <c r="AI239" s="19" t="n"/>
      <c r="AJ239" s="19" t="n"/>
      <c r="AK239" s="19" t="n"/>
      <c r="AL239" s="19" t="n"/>
      <c r="AM239" s="16" t="inlineStr">
        <is>
          <t>1 Pult. Die Liste gehört nicht dazu.</t>
        </is>
      </c>
      <c r="AN239" s="22" t="n"/>
    </row>
    <row r="240" ht="30" customHeight="1">
      <c r="A240" s="15" t="inlineStr">
        <is>
          <t>BA02-06</t>
        </is>
      </c>
      <c r="B240" s="15" t="n"/>
      <c r="C240" s="15" t="n"/>
      <c r="D240" s="15" t="inlineStr">
        <is>
          <t>BA02</t>
        </is>
      </c>
      <c r="E240" s="15" t="inlineStr">
        <is>
          <t>Truhenbank weiß mit Fellauflage</t>
        </is>
      </c>
      <c r="F240" s="16" t="inlineStr">
        <is>
          <t>Sitzbank in Weiß mit geschwungenen Seitenteilen, Rückenbrett und aufklappbarer Sitzfläche mit Beschlägen. Darunter ein großer Stauraum. Eine weiße Fellauflage liegt auf der Sitzfläche.</t>
        </is>
      </c>
      <c r="G240" s="15" t="inlineStr">
        <is>
          <t>Kita-Ausstattung</t>
        </is>
      </c>
      <c r="H240" s="15" t="inlineStr">
        <is>
          <t>Flur 2</t>
        </is>
      </c>
      <c r="I240" s="15" t="inlineStr">
        <is>
          <t>B</t>
        </is>
      </c>
      <c r="J240" s="17" t="n">
        <v>1</v>
      </c>
      <c r="K240" s="17" t="n"/>
      <c r="L240" s="18">
        <f>J240-IF(K240="",0,K240)</f>
        <v/>
      </c>
      <c r="M240" s="15" t="inlineStr">
        <is>
          <t>Stück</t>
        </is>
      </c>
      <c r="N240" s="15" t="inlineStr">
        <is>
          <t>gebraucht</t>
        </is>
      </c>
      <c r="O240" s="19" t="n"/>
      <c r="P240" s="19" t="inlineStr">
        <is>
          <t>ja</t>
        </is>
      </c>
      <c r="Q240" s="19" t="n"/>
      <c r="R240" s="20" t="n"/>
      <c r="S240" s="20" t="n">
        <v>45</v>
      </c>
      <c r="T240" s="19" t="inlineStr">
        <is>
          <t>VHB</t>
        </is>
      </c>
      <c r="U240" s="21">
        <f>L240*S240</f>
        <v/>
      </c>
      <c r="V240" s="15" t="inlineStr">
        <is>
          <t>nur Abholung</t>
        </is>
      </c>
      <c r="W240" s="15" t="inlineStr">
        <is>
          <t>F-267</t>
        </is>
      </c>
      <c r="X240" s="19" t="inlineStr">
        <is>
          <t>ja</t>
        </is>
      </c>
      <c r="Y240" s="19" t="n"/>
      <c r="Z240" s="19" t="inlineStr">
        <is>
          <t>verfügbar</t>
        </is>
      </c>
      <c r="AA240" s="19" t="n"/>
      <c r="AB240" s="19" t="n"/>
      <c r="AC240" s="19" t="n"/>
      <c r="AD240" s="19" t="n"/>
      <c r="AE240" s="20" t="n"/>
      <c r="AF240" s="21">
        <f>IF(K240="","",K240*AE240)</f>
        <v/>
      </c>
      <c r="AG240" s="19" t="n"/>
      <c r="AH240" s="19" t="n"/>
      <c r="AI240" s="19" t="n"/>
      <c r="AJ240" s="19" t="n"/>
      <c r="AK240" s="19" t="n"/>
      <c r="AL240" s="19" t="n"/>
      <c r="AM240" s="16" t="inlineStr">
        <is>
          <t>1 Bank einschließlich der Fellauflage. Der Inhalt gehört nicht dazu.</t>
        </is>
      </c>
      <c r="AN240" s="22" t="n"/>
    </row>
    <row r="241" ht="30" customHeight="1">
      <c r="A241" s="15" t="inlineStr">
        <is>
          <t>BA02-08</t>
        </is>
      </c>
      <c r="B241" s="15" t="n"/>
      <c r="C241" s="15" t="inlineStr">
        <is>
          <t>BA04-09, BU02-14, BU04-12</t>
        </is>
      </c>
      <c r="D241" s="15" t="inlineStr">
        <is>
          <t>BA02</t>
        </is>
      </c>
      <c r="E241" s="15" t="inlineStr">
        <is>
          <t>IKEA Kinderschrank weiß, zwei Türen</t>
        </is>
      </c>
      <c r="F241" s="16" t="inlineStr">
        <is>
          <t>Hoher Schrank von IKEA in Weiß mit zwei Türen und schwarzen Griffmulden, darunter Schubladen. Auf zwei der Schränke kleben Aufkleber mit Kinderhandabdrücken; sie lassen sich abziehen.</t>
        </is>
      </c>
      <c r="G241" s="15" t="inlineStr">
        <is>
          <t>Möbel</t>
        </is>
      </c>
      <c r="H241" s="15" t="inlineStr">
        <is>
          <t>Flur 2</t>
        </is>
      </c>
      <c r="I241" s="15" t="inlineStr">
        <is>
          <t>B</t>
        </is>
      </c>
      <c r="J241" s="17" t="n">
        <v>8</v>
      </c>
      <c r="K241" s="17" t="n"/>
      <c r="L241" s="18">
        <f>J241-IF(K241="",0,K241)</f>
        <v/>
      </c>
      <c r="M241" s="15" t="inlineStr">
        <is>
          <t>Stück</t>
        </is>
      </c>
      <c r="N241" s="15" t="inlineStr">
        <is>
          <t>gebraucht</t>
        </is>
      </c>
      <c r="O241" s="19" t="n"/>
      <c r="P241" s="19" t="inlineStr">
        <is>
          <t>ja</t>
        </is>
      </c>
      <c r="Q241" s="19" t="n"/>
      <c r="R241" s="20" t="n"/>
      <c r="S241" s="20" t="n">
        <v>90</v>
      </c>
      <c r="T241" s="19" t="inlineStr">
        <is>
          <t>VHB</t>
        </is>
      </c>
      <c r="U241" s="21">
        <f>L241*S241</f>
        <v/>
      </c>
      <c r="V241" s="15" t="inlineStr">
        <is>
          <t>nur Abholung</t>
        </is>
      </c>
      <c r="W241" s="15" t="inlineStr">
        <is>
          <t>F-269</t>
        </is>
      </c>
      <c r="X241" s="19" t="inlineStr">
        <is>
          <t>ja</t>
        </is>
      </c>
      <c r="Y241" s="19" t="n"/>
      <c r="Z241" s="19" t="inlineStr">
        <is>
          <t>verfügbar</t>
        </is>
      </c>
      <c r="AA241" s="19" t="inlineStr">
        <is>
          <t>IKEA</t>
        </is>
      </c>
      <c r="AB241" s="19" t="n"/>
      <c r="AC241" s="19" t="n"/>
      <c r="AD241" s="19" t="n"/>
      <c r="AE241" s="20" t="n"/>
      <c r="AF241" s="21">
        <f>IF(K241="","",K241*AE241)</f>
        <v/>
      </c>
      <c r="AG241" s="19" t="n"/>
      <c r="AH241" s="19" t="n"/>
      <c r="AI241" s="19" t="n"/>
      <c r="AJ241" s="19" t="n"/>
      <c r="AK241" s="19" t="n"/>
      <c r="AL241" s="19" t="n"/>
      <c r="AM241" s="16" t="inlineStr">
        <is>
          <t>8 Schränke insgesamt: 2 im Flur 2 der Attika (BA02-08), 2 im Gruppenraum 4 (BA04-09), 2 im Flur 2 im Untergeschoss (BU02-14, Foto F-378) und 2 im Gruppenraum im Untergeschoss (BU04-12, Foto F-401). Die beiden Schränke im Gruppenraum sind stark gebraucht.</t>
        </is>
      </c>
      <c r="AN241" s="22" t="inlineStr">
        <is>
          <t>Zusammengefasste Position über vier Räume – Post-it-Nummern: BA04-09, BU02-14, BU04-12.</t>
        </is>
      </c>
    </row>
    <row r="242" ht="30" customHeight="1">
      <c r="A242" s="15" t="inlineStr">
        <is>
          <t>BA02-09</t>
        </is>
      </c>
      <c r="B242" s="15" t="n"/>
      <c r="C242" s="15" t="n"/>
      <c r="D242" s="15" t="inlineStr">
        <is>
          <t>BA02</t>
        </is>
      </c>
      <c r="E242" s="15" t="inlineStr">
        <is>
          <t>Deko-Häuser Keramik</t>
        </is>
      </c>
      <c r="F242" s="16" t="inlineStr">
        <is>
          <t>Drei Häuschen aus Keramik mit ausgestanzten Fenstern, zum Beleuchten mit einem Teelicht: eines craquelé-grau, eines cremeweiß glasiert, eines dunkelgrau mit rundem Fenster.</t>
        </is>
      </c>
      <c r="G242" s="15" t="inlineStr">
        <is>
          <t>Deko</t>
        </is>
      </c>
      <c r="H242" s="15" t="inlineStr">
        <is>
          <t>Flur 2</t>
        </is>
      </c>
      <c r="I242" s="15" t="inlineStr">
        <is>
          <t>C</t>
        </is>
      </c>
      <c r="J242" s="17" t="n">
        <v>3</v>
      </c>
      <c r="K242" s="17" t="n"/>
      <c r="L242" s="18">
        <f>J242-IF(K242="",0,K242)</f>
        <v/>
      </c>
      <c r="M242" s="15" t="inlineStr">
        <is>
          <t>Stück</t>
        </is>
      </c>
      <c r="N242" s="15" t="inlineStr">
        <is>
          <t>gut</t>
        </is>
      </c>
      <c r="O242" s="19" t="n"/>
      <c r="P242" s="19" t="inlineStr">
        <is>
          <t>ja</t>
        </is>
      </c>
      <c r="Q242" s="19" t="n"/>
      <c r="R242" s="20" t="n"/>
      <c r="S242" s="20" t="n">
        <v>15</v>
      </c>
      <c r="T242" s="19" t="inlineStr">
        <is>
          <t>VHB</t>
        </is>
      </c>
      <c r="U242" s="21">
        <f>L242*S242</f>
        <v/>
      </c>
      <c r="V242" s="15" t="inlineStr">
        <is>
          <t>Versand möglich</t>
        </is>
      </c>
      <c r="W242" s="15" t="inlineStr">
        <is>
          <t>F-270</t>
        </is>
      </c>
      <c r="X242" s="19" t="inlineStr">
        <is>
          <t>ja</t>
        </is>
      </c>
      <c r="Y242" s="19" t="n"/>
      <c r="Z242" s="19" t="inlineStr">
        <is>
          <t>verfügbar</t>
        </is>
      </c>
      <c r="AA242" s="19" t="n"/>
      <c r="AB242" s="19" t="n"/>
      <c r="AC242" s="19" t="n"/>
      <c r="AD242" s="19" t="n"/>
      <c r="AE242" s="20" t="n"/>
      <c r="AF242" s="21">
        <f>IF(K242="","",K242*AE242)</f>
        <v/>
      </c>
      <c r="AG242" s="19" t="n"/>
      <c r="AH242" s="19" t="n"/>
      <c r="AI242" s="19" t="n"/>
      <c r="AJ242" s="19" t="n"/>
      <c r="AK242" s="19" t="n"/>
      <c r="AL242" s="19" t="n"/>
      <c r="AM242" s="16" t="inlineStr">
        <is>
          <t>3 Häuschen, alle abgebildet.</t>
        </is>
      </c>
      <c r="AN242" s="22" t="n"/>
    </row>
    <row r="243" ht="30" customHeight="1">
      <c r="A243" s="15" t="inlineStr">
        <is>
          <t>BA09-06</t>
        </is>
      </c>
      <c r="B243" s="15" t="n"/>
      <c r="C243" s="15" t="inlineStr">
        <is>
          <t>BA10-12</t>
        </is>
      </c>
      <c r="D243" s="15" t="inlineStr">
        <is>
          <t>BA09</t>
        </is>
      </c>
      <c r="E243" s="15" t="inlineStr">
        <is>
          <t>Sitzhocker rund, drehbar auf Rollen</t>
        </is>
      </c>
      <c r="F243" s="16" t="inlineStr">
        <is>
          <t>Runder Sitzhocker mit schwarzem Netzstoffbezug und umlaufendem Reißverschluss, auf einem silberfarbenen Fünffußkreuz mit Rollen, höhenverstellbar.</t>
        </is>
      </c>
      <c r="G243" s="15" t="inlineStr">
        <is>
          <t>Büro</t>
        </is>
      </c>
      <c r="H243" s="15" t="inlineStr">
        <is>
          <t>Personal</t>
        </is>
      </c>
      <c r="I243" s="15" t="inlineStr">
        <is>
          <t>B</t>
        </is>
      </c>
      <c r="J243" s="17" t="n">
        <v>2</v>
      </c>
      <c r="K243" s="17" t="n"/>
      <c r="L243" s="18">
        <f>J243-IF(K243="",0,K243)</f>
        <v/>
      </c>
      <c r="M243" s="15" t="inlineStr">
        <is>
          <t>Stück</t>
        </is>
      </c>
      <c r="N243" s="15" t="inlineStr">
        <is>
          <t>gebraucht</t>
        </is>
      </c>
      <c r="O243" s="19" t="n"/>
      <c r="P243" s="19" t="inlineStr">
        <is>
          <t>ja</t>
        </is>
      </c>
      <c r="Q243" s="19" t="n"/>
      <c r="R243" s="20" t="n"/>
      <c r="S243" s="20" t="n">
        <v>30</v>
      </c>
      <c r="T243" s="19" t="inlineStr">
        <is>
          <t>VHB</t>
        </is>
      </c>
      <c r="U243" s="21">
        <f>L243*S243</f>
        <v/>
      </c>
      <c r="V243" s="15" t="inlineStr">
        <is>
          <t>nur Abholung</t>
        </is>
      </c>
      <c r="W243" s="15" t="inlineStr">
        <is>
          <t>F-274</t>
        </is>
      </c>
      <c r="X243" s="19" t="inlineStr">
        <is>
          <t>ja</t>
        </is>
      </c>
      <c r="Y243" s="19" t="n"/>
      <c r="Z243" s="19" t="inlineStr">
        <is>
          <t>verfügbar</t>
        </is>
      </c>
      <c r="AA243" s="19" t="n"/>
      <c r="AB243" s="19" t="n"/>
      <c r="AC243" s="19" t="n"/>
      <c r="AD243" s="19" t="n"/>
      <c r="AE243" s="20" t="n"/>
      <c r="AF243" s="21">
        <f>IF(K243="","",K243*AE243)</f>
        <v/>
      </c>
      <c r="AG243" s="19" t="n"/>
      <c r="AH243" s="19" t="n"/>
      <c r="AI243" s="19" t="n"/>
      <c r="AJ243" s="19" t="n"/>
      <c r="AK243" s="19" t="n"/>
      <c r="AL243" s="19" t="n"/>
      <c r="AM243" s="16" t="inlineStr">
        <is>
          <t>2 Hocker: einer im Personalraum (BA09-06) und einer im Ruhe- und Schlafraum (dort mit BA10-12 beschriftet).</t>
        </is>
      </c>
      <c r="AN243" s="22" t="inlineStr">
        <is>
          <t>Zusammengefasste Position – Post-it-Nummer im zweiten Raum: BA10-12.</t>
        </is>
      </c>
    </row>
    <row r="244" ht="30" customHeight="1">
      <c r="A244" s="15" t="inlineStr">
        <is>
          <t>NE02-01</t>
        </is>
      </c>
      <c r="B244" s="15" t="n"/>
      <c r="C244" s="15" t="n"/>
      <c r="D244" s="15" t="inlineStr">
        <is>
          <t>NE02</t>
        </is>
      </c>
      <c r="E244" s="15" t="inlineStr">
        <is>
          <t>Hirsch Metall, stehend</t>
        </is>
      </c>
      <c r="F244" s="16" t="inlineStr">
        <is>
          <t>Figur eines Hirschs aus Metall mit dunkler, teils silbrig durchscheinender Oberfläche, auf länglichem Sockel mit Geweihstück.</t>
        </is>
      </c>
      <c r="G244" s="15" t="inlineStr">
        <is>
          <t>Deko</t>
        </is>
      </c>
      <c r="H244" s="15" t="inlineStr">
        <is>
          <t>Küche</t>
        </is>
      </c>
      <c r="I244" s="15" t="inlineStr">
        <is>
          <t>B</t>
        </is>
      </c>
      <c r="J244" s="17" t="n">
        <v>1</v>
      </c>
      <c r="K244" s="17" t="n"/>
      <c r="L244" s="18">
        <f>J244-IF(K244="",0,K244)</f>
        <v/>
      </c>
      <c r="M244" s="15" t="inlineStr">
        <is>
          <t>Stück</t>
        </is>
      </c>
      <c r="N244" s="15" t="inlineStr">
        <is>
          <t>gut</t>
        </is>
      </c>
      <c r="O244" s="19" t="n"/>
      <c r="P244" s="19" t="inlineStr">
        <is>
          <t>ja</t>
        </is>
      </c>
      <c r="Q244" s="19" t="n"/>
      <c r="R244" s="20" t="n"/>
      <c r="S244" s="20" t="n">
        <v>60</v>
      </c>
      <c r="T244" s="19" t="inlineStr">
        <is>
          <t>VHB</t>
        </is>
      </c>
      <c r="U244" s="21">
        <f>L244*S244</f>
        <v/>
      </c>
      <c r="V244" s="15" t="inlineStr">
        <is>
          <t>Versand möglich</t>
        </is>
      </c>
      <c r="W244" s="15" t="inlineStr">
        <is>
          <t>F-276</t>
        </is>
      </c>
      <c r="X244" s="19" t="inlineStr">
        <is>
          <t>ja</t>
        </is>
      </c>
      <c r="Y244" s="19" t="n"/>
      <c r="Z244" s="19" t="inlineStr">
        <is>
          <t>verfügbar</t>
        </is>
      </c>
      <c r="AA244" s="19" t="n"/>
      <c r="AB244" s="19" t="inlineStr">
        <is>
          <t>Schwarzwald</t>
        </is>
      </c>
      <c r="AC244" s="19" t="n"/>
      <c r="AD244" s="19" t="n"/>
      <c r="AE244" s="20" t="n"/>
      <c r="AF244" s="21">
        <f>IF(K244="","",K244*AE244)</f>
        <v/>
      </c>
      <c r="AG244" s="19" t="n"/>
      <c r="AH244" s="19" t="n"/>
      <c r="AI244" s="19" t="n"/>
      <c r="AJ244" s="19" t="n"/>
      <c r="AK244" s="19" t="n"/>
      <c r="AL244" s="19" t="n"/>
      <c r="AM244" s="16" t="inlineStr">
        <is>
          <t>1 Figur.</t>
        </is>
      </c>
      <c r="AN244" s="22" t="n"/>
    </row>
    <row r="245" ht="30" customHeight="1">
      <c r="A245" s="15" t="inlineStr">
        <is>
          <t>NE02-02</t>
        </is>
      </c>
      <c r="B245" s="15" t="n"/>
      <c r="C245" s="15" t="n"/>
      <c r="D245" s="15" t="inlineStr">
        <is>
          <t>NE02</t>
        </is>
      </c>
      <c r="E245" s="15" t="inlineStr">
        <is>
          <t>Barhocker dunkelgrau, Erwachsenenhöhe</t>
        </is>
      </c>
      <c r="F245" s="16" t="inlineStr">
        <is>
          <t>Barhocker mit dunkelgrauer Kunststoffschale auf schwarzem Kufengestell aus Rundstahl, mit Fußstütze.</t>
        </is>
      </c>
      <c r="G245" s="15" t="inlineStr">
        <is>
          <t>Möbel</t>
        </is>
      </c>
      <c r="H245" s="15" t="inlineStr">
        <is>
          <t>Küche</t>
        </is>
      </c>
      <c r="I245" s="15" t="inlineStr">
        <is>
          <t>B</t>
        </is>
      </c>
      <c r="J245" s="17" t="n">
        <v>2</v>
      </c>
      <c r="K245" s="17" t="n"/>
      <c r="L245" s="18">
        <f>J245-IF(K245="",0,K245)</f>
        <v/>
      </c>
      <c r="M245" s="15" t="inlineStr">
        <is>
          <t>Stück</t>
        </is>
      </c>
      <c r="N245" s="15" t="inlineStr">
        <is>
          <t>gebraucht</t>
        </is>
      </c>
      <c r="O245" s="19" t="n"/>
      <c r="P245" s="19" t="inlineStr">
        <is>
          <t>ja</t>
        </is>
      </c>
      <c r="Q245" s="19" t="n"/>
      <c r="R245" s="20" t="n"/>
      <c r="S245" s="20" t="n">
        <v>45</v>
      </c>
      <c r="T245" s="19" t="inlineStr">
        <is>
          <t>VHB</t>
        </is>
      </c>
      <c r="U245" s="21">
        <f>L245*S245</f>
        <v/>
      </c>
      <c r="V245" s="15" t="inlineStr">
        <is>
          <t>nur Abholung</t>
        </is>
      </c>
      <c r="W245" s="15" t="inlineStr">
        <is>
          <t>F-277</t>
        </is>
      </c>
      <c r="X245" s="19" t="inlineStr">
        <is>
          <t>ja</t>
        </is>
      </c>
      <c r="Y245" s="19" t="n"/>
      <c r="Z245" s="19" t="inlineStr">
        <is>
          <t>verfügbar</t>
        </is>
      </c>
      <c r="AA245" s="19" t="n"/>
      <c r="AB245" s="19" t="n"/>
      <c r="AC245" s="19" t="n"/>
      <c r="AD245" s="19" t="n"/>
      <c r="AE245" s="20" t="n"/>
      <c r="AF245" s="21">
        <f>IF(K245="","",K245*AE245)</f>
        <v/>
      </c>
      <c r="AG245" s="19" t="n"/>
      <c r="AH245" s="19" t="n"/>
      <c r="AI245" s="19" t="n"/>
      <c r="AJ245" s="19" t="n"/>
      <c r="AK245" s="19" t="n"/>
      <c r="AL245" s="19" t="n"/>
      <c r="AM245" s="16" t="inlineStr">
        <is>
          <t>2 Hocker – abgebildet ist einer davon.</t>
        </is>
      </c>
      <c r="AN245" s="22" t="n"/>
    </row>
    <row r="246" ht="30" customHeight="1">
      <c r="A246" s="15" t="inlineStr">
        <is>
          <t>NE02-03</t>
        </is>
      </c>
      <c r="B246" s="15" t="n"/>
      <c r="C246" s="15" t="n"/>
      <c r="D246" s="15" t="inlineStr">
        <is>
          <t>NE02</t>
        </is>
      </c>
      <c r="E246" s="15" t="inlineStr">
        <is>
          <t>Wäschekorb schwarz mit Deckel</t>
        </is>
      </c>
      <c r="F246" s="16" t="inlineStr">
        <is>
          <t>Wäschekorb aus Kunststoff in Flechtoptik, schwarz, mit aufklappbarem Deckel.</t>
        </is>
      </c>
      <c r="G246" s="15" t="inlineStr">
        <is>
          <t>Sonstiges</t>
        </is>
      </c>
      <c r="H246" s="15" t="inlineStr">
        <is>
          <t>Küche</t>
        </is>
      </c>
      <c r="I246" s="15" t="inlineStr">
        <is>
          <t>C</t>
        </is>
      </c>
      <c r="J246" s="17" t="n">
        <v>3</v>
      </c>
      <c r="K246" s="17" t="n"/>
      <c r="L246" s="18">
        <f>J246-IF(K246="",0,K246)</f>
        <v/>
      </c>
      <c r="M246" s="15" t="inlineStr">
        <is>
          <t>Stück</t>
        </is>
      </c>
      <c r="N246" s="15" t="inlineStr">
        <is>
          <t>gebraucht</t>
        </is>
      </c>
      <c r="O246" s="19" t="n"/>
      <c r="P246" s="19" t="inlineStr">
        <is>
          <t>ja</t>
        </is>
      </c>
      <c r="Q246" s="19" t="n"/>
      <c r="R246" s="20" t="n"/>
      <c r="S246" s="20" t="n">
        <v>12</v>
      </c>
      <c r="T246" s="19" t="inlineStr">
        <is>
          <t>VHB</t>
        </is>
      </c>
      <c r="U246" s="21">
        <f>L246*S246</f>
        <v/>
      </c>
      <c r="V246" s="15" t="inlineStr">
        <is>
          <t>nur Abholung</t>
        </is>
      </c>
      <c r="W246" s="15" t="inlineStr">
        <is>
          <t>F-278</t>
        </is>
      </c>
      <c r="X246" s="19" t="inlineStr">
        <is>
          <t>ja</t>
        </is>
      </c>
      <c r="Y246" s="19" t="n"/>
      <c r="Z246" s="19" t="inlineStr">
        <is>
          <t>verfügbar</t>
        </is>
      </c>
      <c r="AA246" s="19" t="n"/>
      <c r="AB246" s="19" t="n"/>
      <c r="AC246" s="19" t="n"/>
      <c r="AD246" s="19" t="n"/>
      <c r="AE246" s="20" t="n"/>
      <c r="AF246" s="21">
        <f>IF(K246="","",K246*AE246)</f>
        <v/>
      </c>
      <c r="AG246" s="19" t="n"/>
      <c r="AH246" s="19" t="n"/>
      <c r="AI246" s="19" t="n"/>
      <c r="AJ246" s="19" t="n"/>
      <c r="AK246" s="19" t="n"/>
      <c r="AL246" s="19" t="n"/>
      <c r="AM246" s="16" t="inlineStr">
        <is>
          <t>3 Körbe – abgebildet ist einer davon.</t>
        </is>
      </c>
      <c r="AN246" s="22" t="n"/>
    </row>
    <row r="247" ht="30" customHeight="1">
      <c r="A247" s="15" t="inlineStr">
        <is>
          <t>NE02-04</t>
        </is>
      </c>
      <c r="B247" s="15" t="n"/>
      <c r="C247" s="15" t="n"/>
      <c r="D247" s="15" t="inlineStr">
        <is>
          <t>NE02</t>
        </is>
      </c>
      <c r="E247" s="15" t="inlineStr">
        <is>
          <t>Mülleimer Kunststoff schwarz, groß</t>
        </is>
      </c>
      <c r="F247" s="16" t="inlineStr">
        <is>
          <t>Runder Abfallbehälter aus schwarzem Kunststoff mit aufgesetztem Schwingdeckel.</t>
        </is>
      </c>
      <c r="G247" s="15" t="inlineStr">
        <is>
          <t>Sonstiges</t>
        </is>
      </c>
      <c r="H247" s="15" t="inlineStr">
        <is>
          <t>Küche</t>
        </is>
      </c>
      <c r="I247" s="15" t="inlineStr">
        <is>
          <t>C</t>
        </is>
      </c>
      <c r="J247" s="17" t="n">
        <v>2</v>
      </c>
      <c r="K247" s="17" t="n"/>
      <c r="L247" s="18">
        <f>J247-IF(K247="",0,K247)</f>
        <v/>
      </c>
      <c r="M247" s="15" t="inlineStr">
        <is>
          <t>Stück</t>
        </is>
      </c>
      <c r="N247" s="15" t="inlineStr">
        <is>
          <t>gebraucht</t>
        </is>
      </c>
      <c r="O247" s="19" t="n"/>
      <c r="P247" s="19" t="inlineStr">
        <is>
          <t>ja</t>
        </is>
      </c>
      <c r="Q247" s="19" t="n"/>
      <c r="R247" s="20" t="n"/>
      <c r="S247" s="20" t="n">
        <v>15</v>
      </c>
      <c r="T247" s="19" t="inlineStr">
        <is>
          <t>VHB</t>
        </is>
      </c>
      <c r="U247" s="21">
        <f>L247*S247</f>
        <v/>
      </c>
      <c r="V247" s="15" t="inlineStr">
        <is>
          <t>nur Abholung</t>
        </is>
      </c>
      <c r="W247" s="15" t="inlineStr">
        <is>
          <t>F-279</t>
        </is>
      </c>
      <c r="X247" s="19" t="inlineStr">
        <is>
          <t>ja</t>
        </is>
      </c>
      <c r="Y247" s="19" t="n"/>
      <c r="Z247" s="19" t="inlineStr">
        <is>
          <t>verfügbar</t>
        </is>
      </c>
      <c r="AA247" s="19" t="n"/>
      <c r="AB247" s="19" t="n"/>
      <c r="AC247" s="19" t="n"/>
      <c r="AD247" s="19" t="n"/>
      <c r="AE247" s="20" t="n"/>
      <c r="AF247" s="21">
        <f>IF(K247="","",K247*AE247)</f>
        <v/>
      </c>
      <c r="AG247" s="19" t="n"/>
      <c r="AH247" s="19" t="n"/>
      <c r="AI247" s="19" t="n"/>
      <c r="AJ247" s="19" t="n"/>
      <c r="AK247" s="19" t="n"/>
      <c r="AL247" s="19" t="n"/>
      <c r="AM247" s="16" t="inlineStr">
        <is>
          <t>2 Eimer. Der zweite steht in einem anderen Raum und trägt dort kein eigenes Post-it.</t>
        </is>
      </c>
      <c r="AN247" s="22" t="n"/>
    </row>
    <row r="248" ht="30" customHeight="1">
      <c r="A248" s="15" t="inlineStr">
        <is>
          <t>NE02-05</t>
        </is>
      </c>
      <c r="B248" s="15" t="n"/>
      <c r="C248" s="15" t="inlineStr">
        <is>
          <t>NE02-06, NE02-07, BU06-01, BU06-02, BU06-03, BU06-04</t>
        </is>
      </c>
      <c r="D248" s="15" t="inlineStr">
        <is>
          <t>NE02</t>
        </is>
      </c>
      <c r="E248" s="15" t="inlineStr">
        <is>
          <t>Geschirr-Konvolut Kinder: 134 Becher und 49 Teller</t>
        </is>
      </c>
      <c r="F248" s="16" t="inlineStr">
        <is>
          <t>Komplettes Kindergeschirr aus zwei Küchen. 134 Trinkbecher aus Kunststoff und Melamin: 73 bunte von IKEA in Rot, Blau, Pink, Gelb und Weiß, 44 mit facettiertem Fuß in Weiß, Salbei-, Grau- und Mintgrün (acht davon mit Motiv) und 17 rote. Dazu 49 flache Teller: bunte Kunststoffteller in kräftigen Farben in zwei Größen sowie Teller mit Tiermotiv. Alles stapelbar und spülmaschinenfest.</t>
        </is>
      </c>
      <c r="G248" s="15" t="inlineStr">
        <is>
          <t>Sonstiges</t>
        </is>
      </c>
      <c r="H248" s="15" t="inlineStr">
        <is>
          <t>Küche</t>
        </is>
      </c>
      <c r="I248" s="15" t="inlineStr">
        <is>
          <t>B</t>
        </is>
      </c>
      <c r="J248" s="17" t="n">
        <v>1</v>
      </c>
      <c r="K248" s="17" t="n"/>
      <c r="L248" s="18">
        <f>J248-IF(K248="",0,K248)</f>
        <v/>
      </c>
      <c r="M248" s="15" t="inlineStr">
        <is>
          <t>Konvolut</t>
        </is>
      </c>
      <c r="N248" s="15" t="inlineStr">
        <is>
          <t>gebraucht</t>
        </is>
      </c>
      <c r="O248" s="19" t="n"/>
      <c r="P248" s="19" t="inlineStr">
        <is>
          <t>ja</t>
        </is>
      </c>
      <c r="Q248" s="19" t="n"/>
      <c r="R248" s="20" t="n"/>
      <c r="S248" s="20" t="n">
        <v>150</v>
      </c>
      <c r="T248" s="19" t="inlineStr">
        <is>
          <t>VHB</t>
        </is>
      </c>
      <c r="U248" s="21">
        <f>L248*S248</f>
        <v/>
      </c>
      <c r="V248" s="15" t="inlineStr">
        <is>
          <t>Versand möglich</t>
        </is>
      </c>
      <c r="W248" s="15" t="inlineStr">
        <is>
          <t>F-423</t>
        </is>
      </c>
      <c r="X248" s="19" t="inlineStr">
        <is>
          <t>ja</t>
        </is>
      </c>
      <c r="Y248" s="19" t="n"/>
      <c r="Z248" s="19" t="inlineStr">
        <is>
          <t>verfügbar</t>
        </is>
      </c>
      <c r="AA248" s="19" t="n"/>
      <c r="AB248" s="19" t="n"/>
      <c r="AC248" s="19" t="n"/>
      <c r="AD248" s="19" t="n"/>
      <c r="AE248" s="20" t="n"/>
      <c r="AF248" s="21">
        <f>IF(K248="","",K248*AE248)</f>
        <v/>
      </c>
      <c r="AG248" s="19" t="n"/>
      <c r="AH248" s="19" t="n"/>
      <c r="AI248" s="19" t="n"/>
      <c r="AJ248" s="19" t="n"/>
      <c r="AK248" s="19" t="n"/>
      <c r="AL248" s="19" t="n"/>
      <c r="AM248" s="16" t="inlineStr">
        <is>
          <t>1 Konvolut mit 183 Teilen, nur komplett. Aus der Küche im Erdgeschoss des Neubaus (NE02-05, -06, -07) und aus der Küche im Untergeschoss des Bestandsgebäudes (BU06-01 bis BU06-04). Weitere Fotos: F-280, F-281, F-282, F-424, F-425, F-426.</t>
        </is>
      </c>
      <c r="AN248" s="22" t="inlineStr">
        <is>
          <t>Zusammengefasstes Konvolut ueber zwei Kuechen - Post-it-Nummern: NE02-06, NE02-07, BU06-01, BU06-02, BU06-03, BU06-04.</t>
        </is>
      </c>
    </row>
    <row r="249" ht="30" customHeight="1">
      <c r="A249" s="15" t="inlineStr">
        <is>
          <t>NE02-08</t>
        </is>
      </c>
      <c r="B249" s="15" t="n"/>
      <c r="C249" s="15" t="n"/>
      <c r="D249" s="15" t="inlineStr">
        <is>
          <t>NE02</t>
        </is>
      </c>
      <c r="E249" s="15" t="inlineStr">
        <is>
          <t>Schriftzug „Sterneküche", schwarz</t>
        </is>
      </c>
      <c r="F249" s="16" t="inlineStr">
        <is>
          <t>Großer Wandschriftzug „Sterneküche" in Schreibschrift, schwarz, aus Holz gefräst.</t>
        </is>
      </c>
      <c r="G249" s="15" t="inlineStr">
        <is>
          <t>Deko</t>
        </is>
      </c>
      <c r="H249" s="15" t="inlineStr">
        <is>
          <t>Küche</t>
        </is>
      </c>
      <c r="I249" s="15" t="inlineStr">
        <is>
          <t>B</t>
        </is>
      </c>
      <c r="J249" s="17" t="n">
        <v>1</v>
      </c>
      <c r="K249" s="17" t="n"/>
      <c r="L249" s="18">
        <f>J249-IF(K249="",0,K249)</f>
        <v/>
      </c>
      <c r="M249" s="15" t="inlineStr">
        <is>
          <t>Stück</t>
        </is>
      </c>
      <c r="N249" s="15" t="inlineStr">
        <is>
          <t>gut</t>
        </is>
      </c>
      <c r="O249" s="19" t="n"/>
      <c r="P249" s="19" t="inlineStr">
        <is>
          <t>ja</t>
        </is>
      </c>
      <c r="Q249" s="19" t="n"/>
      <c r="R249" s="20" t="n"/>
      <c r="S249" s="20" t="n">
        <v>35</v>
      </c>
      <c r="T249" s="19" t="inlineStr">
        <is>
          <t>VHB</t>
        </is>
      </c>
      <c r="U249" s="21">
        <f>L249*S249</f>
        <v/>
      </c>
      <c r="V249" s="15" t="inlineStr">
        <is>
          <t>Versand möglich</t>
        </is>
      </c>
      <c r="W249" s="15" t="inlineStr">
        <is>
          <t>F-283</t>
        </is>
      </c>
      <c r="X249" s="19" t="inlineStr">
        <is>
          <t>ja</t>
        </is>
      </c>
      <c r="Y249" s="19" t="n"/>
      <c r="Z249" s="19" t="inlineStr">
        <is>
          <t>verfügbar</t>
        </is>
      </c>
      <c r="AA249" s="19" t="n"/>
      <c r="AB249" s="19" t="n"/>
      <c r="AC249" s="19" t="n"/>
      <c r="AD249" s="19" t="n"/>
      <c r="AE249" s="20" t="n"/>
      <c r="AF249" s="21">
        <f>IF(K249="","",K249*AE249)</f>
        <v/>
      </c>
      <c r="AG249" s="19" t="n"/>
      <c r="AH249" s="19" t="n"/>
      <c r="AI249" s="19" t="n"/>
      <c r="AJ249" s="19" t="n"/>
      <c r="AK249" s="19" t="n"/>
      <c r="AL249" s="19" t="n"/>
      <c r="AM249" s="16" t="inlineStr">
        <is>
          <t>1 Schriftzug.</t>
        </is>
      </c>
      <c r="AN249" s="22" t="n"/>
    </row>
    <row r="250" ht="30" customHeight="1">
      <c r="A250" s="15" t="inlineStr">
        <is>
          <t>NE02-09</t>
        </is>
      </c>
      <c r="B250" s="15" t="n"/>
      <c r="C250" s="15" t="n"/>
      <c r="D250" s="15" t="inlineStr">
        <is>
          <t>NE02</t>
        </is>
      </c>
      <c r="E250" s="15" t="inlineStr">
        <is>
          <t>Tablett weiß mit Streifenmuster</t>
        </is>
      </c>
      <c r="F250" s="16" t="inlineStr">
        <is>
          <t>Serviertablett aus Kunststoff, weiß mit Griffausschnitten, Boden mit Streifenmuster – eines in Blautönen, eines in Rottönen.</t>
        </is>
      </c>
      <c r="G250" s="15" t="inlineStr">
        <is>
          <t>Sonstiges</t>
        </is>
      </c>
      <c r="H250" s="15" t="inlineStr">
        <is>
          <t>Küche</t>
        </is>
      </c>
      <c r="I250" s="15" t="inlineStr">
        <is>
          <t>C</t>
        </is>
      </c>
      <c r="J250" s="17" t="n">
        <v>2</v>
      </c>
      <c r="K250" s="17" t="n"/>
      <c r="L250" s="18">
        <f>J250-IF(K250="",0,K250)</f>
        <v/>
      </c>
      <c r="M250" s="15" t="inlineStr">
        <is>
          <t>Stück</t>
        </is>
      </c>
      <c r="N250" s="15" t="inlineStr">
        <is>
          <t>gut</t>
        </is>
      </c>
      <c r="O250" s="19" t="n"/>
      <c r="P250" s="19" t="inlineStr">
        <is>
          <t>ja</t>
        </is>
      </c>
      <c r="Q250" s="19" t="n"/>
      <c r="R250" s="20" t="n"/>
      <c r="S250" s="20" t="n">
        <v>8</v>
      </c>
      <c r="T250" s="19" t="inlineStr">
        <is>
          <t>VHB</t>
        </is>
      </c>
      <c r="U250" s="21">
        <f>L250*S250</f>
        <v/>
      </c>
      <c r="V250" s="15" t="inlineStr">
        <is>
          <t>Versand möglich</t>
        </is>
      </c>
      <c r="W250" s="15" t="inlineStr">
        <is>
          <t>F-284</t>
        </is>
      </c>
      <c r="X250" s="19" t="inlineStr">
        <is>
          <t>ja</t>
        </is>
      </c>
      <c r="Y250" s="19" t="n"/>
      <c r="Z250" s="19" t="inlineStr">
        <is>
          <t>verfügbar</t>
        </is>
      </c>
      <c r="AA250" s="19" t="n"/>
      <c r="AB250" s="19" t="n"/>
      <c r="AC250" s="19" t="n"/>
      <c r="AD250" s="19" t="n"/>
      <c r="AE250" s="20" t="n"/>
      <c r="AF250" s="21">
        <f>IF(K250="","",K250*AE250)</f>
        <v/>
      </c>
      <c r="AG250" s="19" t="n"/>
      <c r="AH250" s="19" t="n"/>
      <c r="AI250" s="19" t="n"/>
      <c r="AJ250" s="19" t="n"/>
      <c r="AK250" s="19" t="n"/>
      <c r="AL250" s="19" t="n"/>
      <c r="AM250" s="16" t="inlineStr">
        <is>
          <t>2 Tabletts, beide abgebildet.</t>
        </is>
      </c>
      <c r="AN250" s="22" t="n"/>
    </row>
    <row r="251" ht="30" customHeight="1">
      <c r="A251" s="15" t="inlineStr">
        <is>
          <t>BA10-09</t>
        </is>
      </c>
      <c r="B251" s="15" t="n"/>
      <c r="C251" s="15" t="n"/>
      <c r="D251" s="15" t="inlineStr">
        <is>
          <t>BA10</t>
        </is>
      </c>
      <c r="E251" s="15" t="inlineStr">
        <is>
          <t>Beistelltisch rund, Tablettplatte Birke</t>
        </is>
      </c>
      <c r="F251" s="16" t="inlineStr">
        <is>
          <t>Runder Beistelltisch: abnehmbare Tablettplatte aus Birke mit umlaufendem Rand, auf einem weißen Gestell aus Rundstahl mit Tragebügel.</t>
        </is>
      </c>
      <c r="G251" s="15" t="inlineStr">
        <is>
          <t>Möbel</t>
        </is>
      </c>
      <c r="H251" s="15" t="inlineStr">
        <is>
          <t>Ruhe- / Schlafraum</t>
        </is>
      </c>
      <c r="I251" s="15" t="inlineStr">
        <is>
          <t>B</t>
        </is>
      </c>
      <c r="J251" s="17" t="n">
        <v>1</v>
      </c>
      <c r="K251" s="17" t="n"/>
      <c r="L251" s="18">
        <f>J251-IF(K251="",0,K251)</f>
        <v/>
      </c>
      <c r="M251" s="15" t="inlineStr">
        <is>
          <t>Stück</t>
        </is>
      </c>
      <c r="N251" s="15" t="inlineStr">
        <is>
          <t>gebraucht</t>
        </is>
      </c>
      <c r="O251" s="19" t="n"/>
      <c r="P251" s="19" t="inlineStr">
        <is>
          <t>ja</t>
        </is>
      </c>
      <c r="Q251" s="19" t="n"/>
      <c r="R251" s="20" t="n"/>
      <c r="S251" s="20" t="n">
        <v>35</v>
      </c>
      <c r="T251" s="19" t="inlineStr">
        <is>
          <t>VHB</t>
        </is>
      </c>
      <c r="U251" s="21">
        <f>L251*S251</f>
        <v/>
      </c>
      <c r="V251" s="15" t="inlineStr">
        <is>
          <t>nur Abholung</t>
        </is>
      </c>
      <c r="W251" s="15" t="inlineStr">
        <is>
          <t>F-286</t>
        </is>
      </c>
      <c r="X251" s="19" t="inlineStr">
        <is>
          <t>ja</t>
        </is>
      </c>
      <c r="Y251" s="19" t="n"/>
      <c r="Z251" s="19" t="inlineStr">
        <is>
          <t>verfügbar</t>
        </is>
      </c>
      <c r="AA251" s="19" t="n"/>
      <c r="AB251" s="19" t="n"/>
      <c r="AC251" s="19" t="n"/>
      <c r="AD251" s="19" t="n"/>
      <c r="AE251" s="20" t="n"/>
      <c r="AF251" s="21">
        <f>IF(K251="","",K251*AE251)</f>
        <v/>
      </c>
      <c r="AG251" s="19" t="n"/>
      <c r="AH251" s="19" t="n"/>
      <c r="AI251" s="19" t="n"/>
      <c r="AJ251" s="19" t="n"/>
      <c r="AK251" s="19" t="n"/>
      <c r="AL251" s="19" t="n"/>
      <c r="AM251" s="16" t="inlineStr">
        <is>
          <t>1 Tisch. Die Teelichtgläser gehören nicht dazu.</t>
        </is>
      </c>
      <c r="AN251" s="22" t="n"/>
    </row>
    <row r="252" ht="30" customHeight="1">
      <c r="A252" s="15" t="inlineStr">
        <is>
          <t>BA10-10</t>
        </is>
      </c>
      <c r="B252" s="15" t="n"/>
      <c r="C252" s="15" t="n"/>
      <c r="D252" s="15" t="inlineStr">
        <is>
          <t>BA10</t>
        </is>
      </c>
      <c r="E252" s="15" t="inlineStr">
        <is>
          <t>Beistelltisch rund, Tablettplatte schwarz</t>
        </is>
      </c>
      <c r="F252" s="16" t="inlineStr">
        <is>
          <t>Runder Beistelltisch mit schwarzer Tablettplatte auf drei schlanken, schwarz lackierten Metallbeinen. Platte mit Gebrauchsspuren.</t>
        </is>
      </c>
      <c r="G252" s="15" t="inlineStr">
        <is>
          <t>Möbel</t>
        </is>
      </c>
      <c r="H252" s="15" t="inlineStr">
        <is>
          <t>Ruhe- / Schlafraum</t>
        </is>
      </c>
      <c r="I252" s="15" t="inlineStr">
        <is>
          <t>B</t>
        </is>
      </c>
      <c r="J252" s="17" t="n">
        <v>1</v>
      </c>
      <c r="K252" s="17" t="n"/>
      <c r="L252" s="18">
        <f>J252-IF(K252="",0,K252)</f>
        <v/>
      </c>
      <c r="M252" s="15" t="inlineStr">
        <is>
          <t>Stück</t>
        </is>
      </c>
      <c r="N252" s="15" t="inlineStr">
        <is>
          <t>gebraucht</t>
        </is>
      </c>
      <c r="O252" s="19" t="n"/>
      <c r="P252" s="19" t="inlineStr">
        <is>
          <t>ja</t>
        </is>
      </c>
      <c r="Q252" s="19" t="n"/>
      <c r="R252" s="20" t="n"/>
      <c r="S252" s="20" t="n">
        <v>30</v>
      </c>
      <c r="T252" s="19" t="inlineStr">
        <is>
          <t>VHB</t>
        </is>
      </c>
      <c r="U252" s="21">
        <f>L252*S252</f>
        <v/>
      </c>
      <c r="V252" s="15" t="inlineStr">
        <is>
          <t>nur Abholung</t>
        </is>
      </c>
      <c r="W252" s="15" t="inlineStr">
        <is>
          <t>F-287</t>
        </is>
      </c>
      <c r="X252" s="19" t="inlineStr">
        <is>
          <t>ja</t>
        </is>
      </c>
      <c r="Y252" s="19" t="n"/>
      <c r="Z252" s="19" t="inlineStr">
        <is>
          <t>verfügbar</t>
        </is>
      </c>
      <c r="AA252" s="19" t="n"/>
      <c r="AB252" s="19" t="n"/>
      <c r="AC252" s="19" t="n"/>
      <c r="AD252" s="19" t="n"/>
      <c r="AE252" s="20" t="n"/>
      <c r="AF252" s="21">
        <f>IF(K252="","",K252*AE252)</f>
        <v/>
      </c>
      <c r="AG252" s="19" t="n"/>
      <c r="AH252" s="19" t="n"/>
      <c r="AI252" s="19" t="n"/>
      <c r="AJ252" s="19" t="n"/>
      <c r="AK252" s="19" t="n"/>
      <c r="AL252" s="19" t="n"/>
      <c r="AM252" s="16" t="inlineStr">
        <is>
          <t>1 Tisch. Die Kerzengläser gehören nicht dazu.</t>
        </is>
      </c>
      <c r="AN252" s="22" t="n"/>
    </row>
    <row r="253" ht="30" customHeight="1">
      <c r="A253" s="15" t="inlineStr">
        <is>
          <t>BA10-11</t>
        </is>
      </c>
      <c r="B253" s="15" t="n"/>
      <c r="C253" s="15" t="n"/>
      <c r="D253" s="15" t="inlineStr">
        <is>
          <t>BA10</t>
        </is>
      </c>
      <c r="E253" s="15" t="inlineStr">
        <is>
          <t>Tisch rund, zweiteilig, weiß</t>
        </is>
      </c>
      <c r="F253" s="16" t="inlineStr">
        <is>
          <t>Runder Tisch aus zwei halbrunden weißen Platten mit Multiplex-Kante, auf höhenverstellbaren Rundfüßen aus Chrom. Die Hälften lassen sich einzeln stellen.</t>
        </is>
      </c>
      <c r="G253" s="15" t="inlineStr">
        <is>
          <t>Möbel</t>
        </is>
      </c>
      <c r="H253" s="15" t="inlineStr">
        <is>
          <t>Ruhe- / Schlafraum</t>
        </is>
      </c>
      <c r="I253" s="15" t="inlineStr">
        <is>
          <t>B</t>
        </is>
      </c>
      <c r="J253" s="17" t="n">
        <v>1</v>
      </c>
      <c r="K253" s="17" t="n"/>
      <c r="L253" s="18">
        <f>J253-IF(K253="",0,K253)</f>
        <v/>
      </c>
      <c r="M253" s="15" t="inlineStr">
        <is>
          <t>Stück</t>
        </is>
      </c>
      <c r="N253" s="15" t="inlineStr">
        <is>
          <t>gebraucht</t>
        </is>
      </c>
      <c r="O253" s="19" t="n"/>
      <c r="P253" s="19" t="inlineStr">
        <is>
          <t>ja</t>
        </is>
      </c>
      <c r="Q253" s="19" t="n"/>
      <c r="R253" s="20" t="n"/>
      <c r="S253" s="20" t="n">
        <v>90</v>
      </c>
      <c r="T253" s="19" t="inlineStr">
        <is>
          <t>VHB</t>
        </is>
      </c>
      <c r="U253" s="21">
        <f>L253*S253</f>
        <v/>
      </c>
      <c r="V253" s="15" t="inlineStr">
        <is>
          <t>nur Abholung</t>
        </is>
      </c>
      <c r="W253" s="15" t="inlineStr">
        <is>
          <t>F-288</t>
        </is>
      </c>
      <c r="X253" s="19" t="inlineStr">
        <is>
          <t>ja</t>
        </is>
      </c>
      <c r="Y253" s="19" t="n"/>
      <c r="Z253" s="19" t="inlineStr">
        <is>
          <t>verfügbar</t>
        </is>
      </c>
      <c r="AA253" s="19" t="n"/>
      <c r="AB253" s="19" t="n"/>
      <c r="AC253" s="19" t="n"/>
      <c r="AD253" s="19" t="n"/>
      <c r="AE253" s="20" t="n"/>
      <c r="AF253" s="21">
        <f>IF(K253="","",K253*AE253)</f>
        <v/>
      </c>
      <c r="AG253" s="19" t="n"/>
      <c r="AH253" s="19" t="n"/>
      <c r="AI253" s="19" t="n"/>
      <c r="AJ253" s="19" t="n"/>
      <c r="AK253" s="19" t="n"/>
      <c r="AL253" s="19" t="n"/>
      <c r="AM253" s="16" t="inlineStr">
        <is>
          <t>1 Tisch aus zwei halbrunden Platten.</t>
        </is>
      </c>
      <c r="AN253" s="22" t="n"/>
    </row>
    <row r="254" ht="30" customHeight="1">
      <c r="A254" s="15" t="inlineStr">
        <is>
          <t>BA03-01</t>
        </is>
      </c>
      <c r="B254" s="15" t="n"/>
      <c r="C254" s="15" t="n"/>
      <c r="D254" s="15" t="inlineStr">
        <is>
          <t>BA03</t>
        </is>
      </c>
      <c r="E254" s="15" t="inlineStr">
        <is>
          <t>IKEA Avsiktlig Teppich, schwarz-weiß gepunktet</t>
        </is>
      </c>
      <c r="F254" s="16" t="inlineStr">
        <is>
          <t>Flachgewebter Teppich in Creme mit schwarzen Punktreihen, IKEA Avsiktlig. Flor 100 % Polypropylen auf Jutekette. Etikett auf der Rückseite vorhanden.</t>
        </is>
      </c>
      <c r="G254" s="15" t="inlineStr">
        <is>
          <t>Textilien</t>
        </is>
      </c>
      <c r="H254" s="15" t="inlineStr">
        <is>
          <t>Galerie</t>
        </is>
      </c>
      <c r="I254" s="15" t="inlineStr">
        <is>
          <t>C</t>
        </is>
      </c>
      <c r="J254" s="17" t="n">
        <v>1</v>
      </c>
      <c r="K254" s="17" t="n"/>
      <c r="L254" s="18">
        <f>J254-IF(K254="",0,K254)</f>
        <v/>
      </c>
      <c r="M254" s="15" t="inlineStr">
        <is>
          <t>Stück</t>
        </is>
      </c>
      <c r="N254" s="15" t="inlineStr">
        <is>
          <t>gebraucht</t>
        </is>
      </c>
      <c r="O254" s="19" t="inlineStr">
        <is>
          <t>133 × 195 cm</t>
        </is>
      </c>
      <c r="P254" s="19" t="inlineStr">
        <is>
          <t>ja</t>
        </is>
      </c>
      <c r="Q254" s="19" t="n"/>
      <c r="R254" s="20" t="n"/>
      <c r="S254" s="20" t="n">
        <v>25</v>
      </c>
      <c r="T254" s="19" t="inlineStr">
        <is>
          <t>VHB</t>
        </is>
      </c>
      <c r="U254" s="21">
        <f>L254*S254</f>
        <v/>
      </c>
      <c r="V254" s="15" t="inlineStr">
        <is>
          <t>Versand möglich</t>
        </is>
      </c>
      <c r="W254" s="15" t="inlineStr">
        <is>
          <t>F-291</t>
        </is>
      </c>
      <c r="X254" s="19" t="inlineStr">
        <is>
          <t>ja</t>
        </is>
      </c>
      <c r="Y254" s="19" t="n"/>
      <c r="Z254" s="19" t="inlineStr">
        <is>
          <t>verfügbar</t>
        </is>
      </c>
      <c r="AA254" s="19" t="inlineStr">
        <is>
          <t>IKEA</t>
        </is>
      </c>
      <c r="AB254" s="19" t="n"/>
      <c r="AC254" s="19" t="n"/>
      <c r="AD254" s="19" t="n"/>
      <c r="AE254" s="20" t="n"/>
      <c r="AF254" s="21">
        <f>IF(K254="","",K254*AE254)</f>
        <v/>
      </c>
      <c r="AG254" s="19" t="n"/>
      <c r="AH254" s="19" t="n"/>
      <c r="AI254" s="19" t="n"/>
      <c r="AJ254" s="19" t="n"/>
      <c r="AK254" s="19" t="n"/>
      <c r="AL254" s="19" t="n"/>
      <c r="AM254" s="16" t="inlineStr">
        <is>
          <t>1 Teppich. Das Etikett ist auf Foto F-292 zu sehen.</t>
        </is>
      </c>
      <c r="AN254" s="22" t="n"/>
    </row>
    <row r="255" ht="30" customHeight="1">
      <c r="A255" s="15" t="inlineStr">
        <is>
          <t>BA03-02</t>
        </is>
      </c>
      <c r="B255" s="15" t="n"/>
      <c r="C255" s="15" t="n"/>
      <c r="D255" s="15" t="inlineStr">
        <is>
          <t>BA03</t>
        </is>
      </c>
      <c r="E255" s="15" t="inlineStr">
        <is>
          <t>Spielküche beige-braun, mehrteilig</t>
        </is>
      </c>
      <c r="F255" s="16" t="inlineStr">
        <is>
          <t>Spielküche aus beschichteter Platte in Creme und Taupe mit Holzarbeitsplatten: Mikrowellenmodul mit Digitalanzeige, Unterschränke mit Kochfeld, Backofen mit Sichtfenster und Spüle, dazu ein Wandregal. Abgerundete Ecken, kindgerechte Höhe.</t>
        </is>
      </c>
      <c r="G255" s="15" t="inlineStr">
        <is>
          <t>Kita-Ausstattung</t>
        </is>
      </c>
      <c r="H255" s="15" t="inlineStr">
        <is>
          <t>Galerie</t>
        </is>
      </c>
      <c r="I255" s="15" t="inlineStr">
        <is>
          <t>A</t>
        </is>
      </c>
      <c r="J255" s="17" t="n">
        <v>1</v>
      </c>
      <c r="K255" s="17" t="n"/>
      <c r="L255" s="18">
        <f>J255-IF(K255="",0,K255)</f>
        <v/>
      </c>
      <c r="M255" s="15" t="inlineStr">
        <is>
          <t>Set</t>
        </is>
      </c>
      <c r="N255" s="15" t="inlineStr">
        <is>
          <t>gebraucht</t>
        </is>
      </c>
      <c r="O255" s="19" t="n"/>
      <c r="P255" s="19" t="inlineStr">
        <is>
          <t>ja</t>
        </is>
      </c>
      <c r="Q255" s="19" t="n"/>
      <c r="R255" s="20" t="n"/>
      <c r="S255" s="20" t="n">
        <v>250</v>
      </c>
      <c r="T255" s="19" t="inlineStr">
        <is>
          <t>VHB</t>
        </is>
      </c>
      <c r="U255" s="21">
        <f>L255*S255</f>
        <v/>
      </c>
      <c r="V255" s="15" t="inlineStr">
        <is>
          <t>nur Abholung</t>
        </is>
      </c>
      <c r="W255" s="15" t="inlineStr">
        <is>
          <t>F-293</t>
        </is>
      </c>
      <c r="X255" s="19" t="inlineStr">
        <is>
          <t>ja</t>
        </is>
      </c>
      <c r="Y255" s="19" t="n"/>
      <c r="Z255" s="19" t="inlineStr">
        <is>
          <t>verfügbar</t>
        </is>
      </c>
      <c r="AA255" s="19" t="n"/>
      <c r="AB255" s="19" t="n"/>
      <c r="AC255" s="19" t="n"/>
      <c r="AD255" s="19" t="n"/>
      <c r="AE255" s="20" t="n"/>
      <c r="AF255" s="21">
        <f>IF(K255="","",K255*AE255)</f>
        <v/>
      </c>
      <c r="AG255" s="19" t="n"/>
      <c r="AH255" s="19" t="n"/>
      <c r="AI255" s="19" t="n"/>
      <c r="AJ255" s="19" t="n"/>
      <c r="AK255" s="19" t="n"/>
      <c r="AL255" s="19" t="n"/>
      <c r="AM255" s="16" t="inlineStr">
        <is>
          <t>1 Küche aus mehreren Modulen. Spielgeschirr und Zubehör gehören nicht dazu. Zwei weitere Spielküchen von Wesco stehen unter NU03-03 und NU07-03.</t>
        </is>
      </c>
      <c r="AN255" s="22" t="n"/>
    </row>
    <row r="256" ht="30" customHeight="1">
      <c r="A256" s="15" t="inlineStr">
        <is>
          <t>BA03-03</t>
        </is>
      </c>
      <c r="B256" s="15" t="n"/>
      <c r="C256" s="15" t="n"/>
      <c r="D256" s="15" t="inlineStr">
        <is>
          <t>BA03</t>
        </is>
      </c>
      <c r="E256" s="15" t="inlineStr">
        <is>
          <t>Sofa grau, 2-Sitzer</t>
        </is>
      </c>
      <c r="F256" s="16" t="inlineStr">
        <is>
          <t>Kleines Zweisitzer-Sofa mit grauem Steppbezug aus Velours und weißem Metallgestell. Bezug abnehmbar.</t>
        </is>
      </c>
      <c r="G256" s="15" t="inlineStr">
        <is>
          <t>Möbel</t>
        </is>
      </c>
      <c r="H256" s="15" t="inlineStr">
        <is>
          <t>Galerie</t>
        </is>
      </c>
      <c r="I256" s="15" t="inlineStr">
        <is>
          <t>B</t>
        </is>
      </c>
      <c r="J256" s="17" t="n">
        <v>1</v>
      </c>
      <c r="K256" s="17" t="n"/>
      <c r="L256" s="18">
        <f>J256-IF(K256="",0,K256)</f>
        <v/>
      </c>
      <c r="M256" s="15" t="inlineStr">
        <is>
          <t>Stück</t>
        </is>
      </c>
      <c r="N256" s="15" t="inlineStr">
        <is>
          <t>gebraucht</t>
        </is>
      </c>
      <c r="O256" s="19" t="n"/>
      <c r="P256" s="19" t="inlineStr">
        <is>
          <t>ja</t>
        </is>
      </c>
      <c r="Q256" s="19" t="n"/>
      <c r="R256" s="20" t="n"/>
      <c r="S256" s="20" t="n">
        <v>70</v>
      </c>
      <c r="T256" s="19" t="inlineStr">
        <is>
          <t>VHB</t>
        </is>
      </c>
      <c r="U256" s="21">
        <f>L256*S256</f>
        <v/>
      </c>
      <c r="V256" s="15" t="inlineStr">
        <is>
          <t>nur Abholung</t>
        </is>
      </c>
      <c r="W256" s="15" t="inlineStr">
        <is>
          <t>F-294</t>
        </is>
      </c>
      <c r="X256" s="19" t="inlineStr">
        <is>
          <t>ja</t>
        </is>
      </c>
      <c r="Y256" s="19" t="n"/>
      <c r="Z256" s="19" t="inlineStr">
        <is>
          <t>verfügbar</t>
        </is>
      </c>
      <c r="AA256" s="19" t="n"/>
      <c r="AB256" s="19" t="n"/>
      <c r="AC256" s="19" t="n"/>
      <c r="AD256" s="19" t="n"/>
      <c r="AE256" s="20" t="n"/>
      <c r="AF256" s="21">
        <f>IF(K256="","",K256*AE256)</f>
        <v/>
      </c>
      <c r="AG256" s="19" t="n"/>
      <c r="AH256" s="19" t="n"/>
      <c r="AI256" s="19" t="n"/>
      <c r="AJ256" s="19" t="n"/>
      <c r="AK256" s="19" t="n"/>
      <c r="AL256" s="19" t="n"/>
      <c r="AM256" s="16" t="inlineStr">
        <is>
          <t>1 Sofa. Das Kissen gehört nicht dazu.</t>
        </is>
      </c>
      <c r="AN256" s="22" t="n"/>
    </row>
    <row r="257" ht="30" customHeight="1">
      <c r="A257" s="15" t="inlineStr">
        <is>
          <t>BA03-05</t>
        </is>
      </c>
      <c r="B257" s="15" t="n"/>
      <c r="C257" s="15" t="n"/>
      <c r="D257" s="15" t="inlineStr">
        <is>
          <t>BA03</t>
        </is>
      </c>
      <c r="E257" s="15" t="inlineStr">
        <is>
          <t>BRIO Puppenwagen rot gepunktet</t>
        </is>
      </c>
      <c r="F257" s="16" t="inlineStr">
        <is>
          <t>Kombi-Puppenwagen von BRIO: weißes Metallgestell mit Luftreifen, roter Stoffbezug mit weißen Punkten, schwenkbarer Schiebebügel, Ablagekorb unten. Markenetikett am Verdeck.</t>
        </is>
      </c>
      <c r="G257" s="15" t="inlineStr">
        <is>
          <t>Kita-Ausstattung</t>
        </is>
      </c>
      <c r="H257" s="15" t="inlineStr">
        <is>
          <t>Galerie</t>
        </is>
      </c>
      <c r="I257" s="15" t="inlineStr">
        <is>
          <t>B</t>
        </is>
      </c>
      <c r="J257" s="17" t="n">
        <v>1</v>
      </c>
      <c r="K257" s="17" t="n"/>
      <c r="L257" s="18">
        <f>J257-IF(K257="",0,K257)</f>
        <v/>
      </c>
      <c r="M257" s="15" t="inlineStr">
        <is>
          <t>Stück</t>
        </is>
      </c>
      <c r="N257" s="15" t="inlineStr">
        <is>
          <t>gebraucht</t>
        </is>
      </c>
      <c r="O257" s="19" t="n"/>
      <c r="P257" s="19" t="inlineStr">
        <is>
          <t>ja</t>
        </is>
      </c>
      <c r="Q257" s="19" t="n"/>
      <c r="R257" s="20" t="n"/>
      <c r="S257" s="20" t="n">
        <v>45</v>
      </c>
      <c r="T257" s="19" t="inlineStr">
        <is>
          <t>VHB</t>
        </is>
      </c>
      <c r="U257" s="21">
        <f>L257*S257</f>
        <v/>
      </c>
      <c r="V257" s="15" t="inlineStr">
        <is>
          <t>nur Abholung</t>
        </is>
      </c>
      <c r="W257" s="15" t="inlineStr">
        <is>
          <t>F-296</t>
        </is>
      </c>
      <c r="X257" s="19" t="inlineStr">
        <is>
          <t>ja</t>
        </is>
      </c>
      <c r="Y257" s="19" t="n"/>
      <c r="Z257" s="19" t="inlineStr">
        <is>
          <t>verfügbar</t>
        </is>
      </c>
      <c r="AA257" s="19" t="inlineStr">
        <is>
          <t>BRIO</t>
        </is>
      </c>
      <c r="AB257" s="19" t="n"/>
      <c r="AC257" s="19" t="n"/>
      <c r="AD257" s="19" t="n"/>
      <c r="AE257" s="20" t="n"/>
      <c r="AF257" s="21">
        <f>IF(K257="","",K257*AE257)</f>
        <v/>
      </c>
      <c r="AG257" s="19" t="n"/>
      <c r="AH257" s="19" t="n"/>
      <c r="AI257" s="19" t="n"/>
      <c r="AJ257" s="19" t="n"/>
      <c r="AK257" s="19" t="n"/>
      <c r="AL257" s="19" t="n"/>
      <c r="AM257" s="16" t="inlineStr">
        <is>
          <t>1 Puppenwagen. Die Puppe gehört nicht dazu. Das Etikett ist auf Foto F-297 zu sehen.</t>
        </is>
      </c>
      <c r="AN257" s="22" t="n"/>
    </row>
    <row r="258" ht="30" customHeight="1">
      <c r="A258" s="15" t="inlineStr">
        <is>
          <t>BA03-06</t>
        </is>
      </c>
      <c r="B258" s="15" t="n"/>
      <c r="C258" s="15" t="n"/>
      <c r="D258" s="15" t="inlineStr">
        <is>
          <t>BA03</t>
        </is>
      </c>
      <c r="E258" s="15" t="inlineStr">
        <is>
          <t>Kaufladen weiß mit Aufsatz</t>
        </is>
      </c>
      <c r="F258" s="16" t="inlineStr">
        <is>
          <t>Kaufladen aus Holz, weiß mit grauer Rückwand: Verkaufstheke mit Ablage unten, Aufsatz mit mehreren unterschiedlich großen Fächern.</t>
        </is>
      </c>
      <c r="G258" s="15" t="inlineStr">
        <is>
          <t>Kita-Ausstattung</t>
        </is>
      </c>
      <c r="H258" s="15" t="inlineStr">
        <is>
          <t>Galerie</t>
        </is>
      </c>
      <c r="I258" s="15" t="inlineStr">
        <is>
          <t>B</t>
        </is>
      </c>
      <c r="J258" s="17" t="n">
        <v>1</v>
      </c>
      <c r="K258" s="17" t="n"/>
      <c r="L258" s="18">
        <f>J258-IF(K258="",0,K258)</f>
        <v/>
      </c>
      <c r="M258" s="15" t="inlineStr">
        <is>
          <t>Stück</t>
        </is>
      </c>
      <c r="N258" s="15" t="inlineStr">
        <is>
          <t>gebraucht</t>
        </is>
      </c>
      <c r="O258" s="19" t="n"/>
      <c r="P258" s="19" t="inlineStr">
        <is>
          <t>ja</t>
        </is>
      </c>
      <c r="Q258" s="19" t="n"/>
      <c r="R258" s="20" t="n"/>
      <c r="S258" s="20" t="n">
        <v>90</v>
      </c>
      <c r="T258" s="19" t="inlineStr">
        <is>
          <t>VHB</t>
        </is>
      </c>
      <c r="U258" s="21">
        <f>L258*S258</f>
        <v/>
      </c>
      <c r="V258" s="15" t="inlineStr">
        <is>
          <t>nur Abholung</t>
        </is>
      </c>
      <c r="W258" s="15" t="inlineStr">
        <is>
          <t>F-298</t>
        </is>
      </c>
      <c r="X258" s="19" t="inlineStr">
        <is>
          <t>ja</t>
        </is>
      </c>
      <c r="Y258" s="19" t="n"/>
      <c r="Z258" s="19" t="inlineStr">
        <is>
          <t>verfügbar</t>
        </is>
      </c>
      <c r="AA258" s="19" t="n"/>
      <c r="AB258" s="19" t="n"/>
      <c r="AC258" s="19" t="n"/>
      <c r="AD258" s="19" t="n"/>
      <c r="AE258" s="20" t="n"/>
      <c r="AF258" s="21">
        <f>IF(K258="","",K258*AE258)</f>
        <v/>
      </c>
      <c r="AG258" s="19" t="n"/>
      <c r="AH258" s="19" t="n"/>
      <c r="AI258" s="19" t="n"/>
      <c r="AJ258" s="19" t="n"/>
      <c r="AK258" s="19" t="n"/>
      <c r="AL258" s="19" t="n"/>
      <c r="AM258" s="16" t="inlineStr">
        <is>
          <t>1 Kaufladen. Kasse, Spiellebensmittel und Geschirr gehören nicht dazu. Ein zweiter Kaufladen steht unter NU07-02.</t>
        </is>
      </c>
      <c r="AN258" s="22" t="n"/>
    </row>
    <row r="259" ht="30" customHeight="1">
      <c r="A259" s="15" t="inlineStr">
        <is>
          <t>BA03-07</t>
        </is>
      </c>
      <c r="B259" s="15" t="n"/>
      <c r="C259" s="15" t="n"/>
      <c r="D259" s="15" t="inlineStr">
        <is>
          <t>BA03</t>
        </is>
      </c>
      <c r="E259" s="15" t="inlineStr">
        <is>
          <t>Schrank weiß, zwei Türen</t>
        </is>
      </c>
      <c r="F259" s="16" t="inlineStr">
        <is>
          <t>Hoher Schrank in Weiß mit zwei Türen und runden Porzellanknöpfen in Rosenform.</t>
        </is>
      </c>
      <c r="G259" s="15" t="inlineStr">
        <is>
          <t>Möbel</t>
        </is>
      </c>
      <c r="H259" s="15" t="inlineStr">
        <is>
          <t>Galerie</t>
        </is>
      </c>
      <c r="I259" s="15" t="inlineStr">
        <is>
          <t>B</t>
        </is>
      </c>
      <c r="J259" s="17" t="n">
        <v>1</v>
      </c>
      <c r="K259" s="17" t="n"/>
      <c r="L259" s="18">
        <f>J259-IF(K259="",0,K259)</f>
        <v/>
      </c>
      <c r="M259" s="15" t="inlineStr">
        <is>
          <t>Stück</t>
        </is>
      </c>
      <c r="N259" s="15" t="inlineStr">
        <is>
          <t>gebraucht</t>
        </is>
      </c>
      <c r="O259" s="19" t="n"/>
      <c r="P259" s="19" t="inlineStr">
        <is>
          <t>ja</t>
        </is>
      </c>
      <c r="Q259" s="19" t="n"/>
      <c r="R259" s="20" t="n"/>
      <c r="S259" s="20" t="n">
        <v>80</v>
      </c>
      <c r="T259" s="19" t="inlineStr">
        <is>
          <t>VHB</t>
        </is>
      </c>
      <c r="U259" s="21">
        <f>L259*S259</f>
        <v/>
      </c>
      <c r="V259" s="15" t="inlineStr">
        <is>
          <t>nur Abholung</t>
        </is>
      </c>
      <c r="W259" s="15" t="inlineStr">
        <is>
          <t>F-299</t>
        </is>
      </c>
      <c r="X259" s="19" t="inlineStr">
        <is>
          <t>ja</t>
        </is>
      </c>
      <c r="Y259" s="19" t="n"/>
      <c r="Z259" s="19" t="inlineStr">
        <is>
          <t>verfügbar</t>
        </is>
      </c>
      <c r="AA259" s="19" t="n"/>
      <c r="AB259" s="19" t="n"/>
      <c r="AC259" s="19" t="n"/>
      <c r="AD259" s="19" t="n"/>
      <c r="AE259" s="20" t="n"/>
      <c r="AF259" s="21">
        <f>IF(K259="","",K259*AE259)</f>
        <v/>
      </c>
      <c r="AG259" s="19" t="n"/>
      <c r="AH259" s="19" t="n"/>
      <c r="AI259" s="19" t="n"/>
      <c r="AJ259" s="19" t="n"/>
      <c r="AK259" s="19" t="n"/>
      <c r="AL259" s="19" t="n"/>
      <c r="AM259" s="16" t="inlineStr">
        <is>
          <t>1 Schrank.</t>
        </is>
      </c>
      <c r="AN259" s="22" t="n"/>
    </row>
    <row r="260" ht="30" customHeight="1">
      <c r="A260" s="15" t="inlineStr">
        <is>
          <t>BA03-04</t>
        </is>
      </c>
      <c r="B260" s="15" t="n"/>
      <c r="C260" s="15" t="n"/>
      <c r="D260" s="15" t="inlineStr">
        <is>
          <t>BA03</t>
        </is>
      </c>
      <c r="E260" s="15" t="inlineStr">
        <is>
          <t>Wandregal Hausform, schwarz</t>
        </is>
      </c>
      <c r="F260" s="16" t="inlineStr">
        <is>
          <t>Wandregale in Hausform aus schwarz lackiertem Holz, zum Aufstellen oder Aufhängen, in unterschiedlichen Größen.</t>
        </is>
      </c>
      <c r="G260" s="15" t="inlineStr">
        <is>
          <t>Deko</t>
        </is>
      </c>
      <c r="H260" s="15" t="inlineStr">
        <is>
          <t>Galerie</t>
        </is>
      </c>
      <c r="I260" s="15" t="inlineStr">
        <is>
          <t>C</t>
        </is>
      </c>
      <c r="J260" s="17" t="n">
        <v>5</v>
      </c>
      <c r="K260" s="17" t="n"/>
      <c r="L260" s="18">
        <f>J260-IF(K260="",0,K260)</f>
        <v/>
      </c>
      <c r="M260" s="15" t="inlineStr">
        <is>
          <t>Stück</t>
        </is>
      </c>
      <c r="N260" s="15" t="inlineStr">
        <is>
          <t>gut</t>
        </is>
      </c>
      <c r="O260" s="19" t="n"/>
      <c r="P260" s="19" t="inlineStr">
        <is>
          <t>ja</t>
        </is>
      </c>
      <c r="Q260" s="19" t="n"/>
      <c r="R260" s="20" t="n"/>
      <c r="S260" s="20" t="n">
        <v>12</v>
      </c>
      <c r="T260" s="19" t="inlineStr">
        <is>
          <t>VHB</t>
        </is>
      </c>
      <c r="U260" s="21">
        <f>L260*S260</f>
        <v/>
      </c>
      <c r="V260" s="15" t="inlineStr">
        <is>
          <t>Versand möglich</t>
        </is>
      </c>
      <c r="W260" s="15" t="inlineStr">
        <is>
          <t>F-295</t>
        </is>
      </c>
      <c r="X260" s="19" t="inlineStr">
        <is>
          <t>ja</t>
        </is>
      </c>
      <c r="Y260" s="19" t="n"/>
      <c r="Z260" s="19" t="inlineStr">
        <is>
          <t>verfügbar</t>
        </is>
      </c>
      <c r="AA260" s="19" t="n"/>
      <c r="AB260" s="19" t="n"/>
      <c r="AC260" s="19" t="n"/>
      <c r="AD260" s="19" t="n"/>
      <c r="AE260" s="20" t="n"/>
      <c r="AF260" s="21">
        <f>IF(K260="","",K260*AE260)</f>
        <v/>
      </c>
      <c r="AG260" s="19" t="n"/>
      <c r="AH260" s="19" t="n"/>
      <c r="AI260" s="19" t="n"/>
      <c r="AJ260" s="19" t="n"/>
      <c r="AK260" s="19" t="n"/>
      <c r="AL260" s="19" t="n"/>
      <c r="AM260" s="16" t="inlineStr">
        <is>
          <t>5 Häuser in verschiedenen Größen. Der Inhalt gehört nicht dazu.</t>
        </is>
      </c>
      <c r="AN260" s="22" t="n"/>
    </row>
    <row r="261" ht="30" customHeight="1">
      <c r="A261" s="15" t="inlineStr">
        <is>
          <t>BA04-04</t>
        </is>
      </c>
      <c r="B261" s="15" t="n"/>
      <c r="C261" s="15" t="n"/>
      <c r="D261" s="15" t="inlineStr">
        <is>
          <t>BA04</t>
        </is>
      </c>
      <c r="E261" s="15" t="inlineStr">
        <is>
          <t>IKEA Urban Stapelstuhl weiß, Erwachsenengröße</t>
        </is>
      </c>
      <c r="F261" s="16" t="inlineStr">
        <is>
          <t>Stuhl Urban von IKEA, Entwurf Carl Öjerstam: weißer Kunststoff in einem Stück, runde Rückenlehne, konische Beine mit Querstrebe, stapelbar. Erwachsenengröße. Aufdruck an der Unterseite: Urban, designed by Carl Öjerstam, manufactured in Italy. Sitzfläche mit Kratzern.</t>
        </is>
      </c>
      <c r="G261" s="15" t="inlineStr">
        <is>
          <t>Möbel</t>
        </is>
      </c>
      <c r="H261" s="15" t="inlineStr">
        <is>
          <t>Gruppenraum 4</t>
        </is>
      </c>
      <c r="I261" s="15" t="inlineStr">
        <is>
          <t>B</t>
        </is>
      </c>
      <c r="J261" s="17" t="n">
        <v>8</v>
      </c>
      <c r="K261" s="17" t="n"/>
      <c r="L261" s="18">
        <f>J261-IF(K261="",0,K261)</f>
        <v/>
      </c>
      <c r="M261" s="15" t="inlineStr">
        <is>
          <t>Stück</t>
        </is>
      </c>
      <c r="N261" s="15" t="inlineStr">
        <is>
          <t>gebraucht</t>
        </is>
      </c>
      <c r="O261" s="19" t="n"/>
      <c r="P261" s="19" t="inlineStr">
        <is>
          <t>ja</t>
        </is>
      </c>
      <c r="Q261" s="19" t="n"/>
      <c r="R261" s="20" t="n"/>
      <c r="S261" s="20" t="n">
        <v>30</v>
      </c>
      <c r="T261" s="19" t="inlineStr">
        <is>
          <t>VHB</t>
        </is>
      </c>
      <c r="U261" s="21">
        <f>L261*S261</f>
        <v/>
      </c>
      <c r="V261" s="15" t="inlineStr">
        <is>
          <t>nur Abholung</t>
        </is>
      </c>
      <c r="W261" s="15" t="inlineStr">
        <is>
          <t>F-303</t>
        </is>
      </c>
      <c r="X261" s="19" t="inlineStr">
        <is>
          <t>ja</t>
        </is>
      </c>
      <c r="Y261" s="19" t="n"/>
      <c r="Z261" s="19" t="inlineStr">
        <is>
          <t>verfügbar</t>
        </is>
      </c>
      <c r="AA261" s="19" t="inlineStr">
        <is>
          <t>IKEA</t>
        </is>
      </c>
      <c r="AB261" s="19" t="n"/>
      <c r="AC261" s="19" t="n"/>
      <c r="AD261" s="19" t="n"/>
      <c r="AE261" s="20" t="n"/>
      <c r="AF261" s="21">
        <f>IF(K261="","",K261*AE261)</f>
        <v/>
      </c>
      <c r="AG261" s="19" t="n"/>
      <c r="AH261" s="19" t="n"/>
      <c r="AI261" s="19" t="n"/>
      <c r="AJ261" s="19" t="n"/>
      <c r="AK261" s="19" t="n"/>
      <c r="AL261" s="19" t="n"/>
      <c r="AM261" s="16" t="inlineStr">
        <is>
          <t>8 Stühle – abgebildet ist einer davon.</t>
        </is>
      </c>
      <c r="AN261" s="22" t="n"/>
    </row>
    <row r="262" ht="30" customHeight="1">
      <c r="A262" s="15" t="inlineStr">
        <is>
          <t>BA04-05</t>
        </is>
      </c>
      <c r="B262" s="15" t="n"/>
      <c r="C262" s="15" t="n"/>
      <c r="D262" s="15" t="inlineStr">
        <is>
          <t>BA04</t>
        </is>
      </c>
      <c r="E262" s="15" t="inlineStr">
        <is>
          <t>Kinder-Sessel Bugholz mit Polster</t>
        </is>
      </c>
      <c r="F262" s="16" t="inlineStr">
        <is>
          <t>Sessel in Kindergröße: Gestell aus gebogenem Schichtholz in Birke, Auflage aus cremefarbenem Stoff mit Nackenkissen. Bezug abnehmbar, Stoff fleckig.</t>
        </is>
      </c>
      <c r="G262" s="15" t="inlineStr">
        <is>
          <t>Kita-Ausstattung</t>
        </is>
      </c>
      <c r="H262" s="15" t="inlineStr">
        <is>
          <t>Gruppenraum 4</t>
        </is>
      </c>
      <c r="I262" s="15" t="inlineStr">
        <is>
          <t>B</t>
        </is>
      </c>
      <c r="J262" s="17" t="n">
        <v>1</v>
      </c>
      <c r="K262" s="17" t="n"/>
      <c r="L262" s="18">
        <f>J262-IF(K262="",0,K262)</f>
        <v/>
      </c>
      <c r="M262" s="15" t="inlineStr">
        <is>
          <t>Stück</t>
        </is>
      </c>
      <c r="N262" s="15" t="inlineStr">
        <is>
          <t>gebraucht</t>
        </is>
      </c>
      <c r="O262" s="19" t="n"/>
      <c r="P262" s="19" t="inlineStr">
        <is>
          <t>ja</t>
        </is>
      </c>
      <c r="Q262" s="19" t="n"/>
      <c r="R262" s="20" t="n"/>
      <c r="S262" s="20" t="n">
        <v>45</v>
      </c>
      <c r="T262" s="19" t="inlineStr">
        <is>
          <t>VHB</t>
        </is>
      </c>
      <c r="U262" s="21">
        <f>L262*S262</f>
        <v/>
      </c>
      <c r="V262" s="15" t="inlineStr">
        <is>
          <t>nur Abholung</t>
        </is>
      </c>
      <c r="W262" s="15" t="inlineStr">
        <is>
          <t>F-304</t>
        </is>
      </c>
      <c r="X262" s="19" t="inlineStr">
        <is>
          <t>ja</t>
        </is>
      </c>
      <c r="Y262" s="19" t="n"/>
      <c r="Z262" s="19" t="inlineStr">
        <is>
          <t>verfügbar</t>
        </is>
      </c>
      <c r="AA262" s="19" t="n"/>
      <c r="AB262" s="19" t="n"/>
      <c r="AC262" s="19" t="n"/>
      <c r="AD262" s="19" t="n"/>
      <c r="AE262" s="20" t="n"/>
      <c r="AF262" s="21">
        <f>IF(K262="","",K262*AE262)</f>
        <v/>
      </c>
      <c r="AG262" s="19" t="n"/>
      <c r="AH262" s="19" t="n"/>
      <c r="AI262" s="19" t="n"/>
      <c r="AJ262" s="19" t="n"/>
      <c r="AK262" s="19" t="n"/>
      <c r="AL262" s="19" t="n"/>
      <c r="AM262" s="16" t="inlineStr">
        <is>
          <t>1 Sessel.</t>
        </is>
      </c>
      <c r="AN262" s="22" t="n"/>
    </row>
    <row r="263" ht="30" customHeight="1">
      <c r="A263" s="15" t="inlineStr">
        <is>
          <t>BA04-06</t>
        </is>
      </c>
      <c r="B263" s="15" t="n"/>
      <c r="C263" s="15" t="n"/>
      <c r="D263" s="15" t="inlineStr">
        <is>
          <t>BA04</t>
        </is>
      </c>
      <c r="E263" s="15" t="inlineStr">
        <is>
          <t>Rollwagen weiß, drei Etagen</t>
        </is>
      </c>
      <c r="F263" s="16" t="inlineStr">
        <is>
          <t>Rollwagen aus weiß lackiertem Stahlblech mit drei Wannenböden und vier Rollen.</t>
        </is>
      </c>
      <c r="G263" s="15" t="inlineStr">
        <is>
          <t>Möbel</t>
        </is>
      </c>
      <c r="H263" s="15" t="inlineStr">
        <is>
          <t>Gruppenraum 4</t>
        </is>
      </c>
      <c r="I263" s="15" t="inlineStr">
        <is>
          <t>B</t>
        </is>
      </c>
      <c r="J263" s="17" t="n">
        <v>1</v>
      </c>
      <c r="K263" s="17" t="n"/>
      <c r="L263" s="18">
        <f>J263-IF(K263="",0,K263)</f>
        <v/>
      </c>
      <c r="M263" s="15" t="inlineStr">
        <is>
          <t>Stück</t>
        </is>
      </c>
      <c r="N263" s="15" t="inlineStr">
        <is>
          <t>gebraucht</t>
        </is>
      </c>
      <c r="O263" s="19" t="n"/>
      <c r="P263" s="19" t="inlineStr">
        <is>
          <t>ja</t>
        </is>
      </c>
      <c r="Q263" s="19" t="n"/>
      <c r="R263" s="20" t="n"/>
      <c r="S263" s="20" t="n">
        <v>30</v>
      </c>
      <c r="T263" s="19" t="inlineStr">
        <is>
          <t>VHB</t>
        </is>
      </c>
      <c r="U263" s="21">
        <f>L263*S263</f>
        <v/>
      </c>
      <c r="V263" s="15" t="inlineStr">
        <is>
          <t>nur Abholung</t>
        </is>
      </c>
      <c r="W263" s="15" t="inlineStr">
        <is>
          <t>F-305</t>
        </is>
      </c>
      <c r="X263" s="19" t="inlineStr">
        <is>
          <t>ja</t>
        </is>
      </c>
      <c r="Y263" s="19" t="n"/>
      <c r="Z263" s="19" t="inlineStr">
        <is>
          <t>verfügbar</t>
        </is>
      </c>
      <c r="AA263" s="19" t="n"/>
      <c r="AB263" s="19" t="n"/>
      <c r="AC263" s="19" t="n"/>
      <c r="AD263" s="19" t="n"/>
      <c r="AE263" s="20" t="n"/>
      <c r="AF263" s="21">
        <f>IF(K263="","",K263*AE263)</f>
        <v/>
      </c>
      <c r="AG263" s="19" t="n"/>
      <c r="AH263" s="19" t="n"/>
      <c r="AI263" s="19" t="n"/>
      <c r="AJ263" s="19" t="n"/>
      <c r="AK263" s="19" t="n"/>
      <c r="AL263" s="19" t="n"/>
      <c r="AM263" s="16" t="inlineStr">
        <is>
          <t>1 Wagen. Der Inhalt gehört nicht dazu.</t>
        </is>
      </c>
      <c r="AN263" s="22" t="n"/>
    </row>
    <row r="264" ht="30" customHeight="1">
      <c r="A264" s="15" t="inlineStr">
        <is>
          <t>BA04-07</t>
        </is>
      </c>
      <c r="B264" s="15" t="n"/>
      <c r="C264" s="15" t="inlineStr">
        <is>
          <t>BA07-04</t>
        </is>
      </c>
      <c r="D264" s="15" t="inlineStr">
        <is>
          <t>BA04</t>
        </is>
      </c>
      <c r="E264" s="15" t="inlineStr">
        <is>
          <t>Beistelltisch Drahtkorb, weiß</t>
        </is>
      </c>
      <c r="F264" s="16" t="inlineStr">
        <is>
          <t>Runder Beistelltisch: weißer Drahtkorb mit abnehmbarer Platte in heller Holzoptik. Der Korb lässt sich als Ablage nutzen.</t>
        </is>
      </c>
      <c r="G264" s="15" t="inlineStr">
        <is>
          <t>Möbel</t>
        </is>
      </c>
      <c r="H264" s="15" t="inlineStr">
        <is>
          <t>Gruppenraum 4</t>
        </is>
      </c>
      <c r="I264" s="15" t="inlineStr">
        <is>
          <t>B</t>
        </is>
      </c>
      <c r="J264" s="17" t="n">
        <v>2</v>
      </c>
      <c r="K264" s="17" t="n"/>
      <c r="L264" s="18">
        <f>J264-IF(K264="",0,K264)</f>
        <v/>
      </c>
      <c r="M264" s="15" t="inlineStr">
        <is>
          <t>Stück</t>
        </is>
      </c>
      <c r="N264" s="15" t="inlineStr">
        <is>
          <t>gebraucht</t>
        </is>
      </c>
      <c r="O264" s="19" t="n"/>
      <c r="P264" s="19" t="inlineStr">
        <is>
          <t>ja</t>
        </is>
      </c>
      <c r="Q264" s="19" t="n"/>
      <c r="R264" s="20" t="n"/>
      <c r="S264" s="20" t="n">
        <v>35</v>
      </c>
      <c r="T264" s="19" t="inlineStr">
        <is>
          <t>VHB</t>
        </is>
      </c>
      <c r="U264" s="21">
        <f>L264*S264</f>
        <v/>
      </c>
      <c r="V264" s="15" t="inlineStr">
        <is>
          <t>nur Abholung</t>
        </is>
      </c>
      <c r="W264" s="15" t="inlineStr">
        <is>
          <t>F-306</t>
        </is>
      </c>
      <c r="X264" s="19" t="inlineStr">
        <is>
          <t>ja</t>
        </is>
      </c>
      <c r="Y264" s="19" t="n"/>
      <c r="Z264" s="19" t="inlineStr">
        <is>
          <t>verfügbar</t>
        </is>
      </c>
      <c r="AA264" s="19" t="n"/>
      <c r="AB264" s="19" t="n"/>
      <c r="AC264" s="19" t="n"/>
      <c r="AD264" s="19" t="n"/>
      <c r="AE264" s="20" t="n"/>
      <c r="AF264" s="21">
        <f>IF(K264="","",K264*AE264)</f>
        <v/>
      </c>
      <c r="AG264" s="19" t="n"/>
      <c r="AH264" s="19" t="n"/>
      <c r="AI264" s="19" t="n"/>
      <c r="AJ264" s="19" t="n"/>
      <c r="AK264" s="19" t="n"/>
      <c r="AL264" s="19" t="n"/>
      <c r="AM264" s="16" t="inlineStr">
        <is>
          <t>2 Tische: einer im Gruppenraum 4 (BA04-07) und einer im Klassenzimmer (dort mit BA07-04 beschriftet). Der Inhalt gehört nicht dazu. Baugleich in Kupfer gibt es zwei Stück unter NU02-07.</t>
        </is>
      </c>
      <c r="AN264" s="22" t="inlineStr">
        <is>
          <t>Zusammengefasste Position – Post-it-Nummer im zweiten Raum: BA07-04.</t>
        </is>
      </c>
    </row>
    <row r="265" ht="30" customHeight="1">
      <c r="A265" s="15" t="inlineStr">
        <is>
          <t>BA05-01</t>
        </is>
      </c>
      <c r="B265" s="15" t="n"/>
      <c r="C265" s="15" t="n"/>
      <c r="D265" s="15" t="inlineStr">
        <is>
          <t>BA05</t>
        </is>
      </c>
      <c r="E265" s="15" t="inlineStr">
        <is>
          <t>Rollkasten mit großen Kunststoff-Bausteinen</t>
        </is>
      </c>
      <c r="F265" s="16" t="inlineStr">
        <is>
          <t>Flacher Kasten auf Rollen, Front in Weiß, Grün oder Grau, gefüllt mit großen Kunststoff-Bausteinen in Rot, Blau, Gelb und Grün.</t>
        </is>
      </c>
      <c r="G265" s="15" t="inlineStr">
        <is>
          <t>Kita-Ausstattung</t>
        </is>
      </c>
      <c r="H265" s="15" t="inlineStr">
        <is>
          <t>Turnraum</t>
        </is>
      </c>
      <c r="I265" s="15" t="inlineStr">
        <is>
          <t>B</t>
        </is>
      </c>
      <c r="J265" s="17" t="n">
        <v>4</v>
      </c>
      <c r="K265" s="17" t="n"/>
      <c r="L265" s="18">
        <f>J265-IF(K265="",0,K265)</f>
        <v/>
      </c>
      <c r="M265" s="15" t="inlineStr">
        <is>
          <t>Stück</t>
        </is>
      </c>
      <c r="N265" s="15" t="inlineStr">
        <is>
          <t>gebraucht</t>
        </is>
      </c>
      <c r="O265" s="19" t="n"/>
      <c r="P265" s="19" t="inlineStr">
        <is>
          <t>ja</t>
        </is>
      </c>
      <c r="Q265" s="19" t="n"/>
      <c r="R265" s="20" t="n"/>
      <c r="S265" s="20" t="n">
        <v>35</v>
      </c>
      <c r="T265" s="19" t="inlineStr">
        <is>
          <t>VHB</t>
        </is>
      </c>
      <c r="U265" s="21">
        <f>L265*S265</f>
        <v/>
      </c>
      <c r="V265" s="15" t="inlineStr">
        <is>
          <t>nur Abholung</t>
        </is>
      </c>
      <c r="W265" s="15" t="inlineStr">
        <is>
          <t>F-310</t>
        </is>
      </c>
      <c r="X265" s="19" t="inlineStr">
        <is>
          <t>ja</t>
        </is>
      </c>
      <c r="Y265" s="19" t="n"/>
      <c r="Z265" s="19" t="inlineStr">
        <is>
          <t>verfügbar</t>
        </is>
      </c>
      <c r="AA265" s="19" t="n"/>
      <c r="AB265" s="19" t="n"/>
      <c r="AC265" s="19" t="n"/>
      <c r="AD265" s="19" t="n"/>
      <c r="AE265" s="20" t="n"/>
      <c r="AF265" s="21">
        <f>IF(K265="","",K265*AE265)</f>
        <v/>
      </c>
      <c r="AG265" s="19" t="n"/>
      <c r="AH265" s="19" t="n"/>
      <c r="AI265" s="19" t="n"/>
      <c r="AJ265" s="19" t="n"/>
      <c r="AK265" s="19" t="n"/>
      <c r="AL265" s="19" t="n"/>
      <c r="AM265" s="16" t="inlineStr">
        <is>
          <t>4 Kästen einschließlich der Bausteine – alle vier sind abgebildet.</t>
        </is>
      </c>
      <c r="AN265" s="22" t="n"/>
    </row>
    <row r="266" ht="30" customHeight="1">
      <c r="A266" s="15" t="inlineStr">
        <is>
          <t>BA05-02</t>
        </is>
      </c>
      <c r="B266" s="15" t="n"/>
      <c r="C266" s="15" t="n"/>
      <c r="D266" s="15" t="inlineStr">
        <is>
          <t>BA05</t>
        </is>
      </c>
      <c r="E266" s="15" t="inlineStr">
        <is>
          <t>BENZ Turnbank</t>
        </is>
      </c>
      <c r="F266" s="16" t="inlineStr">
        <is>
          <t>Turnbank aus Holz mit Schmalseite zum Umdrehen, rutschhemmender Belag, Aufhängehaken an einem Ende. Aufdruck: BENZ Geräte.</t>
        </is>
      </c>
      <c r="G266" s="15" t="inlineStr">
        <is>
          <t>Kita-Ausstattung</t>
        </is>
      </c>
      <c r="H266" s="15" t="inlineStr">
        <is>
          <t>Turnraum</t>
        </is>
      </c>
      <c r="I266" s="15" t="inlineStr">
        <is>
          <t>B</t>
        </is>
      </c>
      <c r="J266" s="17" t="n">
        <v>2</v>
      </c>
      <c r="K266" s="17" t="n"/>
      <c r="L266" s="18">
        <f>J266-IF(K266="",0,K266)</f>
        <v/>
      </c>
      <c r="M266" s="15" t="inlineStr">
        <is>
          <t>Stück</t>
        </is>
      </c>
      <c r="N266" s="15" t="inlineStr">
        <is>
          <t>gebraucht</t>
        </is>
      </c>
      <c r="O266" s="19" t="n"/>
      <c r="P266" s="19" t="inlineStr">
        <is>
          <t>ja</t>
        </is>
      </c>
      <c r="Q266" s="19" t="n"/>
      <c r="R266" s="20" t="n"/>
      <c r="S266" s="20" t="n">
        <v>140</v>
      </c>
      <c r="T266" s="19" t="inlineStr">
        <is>
          <t>VHB</t>
        </is>
      </c>
      <c r="U266" s="21">
        <f>L266*S266</f>
        <v/>
      </c>
      <c r="V266" s="15" t="inlineStr">
        <is>
          <t>nur Abholung</t>
        </is>
      </c>
      <c r="W266" s="15" t="inlineStr">
        <is>
          <t>F-312</t>
        </is>
      </c>
      <c r="X266" s="19" t="inlineStr">
        <is>
          <t>ja</t>
        </is>
      </c>
      <c r="Y266" s="19" t="n"/>
      <c r="Z266" s="19" t="inlineStr">
        <is>
          <t>verfügbar</t>
        </is>
      </c>
      <c r="AA266" s="19" t="inlineStr">
        <is>
          <t>BENZ</t>
        </is>
      </c>
      <c r="AB266" s="19" t="n"/>
      <c r="AC266" s="19" t="n"/>
      <c r="AD266" s="19" t="n"/>
      <c r="AE266" s="20" t="n"/>
      <c r="AF266" s="21">
        <f>IF(K266="","",K266*AE266)</f>
        <v/>
      </c>
      <c r="AG266" s="19" t="n"/>
      <c r="AH266" s="19" t="n"/>
      <c r="AI266" s="19" t="n"/>
      <c r="AJ266" s="19" t="n"/>
      <c r="AK266" s="19" t="n"/>
      <c r="AL266" s="19" t="n"/>
      <c r="AM266" s="16" t="inlineStr">
        <is>
          <t>2 Bänke, beide abgebildet.</t>
        </is>
      </c>
      <c r="AN266" s="22" t="n"/>
    </row>
    <row r="267" ht="30" customHeight="1">
      <c r="A267" s="15" t="inlineStr">
        <is>
          <t>BA05-03</t>
        </is>
      </c>
      <c r="B267" s="15" t="n"/>
      <c r="C267" s="15" t="n"/>
      <c r="D267" s="15" t="inlineStr">
        <is>
          <t>BA05</t>
        </is>
      </c>
      <c r="E267" s="15" t="inlineStr">
        <is>
          <t>Trampolin mit Haltestange</t>
        </is>
      </c>
      <c r="F267" s="16" t="inlineStr">
        <is>
          <t>Rundes Fitness-Trampolin mit gepolstertem Randschutz in Rot und abnehmbarer Haltestange. Aufdruck auf dem Sprungtuch: ANCHEER. Der Randschutz ist an mehreren Stellen eingerissen.</t>
        </is>
      </c>
      <c r="G267" s="15" t="inlineStr">
        <is>
          <t>Kita-Ausstattung</t>
        </is>
      </c>
      <c r="H267" s="15" t="inlineStr">
        <is>
          <t>Turnraum</t>
        </is>
      </c>
      <c r="I267" s="15" t="inlineStr">
        <is>
          <t>B</t>
        </is>
      </c>
      <c r="J267" s="17" t="n">
        <v>1</v>
      </c>
      <c r="K267" s="17" t="n"/>
      <c r="L267" s="18">
        <f>J267-IF(K267="",0,K267)</f>
        <v/>
      </c>
      <c r="M267" s="15" t="inlineStr">
        <is>
          <t>Stück</t>
        </is>
      </c>
      <c r="N267" s="15" t="inlineStr">
        <is>
          <t>stark gebraucht</t>
        </is>
      </c>
      <c r="O267" s="19" t="n"/>
      <c r="P267" s="19" t="inlineStr">
        <is>
          <t>ja</t>
        </is>
      </c>
      <c r="Q267" s="19" t="n"/>
      <c r="R267" s="20" t="n"/>
      <c r="S267" s="20" t="n">
        <v>35</v>
      </c>
      <c r="T267" s="19" t="inlineStr">
        <is>
          <t>VHB</t>
        </is>
      </c>
      <c r="U267" s="21">
        <f>L267*S267</f>
        <v/>
      </c>
      <c r="V267" s="15" t="inlineStr">
        <is>
          <t>nur Abholung</t>
        </is>
      </c>
      <c r="W267" s="15" t="inlineStr">
        <is>
          <t>F-313</t>
        </is>
      </c>
      <c r="X267" s="19" t="inlineStr">
        <is>
          <t>ja</t>
        </is>
      </c>
      <c r="Y267" s="19" t="n"/>
      <c r="Z267" s="19" t="inlineStr">
        <is>
          <t>verfügbar</t>
        </is>
      </c>
      <c r="AA267" s="19" t="inlineStr">
        <is>
          <t>ANCHEER</t>
        </is>
      </c>
      <c r="AB267" s="19" t="n"/>
      <c r="AC267" s="19" t="n"/>
      <c r="AD267" s="19" t="n"/>
      <c r="AE267" s="20" t="n"/>
      <c r="AF267" s="21">
        <f>IF(K267="","",K267*AE267)</f>
        <v/>
      </c>
      <c r="AG267" s="19" t="n"/>
      <c r="AH267" s="19" t="n"/>
      <c r="AI267" s="19" t="n"/>
      <c r="AJ267" s="19" t="n"/>
      <c r="AK267" s="19" t="n"/>
      <c r="AL267" s="19" t="n"/>
      <c r="AM267" s="16" t="inlineStr">
        <is>
          <t>1 Trampolin.</t>
        </is>
      </c>
      <c r="AN267" s="22" t="n"/>
    </row>
    <row r="268" ht="30" customHeight="1">
      <c r="A268" s="15" t="inlineStr">
        <is>
          <t>BA05-04</t>
        </is>
      </c>
      <c r="B268" s="15" t="n"/>
      <c r="C268" s="15" t="n"/>
      <c r="D268" s="15" t="inlineStr">
        <is>
          <t>BA05</t>
        </is>
      </c>
      <c r="E268" s="15" t="inlineStr">
        <is>
          <t>Spielhochbett mit Bällebad und Rutsche</t>
        </is>
      </c>
      <c r="F268" s="16" t="inlineStr">
        <is>
          <t>Großes Spielhochbett aus weiß beschichteter Platte: zwei Liegeflächen oben mit Absturzsicherung, Leiter, Rutsche, runde Bullaugen und darunter ein eingebautes Bällebad einschließlich der Bälle.</t>
        </is>
      </c>
      <c r="G268" s="15" t="inlineStr">
        <is>
          <t>Kita-Ausstattung</t>
        </is>
      </c>
      <c r="H268" s="15" t="inlineStr">
        <is>
          <t>Turnraum</t>
        </is>
      </c>
      <c r="I268" s="15" t="inlineStr">
        <is>
          <t>A</t>
        </is>
      </c>
      <c r="J268" s="17" t="n">
        <v>1</v>
      </c>
      <c r="K268" s="17" t="n"/>
      <c r="L268" s="18">
        <f>J268-IF(K268="",0,K268)</f>
        <v/>
      </c>
      <c r="M268" s="15" t="inlineStr">
        <is>
          <t>Stück</t>
        </is>
      </c>
      <c r="N268" s="15" t="inlineStr">
        <is>
          <t>gebraucht</t>
        </is>
      </c>
      <c r="O268" s="19" t="n"/>
      <c r="P268" s="19" t="inlineStr">
        <is>
          <t>ja</t>
        </is>
      </c>
      <c r="Q268" s="19" t="n"/>
      <c r="R268" s="20" t="n"/>
      <c r="S268" s="20" t="n">
        <v>750</v>
      </c>
      <c r="T268" s="19" t="inlineStr">
        <is>
          <t>VHB</t>
        </is>
      </c>
      <c r="U268" s="21">
        <f>L268*S268</f>
        <v/>
      </c>
      <c r="V268" s="15" t="inlineStr">
        <is>
          <t>nur Abholung</t>
        </is>
      </c>
      <c r="W268" s="15" t="inlineStr">
        <is>
          <t>F-314</t>
        </is>
      </c>
      <c r="X268" s="19" t="inlineStr">
        <is>
          <t>ja</t>
        </is>
      </c>
      <c r="Y268" s="19" t="n"/>
      <c r="Z268" s="19" t="inlineStr">
        <is>
          <t>verfügbar</t>
        </is>
      </c>
      <c r="AA268" s="19" t="n"/>
      <c r="AB268" s="19" t="n"/>
      <c r="AC268" s="19" t="n"/>
      <c r="AD268" s="19" t="n"/>
      <c r="AE268" s="20" t="n"/>
      <c r="AF268" s="21">
        <f>IF(K268="","",K268*AE268)</f>
        <v/>
      </c>
      <c r="AG268" s="19" t="n"/>
      <c r="AH268" s="19" t="n"/>
      <c r="AI268" s="19" t="n"/>
      <c r="AJ268" s="19" t="n"/>
      <c r="AK268" s="19" t="n"/>
      <c r="AL268" s="19" t="n"/>
      <c r="AM268" s="16" t="inlineStr">
        <is>
          <t>1 Anlage einschließlich der Bälle. Abbau und Transport durch den Käufer. Das Bällebad ist auf Foto F-315 zu sehen.</t>
        </is>
      </c>
      <c r="AN268" s="22" t="inlineStr">
        <is>
          <t>Preis ist meine Schaetzung: als Schreinerarbeit neu 3.000-6.000 EUR. Bitte bestaetigen - das ist nach dem Vitra Alcove die zweitgroesste Einzelposition.</t>
        </is>
      </c>
    </row>
    <row r="269" ht="30" customHeight="1">
      <c r="A269" s="15" t="inlineStr">
        <is>
          <t>BA05-05</t>
        </is>
      </c>
      <c r="B269" s="15" t="n"/>
      <c r="C269" s="15" t="n"/>
      <c r="D269" s="15" t="inlineStr">
        <is>
          <t>BA05</t>
        </is>
      </c>
      <c r="E269" s="15" t="inlineStr">
        <is>
          <t>Sprossenwand einzeln</t>
        </is>
      </c>
      <c r="F269" s="16" t="inlineStr">
        <is>
          <t>Sprossenwand aus Massivholz zur Wandmontage: zwei kräftige Holme mit durchgehenden Rundsprossen, oben eine ausladende Aufhängeleiste.</t>
        </is>
      </c>
      <c r="G269" s="15" t="inlineStr">
        <is>
          <t>Kita-Ausstattung</t>
        </is>
      </c>
      <c r="H269" s="15" t="inlineStr">
        <is>
          <t>Turnraum</t>
        </is>
      </c>
      <c r="I269" s="15" t="inlineStr">
        <is>
          <t>B</t>
        </is>
      </c>
      <c r="J269" s="17" t="n">
        <v>3</v>
      </c>
      <c r="K269" s="17" t="n"/>
      <c r="L269" s="18">
        <f>J269-IF(K269="",0,K269)</f>
        <v/>
      </c>
      <c r="M269" s="15" t="inlineStr">
        <is>
          <t>Stück</t>
        </is>
      </c>
      <c r="N269" s="15" t="inlineStr">
        <is>
          <t>gebraucht</t>
        </is>
      </c>
      <c r="O269" s="19" t="n"/>
      <c r="P269" s="19" t="inlineStr">
        <is>
          <t>ja</t>
        </is>
      </c>
      <c r="Q269" s="19" t="n"/>
      <c r="R269" s="20" t="n"/>
      <c r="S269" s="20" t="n">
        <v>100</v>
      </c>
      <c r="T269" s="19" t="inlineStr">
        <is>
          <t>VHB</t>
        </is>
      </c>
      <c r="U269" s="21">
        <f>L269*S269</f>
        <v/>
      </c>
      <c r="V269" s="15" t="inlineStr">
        <is>
          <t>nur Abholung</t>
        </is>
      </c>
      <c r="W269" s="15" t="inlineStr">
        <is>
          <t>F-321</t>
        </is>
      </c>
      <c r="X269" s="19" t="inlineStr">
        <is>
          <t>ja</t>
        </is>
      </c>
      <c r="Y269" s="19" t="n"/>
      <c r="Z269" s="19" t="inlineStr">
        <is>
          <t>verfügbar</t>
        </is>
      </c>
      <c r="AA269" s="19" t="n"/>
      <c r="AB269" s="19" t="n"/>
      <c r="AC269" s="19" t="n"/>
      <c r="AD269" s="19" t="n"/>
      <c r="AE269" s="20" t="n"/>
      <c r="AF269" s="21">
        <f>IF(K269="","",K269*AE269)</f>
        <v/>
      </c>
      <c r="AG269" s="19" t="n"/>
      <c r="AH269" s="19" t="n"/>
      <c r="AI269" s="19" t="n"/>
      <c r="AJ269" s="19" t="n"/>
      <c r="AK269" s="19" t="n"/>
      <c r="AL269" s="19" t="n"/>
      <c r="AM269" s="16" t="inlineStr">
        <is>
          <t>3 Sprossenwände – abgebildet ist eine davon.</t>
        </is>
      </c>
      <c r="AN269" s="22" t="n"/>
    </row>
    <row r="270" ht="30" customHeight="1">
      <c r="A270" s="15" t="inlineStr">
        <is>
          <t>BA05-06</t>
        </is>
      </c>
      <c r="B270" s="15" t="n"/>
      <c r="C270" s="15" t="n"/>
      <c r="D270" s="15" t="inlineStr">
        <is>
          <t>BA05</t>
        </is>
      </c>
      <c r="E270" s="15" t="inlineStr">
        <is>
          <t>Doppelsprossenwand</t>
        </is>
      </c>
      <c r="F270" s="16" t="inlineStr">
        <is>
          <t>Breite Sprossenwand aus Massivholz zur Wandmontage, zwei Felder nebeneinander mit durchgehenden Querholmen und oberer Ausleger-Leiste.</t>
        </is>
      </c>
      <c r="G270" s="15" t="inlineStr">
        <is>
          <t>Kita-Ausstattung</t>
        </is>
      </c>
      <c r="H270" s="15" t="inlineStr">
        <is>
          <t>Turnraum</t>
        </is>
      </c>
      <c r="I270" s="15" t="inlineStr">
        <is>
          <t>A</t>
        </is>
      </c>
      <c r="J270" s="17" t="n">
        <v>1</v>
      </c>
      <c r="K270" s="17" t="n"/>
      <c r="L270" s="18">
        <f>J270-IF(K270="",0,K270)</f>
        <v/>
      </c>
      <c r="M270" s="15" t="inlineStr">
        <is>
          <t>Stück</t>
        </is>
      </c>
      <c r="N270" s="15" t="inlineStr">
        <is>
          <t>gebraucht</t>
        </is>
      </c>
      <c r="O270" s="19" t="n"/>
      <c r="P270" s="19" t="inlineStr">
        <is>
          <t>ja</t>
        </is>
      </c>
      <c r="Q270" s="19" t="n"/>
      <c r="R270" s="20" t="n"/>
      <c r="S270" s="20" t="n">
        <v>180</v>
      </c>
      <c r="T270" s="19" t="inlineStr">
        <is>
          <t>VHB</t>
        </is>
      </c>
      <c r="U270" s="21">
        <f>L270*S270</f>
        <v/>
      </c>
      <c r="V270" s="15" t="inlineStr">
        <is>
          <t>nur Abholung</t>
        </is>
      </c>
      <c r="W270" s="15" t="inlineStr">
        <is>
          <t>F-316</t>
        </is>
      </c>
      <c r="X270" s="19" t="inlineStr">
        <is>
          <t>ja</t>
        </is>
      </c>
      <c r="Y270" s="19" t="n"/>
      <c r="Z270" s="19" t="inlineStr">
        <is>
          <t>verfügbar</t>
        </is>
      </c>
      <c r="AA270" s="19" t="n"/>
      <c r="AB270" s="19" t="n"/>
      <c r="AC270" s="19" t="n"/>
      <c r="AD270" s="19" t="n"/>
      <c r="AE270" s="20" t="n"/>
      <c r="AF270" s="21">
        <f>IF(K270="","",K270*AE270)</f>
        <v/>
      </c>
      <c r="AG270" s="19" t="n"/>
      <c r="AH270" s="19" t="n"/>
      <c r="AI270" s="19" t="n"/>
      <c r="AJ270" s="19" t="n"/>
      <c r="AK270" s="19" t="n"/>
      <c r="AL270" s="19" t="n"/>
      <c r="AM270" s="16" t="inlineStr">
        <is>
          <t>1 Doppelsprossenwand.</t>
        </is>
      </c>
      <c r="AN270" s="22" t="n"/>
    </row>
    <row r="271" ht="30" customHeight="1">
      <c r="A271" s="15" t="inlineStr">
        <is>
          <t>BA05-07</t>
        </is>
      </c>
      <c r="B271" s="15" t="n"/>
      <c r="C271" s="15" t="n"/>
      <c r="D271" s="15" t="inlineStr">
        <is>
          <t>BA05</t>
        </is>
      </c>
      <c r="E271" s="15" t="inlineStr">
        <is>
          <t>Treppenturngerät gepolstert</t>
        </is>
      </c>
      <c r="F271" s="16" t="inlineStr">
        <is>
          <t>Turngerät aus Schaumstoff mit Kunstlederbezug in Creme und Grau: Treppenelement mit drei Stufen und passende Rampe, zusammensteckbar.</t>
        </is>
      </c>
      <c r="G271" s="15" t="inlineStr">
        <is>
          <t>Kita-Ausstattung</t>
        </is>
      </c>
      <c r="H271" s="15" t="inlineStr">
        <is>
          <t>Turnraum</t>
        </is>
      </c>
      <c r="I271" s="15" t="inlineStr">
        <is>
          <t>B</t>
        </is>
      </c>
      <c r="J271" s="17" t="n">
        <v>1</v>
      </c>
      <c r="K271" s="17" t="n"/>
      <c r="L271" s="18">
        <f>J271-IF(K271="",0,K271)</f>
        <v/>
      </c>
      <c r="M271" s="15" t="inlineStr">
        <is>
          <t>Stück</t>
        </is>
      </c>
      <c r="N271" s="15" t="inlineStr">
        <is>
          <t>gebraucht</t>
        </is>
      </c>
      <c r="O271" s="19" t="n"/>
      <c r="P271" s="19" t="inlineStr">
        <is>
          <t>ja</t>
        </is>
      </c>
      <c r="Q271" s="19" t="n"/>
      <c r="R271" s="20" t="n"/>
      <c r="S271" s="20" t="n">
        <v>150</v>
      </c>
      <c r="T271" s="19" t="inlineStr">
        <is>
          <t>VHB</t>
        </is>
      </c>
      <c r="U271" s="21">
        <f>L271*S271</f>
        <v/>
      </c>
      <c r="V271" s="15" t="inlineStr">
        <is>
          <t>nur Abholung</t>
        </is>
      </c>
      <c r="W271" s="15" t="inlineStr">
        <is>
          <t>F-317</t>
        </is>
      </c>
      <c r="X271" s="19" t="inlineStr">
        <is>
          <t>ja</t>
        </is>
      </c>
      <c r="Y271" s="19" t="n"/>
      <c r="Z271" s="19" t="inlineStr">
        <is>
          <t>verfügbar</t>
        </is>
      </c>
      <c r="AA271" s="19" t="n"/>
      <c r="AB271" s="19" t="n"/>
      <c r="AC271" s="19" t="n"/>
      <c r="AD271" s="19" t="n"/>
      <c r="AE271" s="20" t="n"/>
      <c r="AF271" s="21">
        <f>IF(K271="","",K271*AE271)</f>
        <v/>
      </c>
      <c r="AG271" s="19" t="n"/>
      <c r="AH271" s="19" t="n"/>
      <c r="AI271" s="19" t="n"/>
      <c r="AJ271" s="19" t="n"/>
      <c r="AK271" s="19" t="n"/>
      <c r="AL271" s="19" t="n"/>
      <c r="AM271" s="16" t="inlineStr">
        <is>
          <t>1 Gerät aus mehreren Teilen.</t>
        </is>
      </c>
      <c r="AN271" s="22" t="n"/>
    </row>
    <row r="272" ht="30" customHeight="1">
      <c r="A272" s="15" t="inlineStr">
        <is>
          <t>BA05-08</t>
        </is>
      </c>
      <c r="B272" s="15" t="n"/>
      <c r="C272" s="15" t="inlineStr">
        <is>
          <t>BA06-01</t>
        </is>
      </c>
      <c r="D272" s="15" t="inlineStr">
        <is>
          <t>BA05</t>
        </is>
      </c>
      <c r="E272" s="15" t="inlineStr">
        <is>
          <t>Rody Hüpfpferd, rot und grün</t>
        </is>
      </c>
      <c r="F272" s="16" t="inlineStr">
        <is>
          <t>Hüpfpferd Rody aus Gummi mit weißen Punkten, aufblasbar. Markenaufdruck am Bauch. Eines in Rot mit gelbem Sattel, zwei in Grün mit blauem Sattel.</t>
        </is>
      </c>
      <c r="G272" s="15" t="inlineStr">
        <is>
          <t>Kita-Ausstattung</t>
        </is>
      </c>
      <c r="H272" s="15" t="inlineStr">
        <is>
          <t>Turnraum</t>
        </is>
      </c>
      <c r="I272" s="15" t="inlineStr">
        <is>
          <t>C</t>
        </is>
      </c>
      <c r="J272" s="17" t="n">
        <v>3</v>
      </c>
      <c r="K272" s="17" t="n"/>
      <c r="L272" s="18">
        <f>J272-IF(K272="",0,K272)</f>
        <v/>
      </c>
      <c r="M272" s="15" t="inlineStr">
        <is>
          <t>Stück</t>
        </is>
      </c>
      <c r="N272" s="15" t="inlineStr">
        <is>
          <t>gebraucht</t>
        </is>
      </c>
      <c r="O272" s="19" t="n"/>
      <c r="P272" s="19" t="inlineStr">
        <is>
          <t>ja</t>
        </is>
      </c>
      <c r="Q272" s="19" t="n"/>
      <c r="R272" s="20" t="n"/>
      <c r="S272" s="20" t="n">
        <v>20</v>
      </c>
      <c r="T272" s="19" t="inlineStr">
        <is>
          <t>VHB</t>
        </is>
      </c>
      <c r="U272" s="21">
        <f>L272*S272</f>
        <v/>
      </c>
      <c r="V272" s="15" t="inlineStr">
        <is>
          <t>nur Abholung</t>
        </is>
      </c>
      <c r="W272" s="15" t="inlineStr">
        <is>
          <t>F-318</t>
        </is>
      </c>
      <c r="X272" s="19" t="inlineStr">
        <is>
          <t>ja</t>
        </is>
      </c>
      <c r="Y272" s="19" t="n"/>
      <c r="Z272" s="19" t="inlineStr">
        <is>
          <t>verfügbar</t>
        </is>
      </c>
      <c r="AA272" s="19" t="inlineStr">
        <is>
          <t>Rody</t>
        </is>
      </c>
      <c r="AB272" s="19" t="n"/>
      <c r="AC272" s="19" t="n"/>
      <c r="AD272" s="19" t="n"/>
      <c r="AE272" s="20" t="n"/>
      <c r="AF272" s="21">
        <f>IF(K272="","",K272*AE272)</f>
        <v/>
      </c>
      <c r="AG272" s="19" t="n"/>
      <c r="AH272" s="19" t="n"/>
      <c r="AI272" s="19" t="n"/>
      <c r="AJ272" s="19" t="n"/>
      <c r="AK272" s="19" t="n"/>
      <c r="AL272" s="19" t="n"/>
      <c r="AM272" s="16" t="inlineStr">
        <is>
          <t>3 Hüpfpferde: eines rot im Turnraum (BA05-08) und zwei grüne im Materialraum (dort mit BA06-01 beschriftet). Das rote ist auf Foto F-318 zu sehen, die grünen auf F-323.</t>
        </is>
      </c>
      <c r="AN272" s="22" t="inlineStr">
        <is>
          <t>Zusammengefasste Position – Post-it-Nummer im zweiten Raum: BA06-01.</t>
        </is>
      </c>
    </row>
    <row r="273" ht="30" customHeight="1">
      <c r="A273" s="15" t="inlineStr">
        <is>
          <t>BA05-09</t>
        </is>
      </c>
      <c r="B273" s="15" t="n"/>
      <c r="C273" s="15" t="n"/>
      <c r="D273" s="15" t="inlineStr">
        <is>
          <t>BA05</t>
        </is>
      </c>
      <c r="E273" s="15" t="inlineStr">
        <is>
          <t>Softbausteine gepolstert, groß</t>
        </is>
      </c>
      <c r="F273" s="16" t="inlineStr">
        <is>
          <t>Große Turn- und Bauelemente aus Schaumstoff mit Kunstlederbezug in Rot, Blau, Grün und Hellgrün: Treppen, Rampen, Wellen, Quader und Keile.</t>
        </is>
      </c>
      <c r="G273" s="15" t="inlineStr">
        <is>
          <t>Kita-Ausstattung</t>
        </is>
      </c>
      <c r="H273" s="15" t="inlineStr">
        <is>
          <t>Turnraum</t>
        </is>
      </c>
      <c r="I273" s="15" t="inlineStr">
        <is>
          <t>B</t>
        </is>
      </c>
      <c r="J273" s="17" t="n">
        <v>7</v>
      </c>
      <c r="K273" s="17" t="n"/>
      <c r="L273" s="18">
        <f>J273-IF(K273="",0,K273)</f>
        <v/>
      </c>
      <c r="M273" s="15" t="inlineStr">
        <is>
          <t>Stück</t>
        </is>
      </c>
      <c r="N273" s="15" t="inlineStr">
        <is>
          <t>gebraucht</t>
        </is>
      </c>
      <c r="O273" s="19" t="n"/>
      <c r="P273" s="19" t="inlineStr">
        <is>
          <t>ja</t>
        </is>
      </c>
      <c r="Q273" s="19" t="n"/>
      <c r="R273" s="20" t="n"/>
      <c r="S273" s="20" t="n">
        <v>45</v>
      </c>
      <c r="T273" s="19" t="inlineStr">
        <is>
          <t>VHB</t>
        </is>
      </c>
      <c r="U273" s="21">
        <f>L273*S273</f>
        <v/>
      </c>
      <c r="V273" s="15" t="inlineStr">
        <is>
          <t>nur Abholung</t>
        </is>
      </c>
      <c r="W273" s="15" t="inlineStr">
        <is>
          <t>F-319</t>
        </is>
      </c>
      <c r="X273" s="19" t="inlineStr">
        <is>
          <t>ja</t>
        </is>
      </c>
      <c r="Y273" s="19" t="n"/>
      <c r="Z273" s="19" t="inlineStr">
        <is>
          <t>verfügbar</t>
        </is>
      </c>
      <c r="AA273" s="19" t="n"/>
      <c r="AB273" s="19" t="n"/>
      <c r="AC273" s="19" t="n"/>
      <c r="AD273" s="19" t="n"/>
      <c r="AE273" s="20" t="n"/>
      <c r="AF273" s="21">
        <f>IF(K273="","",K273*AE273)</f>
        <v/>
      </c>
      <c r="AG273" s="19" t="n"/>
      <c r="AH273" s="19" t="n"/>
      <c r="AI273" s="19" t="n"/>
      <c r="AJ273" s="19" t="n"/>
      <c r="AK273" s="19" t="n"/>
      <c r="AL273" s="19" t="n"/>
      <c r="AM273" s="16" t="inlineStr">
        <is>
          <t>7 Elemente in verschiedenen Formen – alle abgebildet.</t>
        </is>
      </c>
      <c r="AN273" s="22" t="n"/>
    </row>
    <row r="274" ht="30" customHeight="1">
      <c r="A274" s="15" t="inlineStr">
        <is>
          <t>BA05-10</t>
        </is>
      </c>
      <c r="B274" s="15" t="n"/>
      <c r="C274" s="15" t="n"/>
      <c r="D274" s="15" t="inlineStr">
        <is>
          <t>BA05</t>
        </is>
      </c>
      <c r="E274" s="15" t="inlineStr">
        <is>
          <t>Polstersäule grün, Raumteiler</t>
        </is>
      </c>
      <c r="F274" s="16" t="inlineStr">
        <is>
          <t>Standsäule aus Schaumstoff mit Kunstlederbezug: Mantel in Limettengrün, Oberseiten in Grau, mehrere Lappen ergeben im Querschnitt eine Blütenform. Als Wand- und Säulenschutz oder als Raumteiler nutzbar.</t>
        </is>
      </c>
      <c r="G274" s="15" t="inlineStr">
        <is>
          <t>Kita-Ausstattung</t>
        </is>
      </c>
      <c r="H274" s="15" t="inlineStr">
        <is>
          <t>Turnraum</t>
        </is>
      </c>
      <c r="I274" s="15" t="inlineStr">
        <is>
          <t>B</t>
        </is>
      </c>
      <c r="J274" s="17" t="n">
        <v>5</v>
      </c>
      <c r="K274" s="17" t="n"/>
      <c r="L274" s="18">
        <f>J274-IF(K274="",0,K274)</f>
        <v/>
      </c>
      <c r="M274" s="15" t="inlineStr">
        <is>
          <t>Stück</t>
        </is>
      </c>
      <c r="N274" s="15" t="inlineStr">
        <is>
          <t>gebraucht</t>
        </is>
      </c>
      <c r="O274" s="19" t="n"/>
      <c r="P274" s="19" t="inlineStr">
        <is>
          <t>ja</t>
        </is>
      </c>
      <c r="Q274" s="19" t="n"/>
      <c r="R274" s="20" t="n"/>
      <c r="S274" s="20" t="n">
        <v>35</v>
      </c>
      <c r="T274" s="19" t="inlineStr">
        <is>
          <t>VHB</t>
        </is>
      </c>
      <c r="U274" s="21">
        <f>L274*S274</f>
        <v/>
      </c>
      <c r="V274" s="15" t="inlineStr">
        <is>
          <t>nur Abholung</t>
        </is>
      </c>
      <c r="W274" s="15" t="inlineStr">
        <is>
          <t>F-322</t>
        </is>
      </c>
      <c r="X274" s="19" t="inlineStr">
        <is>
          <t>ja</t>
        </is>
      </c>
      <c r="Y274" s="19" t="n"/>
      <c r="Z274" s="19" t="inlineStr">
        <is>
          <t>verfügbar</t>
        </is>
      </c>
      <c r="AA274" s="19" t="n"/>
      <c r="AB274" s="19" t="n"/>
      <c r="AC274" s="19" t="n"/>
      <c r="AD274" s="19" t="n"/>
      <c r="AE274" s="20" t="n"/>
      <c r="AF274" s="21">
        <f>IF(K274="","",K274*AE274)</f>
        <v/>
      </c>
      <c r="AG274" s="19" t="n"/>
      <c r="AH274" s="19" t="n"/>
      <c r="AI274" s="19" t="n"/>
      <c r="AJ274" s="19" t="n"/>
      <c r="AK274" s="19" t="n"/>
      <c r="AL274" s="19" t="n"/>
      <c r="AM274" s="16" t="inlineStr">
        <is>
          <t>5 Säulen – abgebildet sind sie zusammengestellt.</t>
        </is>
      </c>
      <c r="AN274" s="22" t="n"/>
    </row>
    <row r="275" ht="30" customHeight="1">
      <c r="A275" s="15" t="inlineStr">
        <is>
          <t>BA06-02</t>
        </is>
      </c>
      <c r="B275" s="15" t="n"/>
      <c r="C275" s="15" t="n"/>
      <c r="D275" s="15" t="inlineStr">
        <is>
          <t>BA06</t>
        </is>
      </c>
      <c r="E275" s="15" t="inlineStr">
        <is>
          <t>BMW Baby Racer Rutscherauto</t>
        </is>
      </c>
      <c r="F275" s="16" t="inlineStr">
        <is>
          <t>Rutscherauto in Sportwagenform, Karosserie blau mit rotem Sitz, Lenkrad mit Hupe, verchromte Felgen. BMW-Emblem an der Front. Lack stark zerkratzt.</t>
        </is>
      </c>
      <c r="G275" s="15" t="inlineStr">
        <is>
          <t>Kita-Ausstattung</t>
        </is>
      </c>
      <c r="H275" s="15" t="inlineStr">
        <is>
          <t>Material / Turnraum</t>
        </is>
      </c>
      <c r="I275" s="15" t="inlineStr">
        <is>
          <t>C</t>
        </is>
      </c>
      <c r="J275" s="17" t="n">
        <v>1</v>
      </c>
      <c r="K275" s="17" t="n"/>
      <c r="L275" s="18">
        <f>J275-IF(K275="",0,K275)</f>
        <v/>
      </c>
      <c r="M275" s="15" t="inlineStr">
        <is>
          <t>Stück</t>
        </is>
      </c>
      <c r="N275" s="15" t="inlineStr">
        <is>
          <t>stark gebraucht</t>
        </is>
      </c>
      <c r="O275" s="19" t="n"/>
      <c r="P275" s="19" t="inlineStr">
        <is>
          <t>ja</t>
        </is>
      </c>
      <c r="Q275" s="19" t="n"/>
      <c r="R275" s="20" t="n"/>
      <c r="S275" s="20" t="n">
        <v>15</v>
      </c>
      <c r="T275" s="19" t="inlineStr">
        <is>
          <t>VHB</t>
        </is>
      </c>
      <c r="U275" s="21">
        <f>L275*S275</f>
        <v/>
      </c>
      <c r="V275" s="15" t="inlineStr">
        <is>
          <t>nur Abholung</t>
        </is>
      </c>
      <c r="W275" s="15" t="inlineStr">
        <is>
          <t>F-325</t>
        </is>
      </c>
      <c r="X275" s="19" t="inlineStr">
        <is>
          <t>ja</t>
        </is>
      </c>
      <c r="Y275" s="19" t="n"/>
      <c r="Z275" s="19" t="inlineStr">
        <is>
          <t>verfügbar</t>
        </is>
      </c>
      <c r="AA275" s="19" t="inlineStr">
        <is>
          <t>BMW</t>
        </is>
      </c>
      <c r="AB275" s="19" t="n"/>
      <c r="AC275" s="19" t="n"/>
      <c r="AD275" s="19" t="n"/>
      <c r="AE275" s="20" t="n"/>
      <c r="AF275" s="21">
        <f>IF(K275="","",K275*AE275)</f>
        <v/>
      </c>
      <c r="AG275" s="19" t="n"/>
      <c r="AH275" s="19" t="n"/>
      <c r="AI275" s="19" t="n"/>
      <c r="AJ275" s="19" t="n"/>
      <c r="AK275" s="19" t="n"/>
      <c r="AL275" s="19" t="n"/>
      <c r="AM275" s="16" t="inlineStr">
        <is>
          <t>1 Fahrzeug.</t>
        </is>
      </c>
      <c r="AN275" s="22" t="n"/>
    </row>
    <row r="276" ht="30" customHeight="1">
      <c r="A276" s="15" t="inlineStr">
        <is>
          <t>BA06-03</t>
        </is>
      </c>
      <c r="B276" s="15" t="n"/>
      <c r="C276" s="15" t="n"/>
      <c r="D276" s="15" t="inlineStr">
        <is>
          <t>BA06</t>
        </is>
      </c>
      <c r="E276" s="15" t="inlineStr">
        <is>
          <t>BIG Bobby Quad</t>
        </is>
      </c>
      <c r="F276" s="16" t="inlineStr">
        <is>
          <t>Quad-Rutscherfahrzeug aus Kunststoff in Schwarz mit limettengrünen Felgen und Lenkergriffen, Stollenreifen. Aufdruck: bobby quad, BIG.</t>
        </is>
      </c>
      <c r="G276" s="15" t="inlineStr">
        <is>
          <t>Kita-Ausstattung</t>
        </is>
      </c>
      <c r="H276" s="15" t="inlineStr">
        <is>
          <t>Material / Turnraum</t>
        </is>
      </c>
      <c r="I276" s="15" t="inlineStr">
        <is>
          <t>C</t>
        </is>
      </c>
      <c r="J276" s="17" t="n">
        <v>3</v>
      </c>
      <c r="K276" s="17" t="n"/>
      <c r="L276" s="18">
        <f>J276-IF(K276="",0,K276)</f>
        <v/>
      </c>
      <c r="M276" s="15" t="inlineStr">
        <is>
          <t>Stück</t>
        </is>
      </c>
      <c r="N276" s="15" t="inlineStr">
        <is>
          <t>gebraucht</t>
        </is>
      </c>
      <c r="O276" s="19" t="n"/>
      <c r="P276" s="19" t="inlineStr">
        <is>
          <t>ja</t>
        </is>
      </c>
      <c r="Q276" s="19" t="n"/>
      <c r="R276" s="20" t="n"/>
      <c r="S276" s="20" t="n">
        <v>25</v>
      </c>
      <c r="T276" s="19" t="inlineStr">
        <is>
          <t>VHB</t>
        </is>
      </c>
      <c r="U276" s="21">
        <f>L276*S276</f>
        <v/>
      </c>
      <c r="V276" s="15" t="inlineStr">
        <is>
          <t>nur Abholung</t>
        </is>
      </c>
      <c r="W276" s="15" t="inlineStr">
        <is>
          <t>F-326</t>
        </is>
      </c>
      <c r="X276" s="19" t="inlineStr">
        <is>
          <t>ja</t>
        </is>
      </c>
      <c r="Y276" s="19" t="n"/>
      <c r="Z276" s="19" t="inlineStr">
        <is>
          <t>verfügbar</t>
        </is>
      </c>
      <c r="AA276" s="19" t="inlineStr">
        <is>
          <t>BIG</t>
        </is>
      </c>
      <c r="AB276" s="19" t="n"/>
      <c r="AC276" s="19" t="n"/>
      <c r="AD276" s="19" t="n"/>
      <c r="AE276" s="20" t="n"/>
      <c r="AF276" s="21">
        <f>IF(K276="","",K276*AE276)</f>
        <v/>
      </c>
      <c r="AG276" s="19" t="n"/>
      <c r="AH276" s="19" t="n"/>
      <c r="AI276" s="19" t="n"/>
      <c r="AJ276" s="19" t="n"/>
      <c r="AK276" s="19" t="n"/>
      <c r="AL276" s="19" t="n"/>
      <c r="AM276" s="16" t="inlineStr">
        <is>
          <t>3 Fahrzeuge – abgebildet ist eines davon.</t>
        </is>
      </c>
      <c r="AN276" s="22" t="n"/>
    </row>
    <row r="277" ht="30" customHeight="1">
      <c r="A277" s="15" t="inlineStr">
        <is>
          <t>BA06-04</t>
        </is>
      </c>
      <c r="B277" s="15" t="n"/>
      <c r="C277" s="15" t="n"/>
      <c r="D277" s="15" t="inlineStr">
        <is>
          <t>BA06</t>
        </is>
      </c>
      <c r="E277" s="15" t="inlineStr">
        <is>
          <t>Holz-Dreirad mit Kuhkopf</t>
        </is>
      </c>
      <c r="F277" s="16" t="inlineStr">
        <is>
          <t>Rutschfahrzeug aus Massivholz mit vier Rädern, ovalem Sitz und Lehne, vorn ein Kuhkopf mit Stoffohren und gemaltem Gesicht.</t>
        </is>
      </c>
      <c r="G277" s="15" t="inlineStr">
        <is>
          <t>Kita-Ausstattung</t>
        </is>
      </c>
      <c r="H277" s="15" t="inlineStr">
        <is>
          <t>Material / Turnraum</t>
        </is>
      </c>
      <c r="I277" s="15" t="inlineStr">
        <is>
          <t>B</t>
        </is>
      </c>
      <c r="J277" s="17" t="n">
        <v>1</v>
      </c>
      <c r="K277" s="17" t="n"/>
      <c r="L277" s="18">
        <f>J277-IF(K277="",0,K277)</f>
        <v/>
      </c>
      <c r="M277" s="15" t="inlineStr">
        <is>
          <t>Stück</t>
        </is>
      </c>
      <c r="N277" s="15" t="inlineStr">
        <is>
          <t>gebraucht</t>
        </is>
      </c>
      <c r="O277" s="19" t="n"/>
      <c r="P277" s="19" t="inlineStr">
        <is>
          <t>ja</t>
        </is>
      </c>
      <c r="Q277" s="19" t="n"/>
      <c r="R277" s="20" t="n"/>
      <c r="S277" s="20" t="n">
        <v>35</v>
      </c>
      <c r="T277" s="19" t="inlineStr">
        <is>
          <t>VHB</t>
        </is>
      </c>
      <c r="U277" s="21">
        <f>L277*S277</f>
        <v/>
      </c>
      <c r="V277" s="15" t="inlineStr">
        <is>
          <t>nur Abholung</t>
        </is>
      </c>
      <c r="W277" s="15" t="inlineStr">
        <is>
          <t>F-324</t>
        </is>
      </c>
      <c r="X277" s="19" t="inlineStr">
        <is>
          <t>ja</t>
        </is>
      </c>
      <c r="Y277" s="19" t="n"/>
      <c r="Z277" s="19" t="inlineStr">
        <is>
          <t>verfügbar</t>
        </is>
      </c>
      <c r="AA277" s="19" t="n"/>
      <c r="AB277" s="19" t="n"/>
      <c r="AC277" s="19" t="n"/>
      <c r="AD277" s="19" t="n"/>
      <c r="AE277" s="20" t="n"/>
      <c r="AF277" s="21">
        <f>IF(K277="","",K277*AE277)</f>
        <v/>
      </c>
      <c r="AG277" s="19" t="n"/>
      <c r="AH277" s="19" t="n"/>
      <c r="AI277" s="19" t="n"/>
      <c r="AJ277" s="19" t="n"/>
      <c r="AK277" s="19" t="n"/>
      <c r="AL277" s="19" t="n"/>
      <c r="AM277" s="16" t="inlineStr">
        <is>
          <t>1 Fahrzeug.</t>
        </is>
      </c>
      <c r="AN277" s="22" t="n"/>
    </row>
    <row r="278" ht="30" customHeight="1">
      <c r="A278" s="15" t="inlineStr">
        <is>
          <t>BA06-05</t>
        </is>
      </c>
      <c r="B278" s="15" t="n"/>
      <c r="C278" s="15" t="n"/>
      <c r="D278" s="15" t="inlineStr">
        <is>
          <t>BA06</t>
        </is>
      </c>
      <c r="E278" s="15" t="inlineStr">
        <is>
          <t>Schaukel- und Rutschtier aus Formholz</t>
        </is>
      </c>
      <c r="F278" s="16" t="inlineStr">
        <is>
          <t>Fahrzeug aus weiß lackiertem Formholz mit Naturholz-Lehne, vier kleinen Rollen und schwarzen Griffen. Lack an vielen Stellen abgeplatzt.</t>
        </is>
      </c>
      <c r="G278" s="15" t="inlineStr">
        <is>
          <t>Kita-Ausstattung</t>
        </is>
      </c>
      <c r="H278" s="15" t="inlineStr">
        <is>
          <t>Material / Turnraum</t>
        </is>
      </c>
      <c r="I278" s="15" t="inlineStr">
        <is>
          <t>C</t>
        </is>
      </c>
      <c r="J278" s="17" t="n">
        <v>1</v>
      </c>
      <c r="K278" s="17" t="n"/>
      <c r="L278" s="18">
        <f>J278-IF(K278="",0,K278)</f>
        <v/>
      </c>
      <c r="M278" s="15" t="inlineStr">
        <is>
          <t>Stück</t>
        </is>
      </c>
      <c r="N278" s="15" t="inlineStr">
        <is>
          <t>stark gebraucht</t>
        </is>
      </c>
      <c r="O278" s="19" t="n"/>
      <c r="P278" s="19" t="inlineStr">
        <is>
          <t>ja</t>
        </is>
      </c>
      <c r="Q278" s="19" t="n"/>
      <c r="R278" s="20" t="n"/>
      <c r="S278" s="20" t="n">
        <v>20</v>
      </c>
      <c r="T278" s="19" t="inlineStr">
        <is>
          <t>VHB</t>
        </is>
      </c>
      <c r="U278" s="21">
        <f>L278*S278</f>
        <v/>
      </c>
      <c r="V278" s="15" t="inlineStr">
        <is>
          <t>nur Abholung</t>
        </is>
      </c>
      <c r="W278" s="15" t="inlineStr">
        <is>
          <t>F-327</t>
        </is>
      </c>
      <c r="X278" s="19" t="inlineStr">
        <is>
          <t>ja</t>
        </is>
      </c>
      <c r="Y278" s="19" t="n"/>
      <c r="Z278" s="19" t="inlineStr">
        <is>
          <t>verfügbar</t>
        </is>
      </c>
      <c r="AA278" s="19" t="n"/>
      <c r="AB278" s="19" t="n"/>
      <c r="AC278" s="19" t="n"/>
      <c r="AD278" s="19" t="n"/>
      <c r="AE278" s="20" t="n"/>
      <c r="AF278" s="21">
        <f>IF(K278="","",K278*AE278)</f>
        <v/>
      </c>
      <c r="AG278" s="19" t="n"/>
      <c r="AH278" s="19" t="n"/>
      <c r="AI278" s="19" t="n"/>
      <c r="AJ278" s="19" t="n"/>
      <c r="AK278" s="19" t="n"/>
      <c r="AL278" s="19" t="n"/>
      <c r="AM278" s="16" t="inlineStr">
        <is>
          <t>1 Fahrzeug.</t>
        </is>
      </c>
      <c r="AN278" s="22" t="n"/>
    </row>
    <row r="279" ht="30" customHeight="1">
      <c r="A279" s="15" t="inlineStr">
        <is>
          <t>BA06-06</t>
        </is>
      </c>
      <c r="B279" s="15" t="n"/>
      <c r="C279" s="15" t="n"/>
      <c r="D279" s="15" t="inlineStr">
        <is>
          <t>BA06</t>
        </is>
      </c>
      <c r="E279" s="15" t="inlineStr">
        <is>
          <t>BIG Bobby Car Feuerwehr</t>
        </is>
      </c>
      <c r="F279" s="16" t="inlineStr">
        <is>
          <t>Rutscherauto als Feuerwehrfahrzeug aus rotem Kunststoff mit Blaulicht, drehbarem Wasserwerfer und Stollenreifen. Aufdruck: BIG.</t>
        </is>
      </c>
      <c r="G279" s="15" t="inlineStr">
        <is>
          <t>Kita-Ausstattung</t>
        </is>
      </c>
      <c r="H279" s="15" t="inlineStr">
        <is>
          <t>Material / Turnraum</t>
        </is>
      </c>
      <c r="I279" s="15" t="inlineStr">
        <is>
          <t>B</t>
        </is>
      </c>
      <c r="J279" s="17" t="n">
        <v>2</v>
      </c>
      <c r="K279" s="17" t="n"/>
      <c r="L279" s="18">
        <f>J279-IF(K279="",0,K279)</f>
        <v/>
      </c>
      <c r="M279" s="15" t="inlineStr">
        <is>
          <t>Stück</t>
        </is>
      </c>
      <c r="N279" s="15" t="inlineStr">
        <is>
          <t>gebraucht</t>
        </is>
      </c>
      <c r="O279" s="19" t="n"/>
      <c r="P279" s="19" t="inlineStr">
        <is>
          <t>ja</t>
        </is>
      </c>
      <c r="Q279" s="19" t="n"/>
      <c r="R279" s="20" t="n"/>
      <c r="S279" s="20" t="n">
        <v>30</v>
      </c>
      <c r="T279" s="19" t="inlineStr">
        <is>
          <t>VHB</t>
        </is>
      </c>
      <c r="U279" s="21">
        <f>L279*S279</f>
        <v/>
      </c>
      <c r="V279" s="15" t="inlineStr">
        <is>
          <t>nur Abholung</t>
        </is>
      </c>
      <c r="W279" s="15" t="inlineStr">
        <is>
          <t>F-328</t>
        </is>
      </c>
      <c r="X279" s="19" t="inlineStr">
        <is>
          <t>ja</t>
        </is>
      </c>
      <c r="Y279" s="19" t="n"/>
      <c r="Z279" s="19" t="inlineStr">
        <is>
          <t>verfügbar</t>
        </is>
      </c>
      <c r="AA279" s="19" t="inlineStr">
        <is>
          <t>BIG</t>
        </is>
      </c>
      <c r="AB279" s="19" t="n"/>
      <c r="AC279" s="19" t="n"/>
      <c r="AD279" s="19" t="n"/>
      <c r="AE279" s="20" t="n"/>
      <c r="AF279" s="21">
        <f>IF(K279="","",K279*AE279)</f>
        <v/>
      </c>
      <c r="AG279" s="19" t="n"/>
      <c r="AH279" s="19" t="n"/>
      <c r="AI279" s="19" t="n"/>
      <c r="AJ279" s="19" t="n"/>
      <c r="AK279" s="19" t="n"/>
      <c r="AL279" s="19" t="n"/>
      <c r="AM279" s="16" t="inlineStr">
        <is>
          <t>2 Fahrzeuge – abgebildet ist eines davon.</t>
        </is>
      </c>
      <c r="AN279" s="22" t="n"/>
    </row>
    <row r="280" ht="30" customHeight="1">
      <c r="A280" s="15" t="inlineStr">
        <is>
          <t>BA06-07</t>
        </is>
      </c>
      <c r="B280" s="15" t="n"/>
      <c r="C280" s="15" t="n"/>
      <c r="D280" s="15" t="inlineStr">
        <is>
          <t>BA06</t>
        </is>
      </c>
      <c r="E280" s="15" t="inlineStr">
        <is>
          <t>Klettergerüst Holz</t>
        </is>
      </c>
      <c r="F280" s="16" t="inlineStr">
        <is>
          <t>Klettergerüst aus Buche massiv mit Rundsprossen und seitlichen Wangen, zusammenklappbar.</t>
        </is>
      </c>
      <c r="G280" s="15" t="inlineStr">
        <is>
          <t>Kita-Ausstattung</t>
        </is>
      </c>
      <c r="H280" s="15" t="inlineStr">
        <is>
          <t>Material / Turnraum</t>
        </is>
      </c>
      <c r="I280" s="15" t="inlineStr">
        <is>
          <t>B</t>
        </is>
      </c>
      <c r="J280" s="17" t="n">
        <v>2</v>
      </c>
      <c r="K280" s="17" t="n"/>
      <c r="L280" s="18">
        <f>J280-IF(K280="",0,K280)</f>
        <v/>
      </c>
      <c r="M280" s="15" t="inlineStr">
        <is>
          <t>Stück</t>
        </is>
      </c>
      <c r="N280" s="15" t="inlineStr">
        <is>
          <t>gebraucht</t>
        </is>
      </c>
      <c r="O280" s="19" t="n"/>
      <c r="P280" s="19" t="inlineStr">
        <is>
          <t>ja</t>
        </is>
      </c>
      <c r="Q280" s="19" t="n"/>
      <c r="R280" s="20" t="n"/>
      <c r="S280" s="20" t="n">
        <v>60</v>
      </c>
      <c r="T280" s="19" t="inlineStr">
        <is>
          <t>VHB</t>
        </is>
      </c>
      <c r="U280" s="21">
        <f>L280*S280</f>
        <v/>
      </c>
      <c r="V280" s="15" t="inlineStr">
        <is>
          <t>nur Abholung</t>
        </is>
      </c>
      <c r="W280" s="15" t="inlineStr">
        <is>
          <t>F-329</t>
        </is>
      </c>
      <c r="X280" s="19" t="inlineStr">
        <is>
          <t>ja</t>
        </is>
      </c>
      <c r="Y280" s="19" t="n"/>
      <c r="Z280" s="19" t="inlineStr">
        <is>
          <t>verfügbar</t>
        </is>
      </c>
      <c r="AA280" s="19" t="n"/>
      <c r="AB280" s="19" t="n"/>
      <c r="AC280" s="19" t="n"/>
      <c r="AD280" s="19" t="n"/>
      <c r="AE280" s="20" t="n"/>
      <c r="AF280" s="21">
        <f>IF(K280="","",K280*AE280)</f>
        <v/>
      </c>
      <c r="AG280" s="19" t="n"/>
      <c r="AH280" s="19" t="n"/>
      <c r="AI280" s="19" t="n"/>
      <c r="AJ280" s="19" t="n"/>
      <c r="AK280" s="19" t="n"/>
      <c r="AL280" s="19" t="n"/>
      <c r="AM280" s="16" t="inlineStr">
        <is>
          <t>2 Gerüste – abgebildet ist eines davon.</t>
        </is>
      </c>
      <c r="AN280" s="22" t="n"/>
    </row>
    <row r="281" ht="30" customHeight="1">
      <c r="A281" s="15" t="inlineStr">
        <is>
          <t>BA06-08</t>
        </is>
      </c>
      <c r="B281" s="15" t="n"/>
      <c r="C281" s="15" t="n"/>
      <c r="D281" s="15" t="inlineStr">
        <is>
          <t>BA06</t>
        </is>
      </c>
      <c r="E281" s="15" t="inlineStr">
        <is>
          <t>Klettergerüst grün mit Rutschbrett</t>
        </is>
      </c>
      <c r="F281" s="16" t="inlineStr">
        <is>
          <t>Klettergerüst mit grün lackiertem Metallrahmen, Rundsprossen aus Holz und einem Rutschbrett mit dunkler Lauffläche.</t>
        </is>
      </c>
      <c r="G281" s="15" t="inlineStr">
        <is>
          <t>Kita-Ausstattung</t>
        </is>
      </c>
      <c r="H281" s="15" t="inlineStr">
        <is>
          <t>Material / Turnraum</t>
        </is>
      </c>
      <c r="I281" s="15" t="inlineStr">
        <is>
          <t>B</t>
        </is>
      </c>
      <c r="J281" s="17" t="n">
        <v>3</v>
      </c>
      <c r="K281" s="17" t="n"/>
      <c r="L281" s="18">
        <f>J281-IF(K281="",0,K281)</f>
        <v/>
      </c>
      <c r="M281" s="15" t="inlineStr">
        <is>
          <t>Stück</t>
        </is>
      </c>
      <c r="N281" s="15" t="inlineStr">
        <is>
          <t>gebraucht</t>
        </is>
      </c>
      <c r="O281" s="19" t="n"/>
      <c r="P281" s="19" t="inlineStr">
        <is>
          <t>ja</t>
        </is>
      </c>
      <c r="Q281" s="19" t="n"/>
      <c r="R281" s="20" t="n"/>
      <c r="S281" s="20" t="n">
        <v>70</v>
      </c>
      <c r="T281" s="19" t="inlineStr">
        <is>
          <t>VHB</t>
        </is>
      </c>
      <c r="U281" s="21">
        <f>L281*S281</f>
        <v/>
      </c>
      <c r="V281" s="15" t="inlineStr">
        <is>
          <t>nur Abholung</t>
        </is>
      </c>
      <c r="W281" s="15" t="inlineStr">
        <is>
          <t>F-330</t>
        </is>
      </c>
      <c r="X281" s="19" t="inlineStr">
        <is>
          <t>ja</t>
        </is>
      </c>
      <c r="Y281" s="19" t="n"/>
      <c r="Z281" s="19" t="inlineStr">
        <is>
          <t>verfügbar</t>
        </is>
      </c>
      <c r="AA281" s="19" t="n"/>
      <c r="AB281" s="19" t="n"/>
      <c r="AC281" s="19" t="n"/>
      <c r="AD281" s="19" t="n"/>
      <c r="AE281" s="20" t="n"/>
      <c r="AF281" s="21">
        <f>IF(K281="","",K281*AE281)</f>
        <v/>
      </c>
      <c r="AG281" s="19" t="n"/>
      <c r="AH281" s="19" t="n"/>
      <c r="AI281" s="19" t="n"/>
      <c r="AJ281" s="19" t="n"/>
      <c r="AK281" s="19" t="n"/>
      <c r="AL281" s="19" t="n"/>
      <c r="AM281" s="16" t="inlineStr">
        <is>
          <t>3 Gerüste – abgebildet ist eines davon.</t>
        </is>
      </c>
      <c r="AN281" s="22" t="n"/>
    </row>
    <row r="282" ht="30" customHeight="1">
      <c r="A282" s="15" t="inlineStr">
        <is>
          <t>BA06-09</t>
        </is>
      </c>
      <c r="B282" s="15" t="n"/>
      <c r="C282" s="15" t="n"/>
      <c r="D282" s="15" t="inlineStr">
        <is>
          <t>BA06</t>
        </is>
      </c>
      <c r="E282" s="15" t="inlineStr">
        <is>
          <t>Holz-Lastwagen zum Rutschen</t>
        </is>
      </c>
      <c r="F282" s="16" t="inlineStr">
        <is>
          <t>Rutschfahrzeug aus Massivholz in Lastwagenform: offene Ladefläche mit Bordwänden, gepolsterter Sitz vor dem Führerhaus, Holzlenkrad und vier Gummiräder mit roten Felgen.</t>
        </is>
      </c>
      <c r="G282" s="15" t="inlineStr">
        <is>
          <t>Kita-Ausstattung</t>
        </is>
      </c>
      <c r="H282" s="15" t="inlineStr">
        <is>
          <t>Material / Turnraum</t>
        </is>
      </c>
      <c r="I282" s="15" t="inlineStr">
        <is>
          <t>B</t>
        </is>
      </c>
      <c r="J282" s="17" t="n">
        <v>1</v>
      </c>
      <c r="K282" s="17" t="n"/>
      <c r="L282" s="18">
        <f>J282-IF(K282="",0,K282)</f>
        <v/>
      </c>
      <c r="M282" s="15" t="inlineStr">
        <is>
          <t>Stück</t>
        </is>
      </c>
      <c r="N282" s="15" t="inlineStr">
        <is>
          <t>gebraucht</t>
        </is>
      </c>
      <c r="O282" s="19" t="n"/>
      <c r="P282" s="19" t="inlineStr">
        <is>
          <t>ja</t>
        </is>
      </c>
      <c r="Q282" s="19" t="n"/>
      <c r="R282" s="20" t="n"/>
      <c r="S282" s="20" t="n">
        <v>40</v>
      </c>
      <c r="T282" s="19" t="inlineStr">
        <is>
          <t>VHB</t>
        </is>
      </c>
      <c r="U282" s="21">
        <f>L282*S282</f>
        <v/>
      </c>
      <c r="V282" s="15" t="inlineStr">
        <is>
          <t>nur Abholung</t>
        </is>
      </c>
      <c r="W282" s="15" t="inlineStr">
        <is>
          <t>F-335</t>
        </is>
      </c>
      <c r="X282" s="19" t="inlineStr">
        <is>
          <t>ja</t>
        </is>
      </c>
      <c r="Y282" s="19" t="n"/>
      <c r="Z282" s="19" t="inlineStr">
        <is>
          <t>verfügbar</t>
        </is>
      </c>
      <c r="AA282" s="19" t="n"/>
      <c r="AB282" s="19" t="n"/>
      <c r="AC282" s="19" t="n"/>
      <c r="AD282" s="19" t="n"/>
      <c r="AE282" s="20" t="n"/>
      <c r="AF282" s="21">
        <f>IF(K282="","",K282*AE282)</f>
        <v/>
      </c>
      <c r="AG282" s="19" t="n"/>
      <c r="AH282" s="19" t="n"/>
      <c r="AI282" s="19" t="n"/>
      <c r="AJ282" s="19" t="n"/>
      <c r="AK282" s="19" t="n"/>
      <c r="AL282" s="19" t="n"/>
      <c r="AM282" s="16" t="inlineStr">
        <is>
          <t>1 Fahrzeug.</t>
        </is>
      </c>
      <c r="AN282" s="22" t="n"/>
    </row>
    <row r="283" ht="30" customHeight="1">
      <c r="A283" s="15" t="inlineStr">
        <is>
          <t>BA06-10</t>
        </is>
      </c>
      <c r="B283" s="15" t="n"/>
      <c r="C283" s="15" t="n"/>
      <c r="D283" s="15" t="inlineStr">
        <is>
          <t>BA06</t>
        </is>
      </c>
      <c r="E283" s="15" t="inlineStr">
        <is>
          <t>Feuerwehrhaus aus Holz</t>
        </is>
      </c>
      <c r="F283" s="16" t="inlineStr">
        <is>
          <t>Spiel-Feuerwehrhaus aus Holz mit rot lackierten Wänden, dunklem Dach, aufklappbarem Tor und Zwischenboden. Aufdruck: FIRE STATION. Farbe stark abgegriffen.</t>
        </is>
      </c>
      <c r="G283" s="15" t="inlineStr">
        <is>
          <t>Kita-Ausstattung</t>
        </is>
      </c>
      <c r="H283" s="15" t="inlineStr">
        <is>
          <t>Material / Turnraum</t>
        </is>
      </c>
      <c r="I283" s="15" t="inlineStr">
        <is>
          <t>C</t>
        </is>
      </c>
      <c r="J283" s="17" t="n">
        <v>1</v>
      </c>
      <c r="K283" s="17" t="n"/>
      <c r="L283" s="18">
        <f>J283-IF(K283="",0,K283)</f>
        <v/>
      </c>
      <c r="M283" s="15" t="inlineStr">
        <is>
          <t>Stück</t>
        </is>
      </c>
      <c r="N283" s="15" t="inlineStr">
        <is>
          <t>stark gebraucht</t>
        </is>
      </c>
      <c r="O283" s="19" t="n"/>
      <c r="P283" s="19" t="inlineStr">
        <is>
          <t>ja</t>
        </is>
      </c>
      <c r="Q283" s="19" t="n"/>
      <c r="R283" s="20" t="n"/>
      <c r="S283" s="20" t="n">
        <v>20</v>
      </c>
      <c r="T283" s="19" t="inlineStr">
        <is>
          <t>VHB</t>
        </is>
      </c>
      <c r="U283" s="21">
        <f>L283*S283</f>
        <v/>
      </c>
      <c r="V283" s="15" t="inlineStr">
        <is>
          <t>nur Abholung</t>
        </is>
      </c>
      <c r="W283" s="15" t="inlineStr">
        <is>
          <t>F-331</t>
        </is>
      </c>
      <c r="X283" s="19" t="inlineStr">
        <is>
          <t>ja</t>
        </is>
      </c>
      <c r="Y283" s="19" t="n"/>
      <c r="Z283" s="19" t="inlineStr">
        <is>
          <t>verfügbar</t>
        </is>
      </c>
      <c r="AA283" s="19" t="n"/>
      <c r="AB283" s="19" t="n"/>
      <c r="AC283" s="19" t="n"/>
      <c r="AD283" s="19" t="n"/>
      <c r="AE283" s="20" t="n"/>
      <c r="AF283" s="21">
        <f>IF(K283="","",K283*AE283)</f>
        <v/>
      </c>
      <c r="AG283" s="19" t="n"/>
      <c r="AH283" s="19" t="n"/>
      <c r="AI283" s="19" t="n"/>
      <c r="AJ283" s="19" t="n"/>
      <c r="AK283" s="19" t="n"/>
      <c r="AL283" s="19" t="n"/>
      <c r="AM283" s="16" t="inlineStr">
        <is>
          <t>1 Haus. Die Fahrzeuge darin gehören nicht dazu.</t>
        </is>
      </c>
      <c r="AN283" s="22" t="n"/>
    </row>
    <row r="284" ht="30" customHeight="1">
      <c r="A284" s="15" t="inlineStr">
        <is>
          <t>BA06-11</t>
        </is>
      </c>
      <c r="B284" s="15" t="n"/>
      <c r="C284" s="15" t="n"/>
      <c r="D284" s="15" t="inlineStr">
        <is>
          <t>BA06</t>
        </is>
      </c>
      <c r="E284" s="15" t="inlineStr">
        <is>
          <t>Sitzschaukel Kunststoff mit Seilen</t>
        </is>
      </c>
      <c r="F284" s="16" t="inlineStr">
        <is>
          <t>Babyschaukel aus Kunststoff: Sitzschale in Violett mit limettengrünem Sicherheitsbügel, Aufhängung über weiße Seile.</t>
        </is>
      </c>
      <c r="G284" s="15" t="inlineStr">
        <is>
          <t>Kita-Ausstattung</t>
        </is>
      </c>
      <c r="H284" s="15" t="inlineStr">
        <is>
          <t>Material / Turnraum</t>
        </is>
      </c>
      <c r="I284" s="15" t="inlineStr">
        <is>
          <t>C</t>
        </is>
      </c>
      <c r="J284" s="17" t="n">
        <v>1</v>
      </c>
      <c r="K284" s="17" t="n"/>
      <c r="L284" s="18">
        <f>J284-IF(K284="",0,K284)</f>
        <v/>
      </c>
      <c r="M284" s="15" t="inlineStr">
        <is>
          <t>Stück</t>
        </is>
      </c>
      <c r="N284" s="15" t="inlineStr">
        <is>
          <t>gebraucht</t>
        </is>
      </c>
      <c r="O284" s="19" t="n"/>
      <c r="P284" s="19" t="inlineStr">
        <is>
          <t>ja</t>
        </is>
      </c>
      <c r="Q284" s="19" t="n"/>
      <c r="R284" s="20" t="n"/>
      <c r="S284" s="20" t="n">
        <v>15</v>
      </c>
      <c r="T284" s="19" t="inlineStr">
        <is>
          <t>VHB</t>
        </is>
      </c>
      <c r="U284" s="21">
        <f>L284*S284</f>
        <v/>
      </c>
      <c r="V284" s="15" t="inlineStr">
        <is>
          <t>nur Abholung</t>
        </is>
      </c>
      <c r="W284" s="15" t="inlineStr">
        <is>
          <t>F-332</t>
        </is>
      </c>
      <c r="X284" s="19" t="inlineStr">
        <is>
          <t>ja</t>
        </is>
      </c>
      <c r="Y284" s="19" t="n"/>
      <c r="Z284" s="19" t="inlineStr">
        <is>
          <t>verfügbar</t>
        </is>
      </c>
      <c r="AA284" s="19" t="n"/>
      <c r="AB284" s="19" t="n"/>
      <c r="AC284" s="19" t="n"/>
      <c r="AD284" s="19" t="n"/>
      <c r="AE284" s="20" t="n"/>
      <c r="AF284" s="21">
        <f>IF(K284="","",K284*AE284)</f>
        <v/>
      </c>
      <c r="AG284" s="19" t="n"/>
      <c r="AH284" s="19" t="n"/>
      <c r="AI284" s="19" t="n"/>
      <c r="AJ284" s="19" t="n"/>
      <c r="AK284" s="19" t="n"/>
      <c r="AL284" s="19" t="n"/>
      <c r="AM284" s="16" t="inlineStr">
        <is>
          <t>1 Schaukel.</t>
        </is>
      </c>
      <c r="AN284" s="22" t="n"/>
    </row>
    <row r="285" ht="30" customHeight="1">
      <c r="A285" s="15" t="inlineStr">
        <is>
          <t>BA06-12</t>
        </is>
      </c>
      <c r="B285" s="15" t="n"/>
      <c r="C285" s="15" t="n"/>
      <c r="D285" s="15" t="inlineStr">
        <is>
          <t>BA06</t>
        </is>
      </c>
      <c r="E285" s="15" t="inlineStr">
        <is>
          <t>Spieltunnel grün, 180 cm</t>
        </is>
      </c>
      <c r="F285" s="16" t="inlineStr">
        <is>
          <t>Spieltunnel aus grünem Stoff mit roten Ringen, etwa 180 cm lang bei 45 cm Durchmesser. Faltbar, mit Originalkarton.</t>
        </is>
      </c>
      <c r="G285" s="15" t="inlineStr">
        <is>
          <t>Kita-Ausstattung</t>
        </is>
      </c>
      <c r="H285" s="15" t="inlineStr">
        <is>
          <t>Material / Turnraum</t>
        </is>
      </c>
      <c r="I285" s="15" t="inlineStr">
        <is>
          <t>C</t>
        </is>
      </c>
      <c r="J285" s="17" t="n">
        <v>1</v>
      </c>
      <c r="K285" s="17" t="n"/>
      <c r="L285" s="18">
        <f>J285-IF(K285="",0,K285)</f>
        <v/>
      </c>
      <c r="M285" s="15" t="inlineStr">
        <is>
          <t>Stück</t>
        </is>
      </c>
      <c r="N285" s="15" t="inlineStr">
        <is>
          <t>gebraucht</t>
        </is>
      </c>
      <c r="O285" s="19" t="n"/>
      <c r="P285" s="19" t="inlineStr">
        <is>
          <t>ja</t>
        </is>
      </c>
      <c r="Q285" s="19" t="n"/>
      <c r="R285" s="20" t="n"/>
      <c r="S285" s="20" t="n">
        <v>15</v>
      </c>
      <c r="T285" s="19" t="inlineStr">
        <is>
          <t>VHB</t>
        </is>
      </c>
      <c r="U285" s="21">
        <f>L285*S285</f>
        <v/>
      </c>
      <c r="V285" s="15" t="inlineStr">
        <is>
          <t>nur Abholung</t>
        </is>
      </c>
      <c r="W285" s="15" t="inlineStr">
        <is>
          <t>F-336</t>
        </is>
      </c>
      <c r="X285" s="19" t="inlineStr">
        <is>
          <t>ja</t>
        </is>
      </c>
      <c r="Y285" s="19" t="n"/>
      <c r="Z285" s="19" t="inlineStr">
        <is>
          <t>verfügbar</t>
        </is>
      </c>
      <c r="AA285" s="19" t="n"/>
      <c r="AB285" s="19" t="n"/>
      <c r="AC285" s="19" t="n"/>
      <c r="AD285" s="19" t="n"/>
      <c r="AE285" s="20" t="n"/>
      <c r="AF285" s="21">
        <f>IF(K285="","",K285*AE285)</f>
        <v/>
      </c>
      <c r="AG285" s="19" t="n"/>
      <c r="AH285" s="19" t="n"/>
      <c r="AI285" s="19" t="n"/>
      <c r="AJ285" s="19" t="n"/>
      <c r="AK285" s="19" t="n"/>
      <c r="AL285" s="19" t="n"/>
      <c r="AM285" s="16" t="inlineStr">
        <is>
          <t>1 Tunnel. Das Foto zeigt den Originalkarton mit der Abbildung; der Tunnel selbst ist zusammengefaltet darin.</t>
        </is>
      </c>
      <c r="AN285" s="22" t="n"/>
    </row>
    <row r="286" ht="30" customHeight="1">
      <c r="A286" s="15" t="inlineStr">
        <is>
          <t>BA07-01</t>
        </is>
      </c>
      <c r="B286" s="15" t="n"/>
      <c r="C286" s="15" t="n"/>
      <c r="D286" s="15" t="inlineStr">
        <is>
          <t>BA07</t>
        </is>
      </c>
      <c r="E286" s="15" t="inlineStr">
        <is>
          <t>Kissen in Wolkenform, hellblau</t>
        </is>
      </c>
      <c r="F286" s="16" t="inlineStr">
        <is>
          <t>Dekokissen in Wolkenform aus hellblauem Samtstoff, mit aufgestickten Augen, Lächeln und rosa Wangen.</t>
        </is>
      </c>
      <c r="G286" s="15" t="inlineStr">
        <is>
          <t>Textilien</t>
        </is>
      </c>
      <c r="H286" s="15" t="inlineStr">
        <is>
          <t>Klassenzimmer</t>
        </is>
      </c>
      <c r="I286" s="15" t="inlineStr">
        <is>
          <t>C</t>
        </is>
      </c>
      <c r="J286" s="17" t="n">
        <v>2</v>
      </c>
      <c r="K286" s="17" t="n"/>
      <c r="L286" s="18">
        <f>J286-IF(K286="",0,K286)</f>
        <v/>
      </c>
      <c r="M286" s="15" t="inlineStr">
        <is>
          <t>Stück</t>
        </is>
      </c>
      <c r="N286" s="15" t="inlineStr">
        <is>
          <t>gut</t>
        </is>
      </c>
      <c r="O286" s="19" t="n"/>
      <c r="P286" s="19" t="inlineStr">
        <is>
          <t>ja</t>
        </is>
      </c>
      <c r="Q286" s="19" t="n"/>
      <c r="R286" s="20" t="n"/>
      <c r="S286" s="20" t="n">
        <v>12</v>
      </c>
      <c r="T286" s="19" t="inlineStr">
        <is>
          <t>VHB</t>
        </is>
      </c>
      <c r="U286" s="21">
        <f>L286*S286</f>
        <v/>
      </c>
      <c r="V286" s="15" t="inlineStr">
        <is>
          <t>Versand möglich</t>
        </is>
      </c>
      <c r="W286" s="15" t="inlineStr">
        <is>
          <t>F-337</t>
        </is>
      </c>
      <c r="X286" s="19" t="inlineStr">
        <is>
          <t>ja</t>
        </is>
      </c>
      <c r="Y286" s="19" t="n"/>
      <c r="Z286" s="19" t="inlineStr">
        <is>
          <t>verfügbar</t>
        </is>
      </c>
      <c r="AA286" s="19" t="n"/>
      <c r="AB286" s="19" t="n"/>
      <c r="AC286" s="19" t="n"/>
      <c r="AD286" s="19" t="n"/>
      <c r="AE286" s="20" t="n"/>
      <c r="AF286" s="21">
        <f>IF(K286="","",K286*AE286)</f>
        <v/>
      </c>
      <c r="AG286" s="19" t="n"/>
      <c r="AH286" s="19" t="n"/>
      <c r="AI286" s="19" t="n"/>
      <c r="AJ286" s="19" t="n"/>
      <c r="AK286" s="19" t="n"/>
      <c r="AL286" s="19" t="n"/>
      <c r="AM286" s="16" t="inlineStr">
        <is>
          <t>2 Kissen, beide abgebildet.</t>
        </is>
      </c>
      <c r="AN286" s="22" t="n"/>
    </row>
    <row r="287" ht="30" customHeight="1">
      <c r="A287" s="15" t="inlineStr">
        <is>
          <t>BA07-02</t>
        </is>
      </c>
      <c r="B287" s="15" t="n"/>
      <c r="C287" s="15" t="n"/>
      <c r="D287" s="15" t="inlineStr">
        <is>
          <t>BA07</t>
        </is>
      </c>
      <c r="E287" s="15" t="inlineStr">
        <is>
          <t>Wandleuchte rund mit Holzrand</t>
        </is>
      </c>
      <c r="F287" s="16" t="inlineStr">
        <is>
          <t>Runde Wandleuchte: Rahmen aus gebogenem Schichtholz mit satinierter Scheibe, flache Bauform, Zuleitung sichtbar verlegt. Zwei verschiedene Durchmesser.</t>
        </is>
      </c>
      <c r="G287" s="15" t="inlineStr">
        <is>
          <t>Leuchten</t>
        </is>
      </c>
      <c r="H287" s="15" t="inlineStr">
        <is>
          <t>Klassenzimmer</t>
        </is>
      </c>
      <c r="I287" s="15" t="inlineStr">
        <is>
          <t>B</t>
        </is>
      </c>
      <c r="J287" s="17" t="n">
        <v>2</v>
      </c>
      <c r="K287" s="17" t="n"/>
      <c r="L287" s="18">
        <f>J287-IF(K287="",0,K287)</f>
        <v/>
      </c>
      <c r="M287" s="15" t="inlineStr">
        <is>
          <t>Stück</t>
        </is>
      </c>
      <c r="N287" s="15" t="inlineStr">
        <is>
          <t>gebraucht</t>
        </is>
      </c>
      <c r="O287" s="19" t="n"/>
      <c r="P287" s="19" t="inlineStr">
        <is>
          <t>ja</t>
        </is>
      </c>
      <c r="Q287" s="19" t="n"/>
      <c r="R287" s="20" t="n"/>
      <c r="S287" s="20" t="n">
        <v>45</v>
      </c>
      <c r="T287" s="19" t="inlineStr">
        <is>
          <t>VHB</t>
        </is>
      </c>
      <c r="U287" s="21">
        <f>L287*S287</f>
        <v/>
      </c>
      <c r="V287" s="15" t="inlineStr">
        <is>
          <t>nur Abholung</t>
        </is>
      </c>
      <c r="W287" s="15" t="inlineStr">
        <is>
          <t>F-338</t>
        </is>
      </c>
      <c r="X287" s="19" t="inlineStr">
        <is>
          <t>ja</t>
        </is>
      </c>
      <c r="Y287" s="19" t="n"/>
      <c r="Z287" s="19" t="inlineStr">
        <is>
          <t>verfügbar</t>
        </is>
      </c>
      <c r="AA287" s="19" t="n"/>
      <c r="AB287" s="19" t="n"/>
      <c r="AC287" s="19" t="n"/>
      <c r="AD287" s="19" t="n"/>
      <c r="AE287" s="20" t="n"/>
      <c r="AF287" s="21">
        <f>IF(K287="","",K287*AE287)</f>
        <v/>
      </c>
      <c r="AG287" s="19" t="n"/>
      <c r="AH287" s="19" t="n"/>
      <c r="AI287" s="19" t="n"/>
      <c r="AJ287" s="19" t="n"/>
      <c r="AK287" s="19" t="n"/>
      <c r="AL287" s="19" t="n"/>
      <c r="AM287" s="16" t="inlineStr">
        <is>
          <t>2 Leuchten in unterschiedlicher Größe, beide abgebildet.</t>
        </is>
      </c>
      <c r="AN287" s="22" t="n"/>
    </row>
    <row r="288" ht="30" customHeight="1">
      <c r="A288" s="15" t="inlineStr">
        <is>
          <t>BA07-03</t>
        </is>
      </c>
      <c r="B288" s="15" t="n"/>
      <c r="C288" s="15" t="n"/>
      <c r="D288" s="15" t="inlineStr">
        <is>
          <t>BA07</t>
        </is>
      </c>
      <c r="E288" s="15" t="inlineStr">
        <is>
          <t>Standregal grau mit Wolkenaufsatz</t>
        </is>
      </c>
      <c r="F288" s="16" t="inlineStr">
        <is>
          <t>Schmales Standregal in Grau mit drei Ablagen und vorderen Haltelleisten, oben ein ausgesägter Wolkenaufsatz, auf schrägen Holzbeinen. Als Bücherregal genutzt.</t>
        </is>
      </c>
      <c r="G288" s="15" t="inlineStr">
        <is>
          <t>Kita-Ausstattung</t>
        </is>
      </c>
      <c r="H288" s="15" t="inlineStr">
        <is>
          <t>Klassenzimmer</t>
        </is>
      </c>
      <c r="I288" s="15" t="inlineStr">
        <is>
          <t>B</t>
        </is>
      </c>
      <c r="J288" s="17" t="n">
        <v>1</v>
      </c>
      <c r="K288" s="17" t="n"/>
      <c r="L288" s="18">
        <f>J288-IF(K288="",0,K288)</f>
        <v/>
      </c>
      <c r="M288" s="15" t="inlineStr">
        <is>
          <t>Stück</t>
        </is>
      </c>
      <c r="N288" s="15" t="inlineStr">
        <is>
          <t>gebraucht</t>
        </is>
      </c>
      <c r="O288" s="19" t="n"/>
      <c r="P288" s="19" t="inlineStr">
        <is>
          <t>ja</t>
        </is>
      </c>
      <c r="Q288" s="19" t="n"/>
      <c r="R288" s="20" t="n"/>
      <c r="S288" s="20" t="n">
        <v>45</v>
      </c>
      <c r="T288" s="19" t="inlineStr">
        <is>
          <t>VHB</t>
        </is>
      </c>
      <c r="U288" s="21">
        <f>L288*S288</f>
        <v/>
      </c>
      <c r="V288" s="15" t="inlineStr">
        <is>
          <t>nur Abholung</t>
        </is>
      </c>
      <c r="W288" s="15" t="inlineStr">
        <is>
          <t>F-339</t>
        </is>
      </c>
      <c r="X288" s="19" t="inlineStr">
        <is>
          <t>ja</t>
        </is>
      </c>
      <c r="Y288" s="19" t="n"/>
      <c r="Z288" s="19" t="inlineStr">
        <is>
          <t>verfügbar</t>
        </is>
      </c>
      <c r="AA288" s="19" t="n"/>
      <c r="AB288" s="19" t="n"/>
      <c r="AC288" s="19" t="n"/>
      <c r="AD288" s="19" t="n"/>
      <c r="AE288" s="20" t="n"/>
      <c r="AF288" s="21">
        <f>IF(K288="","",K288*AE288)</f>
        <v/>
      </c>
      <c r="AG288" s="19" t="n"/>
      <c r="AH288" s="19" t="n"/>
      <c r="AI288" s="19" t="n"/>
      <c r="AJ288" s="19" t="n"/>
      <c r="AK288" s="19" t="n"/>
      <c r="AL288" s="19" t="n"/>
      <c r="AM288" s="16" t="inlineStr">
        <is>
          <t>1 Regal.</t>
        </is>
      </c>
      <c r="AN288" s="22" t="n"/>
    </row>
    <row r="289" ht="30" customHeight="1">
      <c r="A289" s="15" t="inlineStr">
        <is>
          <t>BA07-05</t>
        </is>
      </c>
      <c r="B289" s="15" t="n"/>
      <c r="C289" s="15" t="n"/>
      <c r="D289" s="15" t="inlineStr">
        <is>
          <t>BA07</t>
        </is>
      </c>
      <c r="E289" s="15" t="inlineStr">
        <is>
          <t>Tisch weiß, lang, auf schwarzen Beinen</t>
        </is>
      </c>
      <c r="F289" s="16" t="inlineStr">
        <is>
          <t>Langer Tisch mit weißer Platte auf vier schwarzen Rundbeinen mit Gleitern. Als Arbeits- und Ablagefläche genutzt.</t>
        </is>
      </c>
      <c r="G289" s="15" t="inlineStr">
        <is>
          <t>Möbel</t>
        </is>
      </c>
      <c r="H289" s="15" t="inlineStr">
        <is>
          <t>Klassenzimmer</t>
        </is>
      </c>
      <c r="I289" s="15" t="inlineStr">
        <is>
          <t>B</t>
        </is>
      </c>
      <c r="J289" s="17" t="n">
        <v>1</v>
      </c>
      <c r="K289" s="17" t="n"/>
      <c r="L289" s="18">
        <f>J289-IF(K289="",0,K289)</f>
        <v/>
      </c>
      <c r="M289" s="15" t="inlineStr">
        <is>
          <t>Stück</t>
        </is>
      </c>
      <c r="N289" s="15" t="inlineStr">
        <is>
          <t>gebraucht</t>
        </is>
      </c>
      <c r="O289" s="19" t="n"/>
      <c r="P289" s="19" t="inlineStr">
        <is>
          <t>ja</t>
        </is>
      </c>
      <c r="Q289" s="19" t="n"/>
      <c r="R289" s="20" t="n"/>
      <c r="S289" s="20" t="n">
        <v>70</v>
      </c>
      <c r="T289" s="19" t="inlineStr">
        <is>
          <t>VHB</t>
        </is>
      </c>
      <c r="U289" s="21">
        <f>L289*S289</f>
        <v/>
      </c>
      <c r="V289" s="15" t="inlineStr">
        <is>
          <t>nur Abholung</t>
        </is>
      </c>
      <c r="W289" s="15" t="inlineStr">
        <is>
          <t>F-341</t>
        </is>
      </c>
      <c r="X289" s="19" t="inlineStr">
        <is>
          <t>ja</t>
        </is>
      </c>
      <c r="Y289" s="19" t="n"/>
      <c r="Z289" s="19" t="inlineStr">
        <is>
          <t>verfügbar</t>
        </is>
      </c>
      <c r="AA289" s="19" t="n"/>
      <c r="AB289" s="19" t="n"/>
      <c r="AC289" s="19" t="n"/>
      <c r="AD289" s="19" t="n"/>
      <c r="AE289" s="20" t="n"/>
      <c r="AF289" s="21">
        <f>IF(K289="","",K289*AE289)</f>
        <v/>
      </c>
      <c r="AG289" s="19" t="n"/>
      <c r="AH289" s="19" t="n"/>
      <c r="AI289" s="19" t="n"/>
      <c r="AJ289" s="19" t="n"/>
      <c r="AK289" s="19" t="n"/>
      <c r="AL289" s="19" t="n"/>
      <c r="AM289" s="16" t="inlineStr">
        <is>
          <t>1 Tisch.</t>
        </is>
      </c>
      <c r="AN289" s="22" t="inlineStr">
        <is>
          <t>Stueckzahl auf dem Erfassungsblatt nicht eingetragen, als 1 angenommen - bitte bestaetigen.</t>
        </is>
      </c>
    </row>
    <row r="290" ht="30" customHeight="1">
      <c r="A290" s="15" t="inlineStr">
        <is>
          <t>BA07-06</t>
        </is>
      </c>
      <c r="B290" s="15" t="n"/>
      <c r="C290" s="15" t="n"/>
      <c r="D290" s="15" t="inlineStr">
        <is>
          <t>BA07</t>
        </is>
      </c>
      <c r="E290" s="15" t="inlineStr">
        <is>
          <t>Regal creme, 16 Fächer, auf Metallbeinen</t>
        </is>
      </c>
      <c r="F290" s="16" t="inlineStr">
        <is>
          <t>Großes Regal in Creme mit sechzehn Fächern in vier Reihen, auf schräg gestellten schwarzen Metallbeinen.</t>
        </is>
      </c>
      <c r="G290" s="15" t="inlineStr">
        <is>
          <t>Möbel</t>
        </is>
      </c>
      <c r="H290" s="15" t="inlineStr">
        <is>
          <t>Klassenzimmer</t>
        </is>
      </c>
      <c r="I290" s="15" t="inlineStr">
        <is>
          <t>B</t>
        </is>
      </c>
      <c r="J290" s="17" t="n">
        <v>1</v>
      </c>
      <c r="K290" s="17" t="n"/>
      <c r="L290" s="18">
        <f>J290-IF(K290="",0,K290)</f>
        <v/>
      </c>
      <c r="M290" s="15" t="inlineStr">
        <is>
          <t>Stück</t>
        </is>
      </c>
      <c r="N290" s="15" t="inlineStr">
        <is>
          <t>gebraucht</t>
        </is>
      </c>
      <c r="O290" s="19" t="n"/>
      <c r="P290" s="19" t="inlineStr">
        <is>
          <t>ja</t>
        </is>
      </c>
      <c r="Q290" s="19" t="n"/>
      <c r="R290" s="20" t="n"/>
      <c r="S290" s="20" t="n">
        <v>90</v>
      </c>
      <c r="T290" s="19" t="inlineStr">
        <is>
          <t>VHB</t>
        </is>
      </c>
      <c r="U290" s="21">
        <f>L290*S290</f>
        <v/>
      </c>
      <c r="V290" s="15" t="inlineStr">
        <is>
          <t>nur Abholung</t>
        </is>
      </c>
      <c r="W290" s="15" t="inlineStr">
        <is>
          <t>F-342</t>
        </is>
      </c>
      <c r="X290" s="19" t="inlineStr">
        <is>
          <t>ja</t>
        </is>
      </c>
      <c r="Y290" s="19" t="n"/>
      <c r="Z290" s="19" t="inlineStr">
        <is>
          <t>verfügbar</t>
        </is>
      </c>
      <c r="AA290" s="19" t="n"/>
      <c r="AB290" s="19" t="n"/>
      <c r="AC290" s="19" t="n"/>
      <c r="AD290" s="19" t="n"/>
      <c r="AE290" s="20" t="n"/>
      <c r="AF290" s="21">
        <f>IF(K290="","",K290*AE290)</f>
        <v/>
      </c>
      <c r="AG290" s="19" t="n"/>
      <c r="AH290" s="19" t="n"/>
      <c r="AI290" s="19" t="n"/>
      <c r="AJ290" s="19" t="n"/>
      <c r="AK290" s="19" t="n"/>
      <c r="AL290" s="19" t="n"/>
      <c r="AM290" s="16" t="inlineStr">
        <is>
          <t>1 Regal. Der Inhalt gehört nicht dazu.</t>
        </is>
      </c>
      <c r="AN290" s="22" t="n"/>
    </row>
    <row r="291" ht="30" customHeight="1">
      <c r="A291" s="15" t="inlineStr">
        <is>
          <t>BA08-05</t>
        </is>
      </c>
      <c r="B291" s="15" t="n"/>
      <c r="C291" s="15" t="n"/>
      <c r="D291" s="15" t="inlineStr">
        <is>
          <t>BA08</t>
        </is>
      </c>
      <c r="E291" s="15" t="inlineStr">
        <is>
          <t>Acrylbild schwarz-weiß, Kreise mit Punkten</t>
        </is>
      </c>
      <c r="F291" s="16" t="inlineStr">
        <is>
          <t>Acryl auf Leinwand, großes Quadrat: mit breitem Pinsel gezogene Kreise, darin je mehrere gemalte Punkte – die Anmutung von Würfeln. Eigenarbeit einer Privatperson, nicht signiert.</t>
        </is>
      </c>
      <c r="G291" s="15" t="inlineStr">
        <is>
          <t>Kunst</t>
        </is>
      </c>
      <c r="H291" s="15" t="inlineStr">
        <is>
          <t>Atelier</t>
        </is>
      </c>
      <c r="I291" s="15" t="inlineStr">
        <is>
          <t>B</t>
        </is>
      </c>
      <c r="J291" s="17" t="n">
        <v>1</v>
      </c>
      <c r="K291" s="17" t="n"/>
      <c r="L291" s="18">
        <f>J291-IF(K291="",0,K291)</f>
        <v/>
      </c>
      <c r="M291" s="15" t="inlineStr">
        <is>
          <t>Stück</t>
        </is>
      </c>
      <c r="N291" s="15" t="inlineStr">
        <is>
          <t>gut</t>
        </is>
      </c>
      <c r="O291" s="19" t="n"/>
      <c r="P291" s="19" t="inlineStr">
        <is>
          <t>ja</t>
        </is>
      </c>
      <c r="Q291" s="19" t="n"/>
      <c r="R291" s="20" t="n"/>
      <c r="S291" s="20" t="n">
        <v>150</v>
      </c>
      <c r="T291" s="19" t="inlineStr">
        <is>
          <t>VHB</t>
        </is>
      </c>
      <c r="U291" s="21">
        <f>L291*S291</f>
        <v/>
      </c>
      <c r="V291" s="15" t="inlineStr">
        <is>
          <t>Versand möglich</t>
        </is>
      </c>
      <c r="W291" s="15" t="inlineStr">
        <is>
          <t>F-344</t>
        </is>
      </c>
      <c r="X291" s="19" t="inlineStr">
        <is>
          <t>ja</t>
        </is>
      </c>
      <c r="Y291" s="19" t="n"/>
      <c r="Z291" s="19" t="inlineStr">
        <is>
          <t>verfügbar</t>
        </is>
      </c>
      <c r="AA291" s="19" t="n"/>
      <c r="AB291" s="19" t="n"/>
      <c r="AC291" s="19" t="n"/>
      <c r="AD291" s="19" t="n"/>
      <c r="AE291" s="20" t="n"/>
      <c r="AF291" s="21">
        <f>IF(K291="","",K291*AE291)</f>
        <v/>
      </c>
      <c r="AG291" s="19" t="n"/>
      <c r="AH291" s="19" t="n"/>
      <c r="AI291" s="19" t="n"/>
      <c r="AJ291" s="19" t="n"/>
      <c r="AK291" s="19" t="n"/>
      <c r="AL291" s="19" t="n"/>
      <c r="AM291" s="16" t="inlineStr">
        <is>
          <t>1 Bild.</t>
        </is>
      </c>
      <c r="AN291" s="22" t="n"/>
    </row>
    <row r="292" ht="30" customHeight="1">
      <c r="A292" s="15" t="inlineStr">
        <is>
          <t>BA08-06</t>
        </is>
      </c>
      <c r="B292" s="15" t="n"/>
      <c r="C292" s="15" t="inlineStr">
        <is>
          <t>BU05-08</t>
        </is>
      </c>
      <c r="D292" s="15" t="inlineStr">
        <is>
          <t>BA08</t>
        </is>
      </c>
      <c r="E292" s="15" t="inlineStr">
        <is>
          <t>VS Schalenstuhl grau, Vierfußgestell</t>
        </is>
      </c>
      <c r="F292" s="16" t="inlineStr">
        <is>
          <t>Schalenstuhl von VS (Vereinigte Spezialmöbelfabriken): graue Kunststoffschale mit Rautenstruktur und Griffloch in der Lehne, auf grauem Vierfußgestell aus Rohr. Auf den Stühlen aus dem Atelier sind Farbspritzer.</t>
        </is>
      </c>
      <c r="G292" s="15" t="inlineStr">
        <is>
          <t>Kita-Ausstattung</t>
        </is>
      </c>
      <c r="H292" s="15" t="inlineStr">
        <is>
          <t>Atelier</t>
        </is>
      </c>
      <c r="I292" s="15" t="inlineStr">
        <is>
          <t>B</t>
        </is>
      </c>
      <c r="J292" s="17" t="n">
        <v>12</v>
      </c>
      <c r="K292" s="17" t="n"/>
      <c r="L292" s="18">
        <f>J292-IF(K292="",0,K292)</f>
        <v/>
      </c>
      <c r="M292" s="15" t="inlineStr">
        <is>
          <t>Stück</t>
        </is>
      </c>
      <c r="N292" s="15" t="inlineStr">
        <is>
          <t>gebraucht</t>
        </is>
      </c>
      <c r="O292" s="19" t="n"/>
      <c r="P292" s="19" t="inlineStr">
        <is>
          <t>ja</t>
        </is>
      </c>
      <c r="Q292" s="19" t="n"/>
      <c r="R292" s="20" t="n"/>
      <c r="S292" s="20" t="n">
        <v>50</v>
      </c>
      <c r="T292" s="19" t="inlineStr">
        <is>
          <t>VHB</t>
        </is>
      </c>
      <c r="U292" s="21">
        <f>L292*S292</f>
        <v/>
      </c>
      <c r="V292" s="15" t="inlineStr">
        <is>
          <t>nur Abholung</t>
        </is>
      </c>
      <c r="W292" s="15" t="inlineStr">
        <is>
          <t>F-345</t>
        </is>
      </c>
      <c r="X292" s="19" t="inlineStr">
        <is>
          <t>ja</t>
        </is>
      </c>
      <c r="Y292" s="19" t="n"/>
      <c r="Z292" s="19" t="inlineStr">
        <is>
          <t>verfügbar</t>
        </is>
      </c>
      <c r="AA292" s="19" t="inlineStr">
        <is>
          <t>VS</t>
        </is>
      </c>
      <c r="AB292" s="19" t="n"/>
      <c r="AC292" s="19" t="n"/>
      <c r="AD292" s="19" t="n"/>
      <c r="AE292" s="20" t="n"/>
      <c r="AF292" s="21">
        <f>IF(K292="","",K292*AE292)</f>
        <v/>
      </c>
      <c r="AG292" s="19" t="n"/>
      <c r="AH292" s="19" t="n"/>
      <c r="AI292" s="19" t="n"/>
      <c r="AJ292" s="19" t="n"/>
      <c r="AK292" s="19" t="n"/>
      <c r="AL292" s="19" t="n"/>
      <c r="AM292" s="16" t="inlineStr">
        <is>
          <t>12 Stühle insgesamt: 9 im Atelier (BA08-06) und 3 im Schlafraum im Untergeschoss (BU05-08). Nur die neun Stühle aus dem Atelier haben Farbspritzer; die drei aus dem Schlafraum sind sauber. Das Logo ist auf Foto F-346 zu sehen, ein sauberer Stuhl auf Foto F-418.</t>
        </is>
      </c>
      <c r="AN292" s="22" t="inlineStr">
        <is>
          <t>Zusammengefasste Position über zwei Räume – Post-it-Nummer: BU05-08.</t>
        </is>
      </c>
    </row>
    <row r="293" ht="30" customHeight="1">
      <c r="A293" s="15" t="inlineStr">
        <is>
          <t>BA08-07</t>
        </is>
      </c>
      <c r="B293" s="15" t="n"/>
      <c r="C293" s="15" t="n"/>
      <c r="D293" s="15" t="inlineStr">
        <is>
          <t>BA08</t>
        </is>
      </c>
      <c r="E293" s="15" t="inlineStr">
        <is>
          <t>Konvolut Feinkrepp-Papier</t>
        </is>
      </c>
      <c r="F293" s="16" t="inlineStr">
        <is>
          <t>Rollen Feinkrepp von Marpa Jansen, je 50 × 250 cm, in Blau, Grün, Gelb, Rot, Orange und Braun. Teils angebrochen, dazu ein Beutel mit zugeschnittenen Schnipseln.</t>
        </is>
      </c>
      <c r="G293" s="15" t="inlineStr">
        <is>
          <t>Verbrauchsmaterial</t>
        </is>
      </c>
      <c r="H293" s="15" t="inlineStr">
        <is>
          <t>Atelier</t>
        </is>
      </c>
      <c r="I293" s="15" t="inlineStr">
        <is>
          <t>C</t>
        </is>
      </c>
      <c r="J293" s="17" t="n">
        <v>1</v>
      </c>
      <c r="K293" s="17" t="n"/>
      <c r="L293" s="18">
        <f>J293-IF(K293="",0,K293)</f>
        <v/>
      </c>
      <c r="M293" s="15" t="inlineStr">
        <is>
          <t>Konvolut</t>
        </is>
      </c>
      <c r="N293" s="15" t="inlineStr">
        <is>
          <t>gebraucht</t>
        </is>
      </c>
      <c r="O293" s="19" t="n"/>
      <c r="P293" s="19" t="inlineStr">
        <is>
          <t>ja</t>
        </is>
      </c>
      <c r="Q293" s="19" t="n"/>
      <c r="R293" s="20" t="n"/>
      <c r="S293" s="20" t="n">
        <v>20</v>
      </c>
      <c r="T293" s="19" t="inlineStr">
        <is>
          <t>VHB</t>
        </is>
      </c>
      <c r="U293" s="21">
        <f>L293*S293</f>
        <v/>
      </c>
      <c r="V293" s="15" t="inlineStr">
        <is>
          <t>nur Abholung</t>
        </is>
      </c>
      <c r="W293" s="15" t="inlineStr">
        <is>
          <t>F-347</t>
        </is>
      </c>
      <c r="X293" s="19" t="inlineStr">
        <is>
          <t>ja</t>
        </is>
      </c>
      <c r="Y293" s="19" t="n"/>
      <c r="Z293" s="19" t="inlineStr">
        <is>
          <t>verfügbar</t>
        </is>
      </c>
      <c r="AA293" s="19" t="inlineStr">
        <is>
          <t>Marpa Jansen</t>
        </is>
      </c>
      <c r="AB293" s="19" t="n"/>
      <c r="AC293" s="19" t="n"/>
      <c r="AD293" s="19" t="n"/>
      <c r="AE293" s="20" t="n"/>
      <c r="AF293" s="21">
        <f>IF(K293="","",K293*AE293)</f>
        <v/>
      </c>
      <c r="AG293" s="19" t="n"/>
      <c r="AH293" s="19" t="n"/>
      <c r="AI293" s="19" t="n"/>
      <c r="AJ293" s="19" t="n"/>
      <c r="AK293" s="19" t="n"/>
      <c r="AL293" s="19" t="n"/>
      <c r="AM293" s="16" t="inlineStr">
        <is>
          <t>1 Konvolut. Der Schubladeninhalt ist auf Foto F-348 zu sehen.</t>
        </is>
      </c>
      <c r="AN293" s="22" t="n"/>
    </row>
    <row r="294" ht="30" customHeight="1">
      <c r="A294" s="15" t="inlineStr">
        <is>
          <t>BA08-08</t>
        </is>
      </c>
      <c r="B294" s="15" t="n"/>
      <c r="C294" s="15" t="n"/>
      <c r="D294" s="15" t="inlineStr">
        <is>
          <t>BA08</t>
        </is>
      </c>
      <c r="E294" s="15" t="inlineStr">
        <is>
          <t>Deko-Pilze auf Holzfuß</t>
        </is>
      </c>
      <c r="F294" s="16" t="inlineStr">
        <is>
          <t>Dekopilze mit gedrechseltem Fuß aus Massivholz: zwei mit gehämmerter Metallkappe in Silberoptik, einer mit Kappe in Betonoptik.</t>
        </is>
      </c>
      <c r="G294" s="15" t="inlineStr">
        <is>
          <t>Deko</t>
        </is>
      </c>
      <c r="H294" s="15" t="inlineStr">
        <is>
          <t>Atelier</t>
        </is>
      </c>
      <c r="I294" s="15" t="inlineStr">
        <is>
          <t>C</t>
        </is>
      </c>
      <c r="J294" s="17" t="n">
        <v>3</v>
      </c>
      <c r="K294" s="17" t="n"/>
      <c r="L294" s="18">
        <f>J294-IF(K294="",0,K294)</f>
        <v/>
      </c>
      <c r="M294" s="15" t="inlineStr">
        <is>
          <t>Stück</t>
        </is>
      </c>
      <c r="N294" s="15" t="inlineStr">
        <is>
          <t>gut</t>
        </is>
      </c>
      <c r="O294" s="19" t="n"/>
      <c r="P294" s="19" t="inlineStr">
        <is>
          <t>ja</t>
        </is>
      </c>
      <c r="Q294" s="19" t="n"/>
      <c r="R294" s="20" t="n"/>
      <c r="S294" s="20" t="n">
        <v>18</v>
      </c>
      <c r="T294" s="19" t="inlineStr">
        <is>
          <t>VHB</t>
        </is>
      </c>
      <c r="U294" s="21">
        <f>L294*S294</f>
        <v/>
      </c>
      <c r="V294" s="15" t="inlineStr">
        <is>
          <t>Versand möglich</t>
        </is>
      </c>
      <c r="W294" s="15" t="inlineStr">
        <is>
          <t>F-349</t>
        </is>
      </c>
      <c r="X294" s="19" t="inlineStr">
        <is>
          <t>ja</t>
        </is>
      </c>
      <c r="Y294" s="19" t="n"/>
      <c r="Z294" s="19" t="inlineStr">
        <is>
          <t>verfügbar</t>
        </is>
      </c>
      <c r="AA294" s="19" t="n"/>
      <c r="AB294" s="19" t="n"/>
      <c r="AC294" s="19" t="n"/>
      <c r="AD294" s="19" t="n"/>
      <c r="AE294" s="20" t="n"/>
      <c r="AF294" s="21">
        <f>IF(K294="","",K294*AE294)</f>
        <v/>
      </c>
      <c r="AG294" s="19" t="n"/>
      <c r="AH294" s="19" t="n"/>
      <c r="AI294" s="19" t="n"/>
      <c r="AJ294" s="19" t="n"/>
      <c r="AK294" s="19" t="n"/>
      <c r="AL294" s="19" t="n"/>
      <c r="AM294" s="16" t="inlineStr">
        <is>
          <t>3 Pilze, alle abgebildet.</t>
        </is>
      </c>
      <c r="AN294" s="22" t="n"/>
    </row>
    <row r="295" ht="30" customHeight="1">
      <c r="A295" s="15" t="inlineStr">
        <is>
          <t>BA08-09</t>
        </is>
      </c>
      <c r="B295" s="15" t="n"/>
      <c r="C295" s="15" t="n"/>
      <c r="D295" s="15" t="inlineStr">
        <is>
          <t>BA08</t>
        </is>
      </c>
      <c r="E295" s="15" t="inlineStr">
        <is>
          <t>Bastelscheren im Betzold-Holzblock</t>
        </is>
      </c>
      <c r="F295" s="16" t="inlineStr">
        <is>
          <t>Kinder-Bastelscheren mit Kunststoffgriffen in gemischten Farben, dazu ein Holzblock mit Steckbohrungen von Betzold als Ablage.</t>
        </is>
      </c>
      <c r="G295" s="15" t="inlineStr">
        <is>
          <t>Kita-Ausstattung</t>
        </is>
      </c>
      <c r="H295" s="15" t="inlineStr">
        <is>
          <t>Atelier</t>
        </is>
      </c>
      <c r="I295" s="15" t="inlineStr">
        <is>
          <t>C</t>
        </is>
      </c>
      <c r="J295" s="17" t="n">
        <v>15</v>
      </c>
      <c r="K295" s="17" t="n"/>
      <c r="L295" s="18">
        <f>J295-IF(K295="",0,K295)</f>
        <v/>
      </c>
      <c r="M295" s="15" t="inlineStr">
        <is>
          <t>Stück</t>
        </is>
      </c>
      <c r="N295" s="15" t="inlineStr">
        <is>
          <t>gebraucht</t>
        </is>
      </c>
      <c r="O295" s="19" t="n"/>
      <c r="P295" s="19" t="inlineStr">
        <is>
          <t>ja</t>
        </is>
      </c>
      <c r="Q295" s="19" t="n"/>
      <c r="R295" s="20" t="n"/>
      <c r="S295" s="20" t="n">
        <v>2</v>
      </c>
      <c r="T295" s="19" t="inlineStr">
        <is>
          <t>VHB</t>
        </is>
      </c>
      <c r="U295" s="21">
        <f>L295*S295</f>
        <v/>
      </c>
      <c r="V295" s="15" t="inlineStr">
        <is>
          <t>nur Abholung</t>
        </is>
      </c>
      <c r="W295" s="15" t="inlineStr">
        <is>
          <t>F-350</t>
        </is>
      </c>
      <c r="X295" s="19" t="inlineStr">
        <is>
          <t>ja</t>
        </is>
      </c>
      <c r="Y295" s="19" t="n"/>
      <c r="Z295" s="19" t="inlineStr">
        <is>
          <t>verfügbar</t>
        </is>
      </c>
      <c r="AA295" s="19" t="inlineStr">
        <is>
          <t>Betzold</t>
        </is>
      </c>
      <c r="AB295" s="19" t="n"/>
      <c r="AC295" s="19" t="n"/>
      <c r="AD295" s="19" t="n"/>
      <c r="AE295" s="20" t="n"/>
      <c r="AF295" s="21">
        <f>IF(K295="","",K295*AE295)</f>
        <v/>
      </c>
      <c r="AG295" s="19" t="n"/>
      <c r="AH295" s="19" t="n"/>
      <c r="AI295" s="19" t="n"/>
      <c r="AJ295" s="19" t="n"/>
      <c r="AK295" s="19" t="n"/>
      <c r="AL295" s="19" t="n"/>
      <c r="AM295" s="16" t="inlineStr">
        <is>
          <t>15 Scheren, der Holzblock gehört dazu.</t>
        </is>
      </c>
      <c r="AN295" s="22" t="n"/>
    </row>
    <row r="296" ht="30" customHeight="1">
      <c r="A296" s="15" t="inlineStr">
        <is>
          <t>BA08-10</t>
        </is>
      </c>
      <c r="B296" s="15" t="n"/>
      <c r="C296" s="15" t="n"/>
      <c r="D296" s="15" t="inlineStr">
        <is>
          <t>BA08</t>
        </is>
      </c>
      <c r="E296" s="15" t="inlineStr">
        <is>
          <t>Kunstpflanze Gras im weißen Topf</t>
        </is>
      </c>
      <c r="F296" s="16" t="inlineStr">
        <is>
          <t>Künstliches Ziergras mit gedrehten Halmen in einem weißen Übertopf aus Metall mit durchbrochenem Spitzenrand.</t>
        </is>
      </c>
      <c r="G296" s="15" t="inlineStr">
        <is>
          <t>Deko</t>
        </is>
      </c>
      <c r="H296" s="15" t="inlineStr">
        <is>
          <t>Atelier</t>
        </is>
      </c>
      <c r="I296" s="15" t="inlineStr">
        <is>
          <t>C</t>
        </is>
      </c>
      <c r="J296" s="17" t="n">
        <v>2</v>
      </c>
      <c r="K296" s="17" t="n"/>
      <c r="L296" s="18">
        <f>J296-IF(K296="",0,K296)</f>
        <v/>
      </c>
      <c r="M296" s="15" t="inlineStr">
        <is>
          <t>Stück</t>
        </is>
      </c>
      <c r="N296" s="15" t="inlineStr">
        <is>
          <t>gut</t>
        </is>
      </c>
      <c r="O296" s="19" t="n"/>
      <c r="P296" s="19" t="inlineStr">
        <is>
          <t>ja</t>
        </is>
      </c>
      <c r="Q296" s="19" t="n"/>
      <c r="R296" s="20" t="n"/>
      <c r="S296" s="20" t="n">
        <v>15</v>
      </c>
      <c r="T296" s="19" t="inlineStr">
        <is>
          <t>VHB</t>
        </is>
      </c>
      <c r="U296" s="21">
        <f>L296*S296</f>
        <v/>
      </c>
      <c r="V296" s="15" t="inlineStr">
        <is>
          <t>Versand möglich</t>
        </is>
      </c>
      <c r="W296" s="15" t="inlineStr">
        <is>
          <t>F-351</t>
        </is>
      </c>
      <c r="X296" s="19" t="inlineStr">
        <is>
          <t>ja</t>
        </is>
      </c>
      <c r="Y296" s="19" t="n"/>
      <c r="Z296" s="19" t="inlineStr">
        <is>
          <t>verfügbar</t>
        </is>
      </c>
      <c r="AA296" s="19" t="n"/>
      <c r="AB296" s="19" t="n"/>
      <c r="AC296" s="19" t="n"/>
      <c r="AD296" s="19" t="n"/>
      <c r="AE296" s="20" t="n"/>
      <c r="AF296" s="21">
        <f>IF(K296="","",K296*AE296)</f>
        <v/>
      </c>
      <c r="AG296" s="19" t="n"/>
      <c r="AH296" s="19" t="n"/>
      <c r="AI296" s="19" t="n"/>
      <c r="AJ296" s="19" t="n"/>
      <c r="AK296" s="19" t="n"/>
      <c r="AL296" s="19" t="n"/>
      <c r="AM296" s="16" t="inlineStr">
        <is>
          <t>2 Stück, beide abgebildet.</t>
        </is>
      </c>
      <c r="AN296" s="22" t="n"/>
    </row>
    <row r="297" ht="30" customHeight="1">
      <c r="A297" s="15" t="inlineStr">
        <is>
          <t>BA08-11</t>
        </is>
      </c>
      <c r="B297" s="15" t="n"/>
      <c r="C297" s="15" t="n"/>
      <c r="D297" s="15" t="inlineStr">
        <is>
          <t>BA08</t>
        </is>
      </c>
      <c r="E297" s="15" t="inlineStr">
        <is>
          <t>Bilderrahmen mit Zeichenwerkzeug</t>
        </is>
      </c>
      <c r="F297" s="16" t="inlineStr">
        <is>
          <t>Zwei schwarze Rahmen hinter Glas, gepunkteter Hintergrund: einer mit Bleistift, Lineal und gefaltetem Papier, einer mit sechs Pinseln in verschiedenen Breiten. Passend für ein Atelier oder Arbeitszimmer.</t>
        </is>
      </c>
      <c r="G297" s="15" t="inlineStr">
        <is>
          <t>Deko</t>
        </is>
      </c>
      <c r="H297" s="15" t="inlineStr">
        <is>
          <t>Atelier</t>
        </is>
      </c>
      <c r="I297" s="15" t="inlineStr">
        <is>
          <t>C</t>
        </is>
      </c>
      <c r="J297" s="17" t="n">
        <v>2</v>
      </c>
      <c r="K297" s="17" t="n"/>
      <c r="L297" s="18">
        <f>J297-IF(K297="",0,K297)</f>
        <v/>
      </c>
      <c r="M297" s="15" t="inlineStr">
        <is>
          <t>Stück</t>
        </is>
      </c>
      <c r="N297" s="15" t="inlineStr">
        <is>
          <t>gut</t>
        </is>
      </c>
      <c r="O297" s="19" t="n"/>
      <c r="P297" s="19" t="inlineStr">
        <is>
          <t>ja</t>
        </is>
      </c>
      <c r="Q297" s="19" t="n"/>
      <c r="R297" s="20" t="n"/>
      <c r="S297" s="20" t="n">
        <v>25</v>
      </c>
      <c r="T297" s="19" t="inlineStr">
        <is>
          <t>VHB</t>
        </is>
      </c>
      <c r="U297" s="21">
        <f>L297*S297</f>
        <v/>
      </c>
      <c r="V297" s="15" t="inlineStr">
        <is>
          <t>Versand möglich</t>
        </is>
      </c>
      <c r="W297" s="15" t="inlineStr">
        <is>
          <t>F-352</t>
        </is>
      </c>
      <c r="X297" s="19" t="inlineStr">
        <is>
          <t>ja</t>
        </is>
      </c>
      <c r="Y297" s="19" t="n"/>
      <c r="Z297" s="19" t="inlineStr">
        <is>
          <t>verfügbar</t>
        </is>
      </c>
      <c r="AA297" s="19" t="n"/>
      <c r="AB297" s="19" t="n"/>
      <c r="AC297" s="19" t="n"/>
      <c r="AD297" s="19" t="n"/>
      <c r="AE297" s="20" t="n"/>
      <c r="AF297" s="21">
        <f>IF(K297="","",K297*AE297)</f>
        <v/>
      </c>
      <c r="AG297" s="19" t="n"/>
      <c r="AH297" s="19" t="n"/>
      <c r="AI297" s="19" t="n"/>
      <c r="AJ297" s="19" t="n"/>
      <c r="AK297" s="19" t="n"/>
      <c r="AL297" s="19" t="n"/>
      <c r="AM297" s="16" t="inlineStr">
        <is>
          <t>2 Bilder, beide abgebildet.</t>
        </is>
      </c>
      <c r="AN297" s="22" t="n"/>
    </row>
    <row r="298" ht="30" customHeight="1">
      <c r="A298" s="15" t="inlineStr">
        <is>
          <t>BA08-12</t>
        </is>
      </c>
      <c r="B298" s="15" t="n"/>
      <c r="C298" s="15" t="inlineStr">
        <is>
          <t>BU02-08</t>
        </is>
      </c>
      <c r="D298" s="15" t="inlineStr">
        <is>
          <t>BA08</t>
        </is>
      </c>
      <c r="E298" s="15" t="inlineStr">
        <is>
          <t>Wandregalbrett weiß</t>
        </is>
      </c>
      <c r="F298" s="16" t="inlineStr">
        <is>
          <t>Schmales weißes Wandregalbrett mit vorderer Kante, zum Anschrauben.</t>
        </is>
      </c>
      <c r="G298" s="15" t="inlineStr">
        <is>
          <t>Möbel</t>
        </is>
      </c>
      <c r="H298" s="15" t="inlineStr">
        <is>
          <t>Atelier</t>
        </is>
      </c>
      <c r="I298" s="15" t="inlineStr">
        <is>
          <t>C</t>
        </is>
      </c>
      <c r="J298" s="17" t="n">
        <v>4</v>
      </c>
      <c r="K298" s="17" t="n"/>
      <c r="L298" s="18">
        <f>J298-IF(K298="",0,K298)</f>
        <v/>
      </c>
      <c r="M298" s="15" t="inlineStr">
        <is>
          <t>Stück</t>
        </is>
      </c>
      <c r="N298" s="15" t="inlineStr">
        <is>
          <t>gebraucht</t>
        </is>
      </c>
      <c r="O298" s="19" t="n"/>
      <c r="P298" s="19" t="inlineStr">
        <is>
          <t>ja</t>
        </is>
      </c>
      <c r="Q298" s="19" t="n"/>
      <c r="R298" s="20" t="n"/>
      <c r="S298" s="20" t="n">
        <v>15</v>
      </c>
      <c r="T298" s="19" t="inlineStr">
        <is>
          <t>VHB</t>
        </is>
      </c>
      <c r="U298" s="21">
        <f>L298*S298</f>
        <v/>
      </c>
      <c r="V298" s="15" t="inlineStr">
        <is>
          <t>nur Abholung</t>
        </is>
      </c>
      <c r="W298" s="15" t="inlineStr">
        <is>
          <t>F-353</t>
        </is>
      </c>
      <c r="X298" s="19" t="inlineStr">
        <is>
          <t>ja</t>
        </is>
      </c>
      <c r="Y298" s="19" t="n"/>
      <c r="Z298" s="19" t="inlineStr">
        <is>
          <t>verfügbar</t>
        </is>
      </c>
      <c r="AA298" s="19" t="n"/>
      <c r="AB298" s="19" t="n"/>
      <c r="AC298" s="19" t="n"/>
      <c r="AD298" s="19" t="n"/>
      <c r="AE298" s="20" t="n"/>
      <c r="AF298" s="21">
        <f>IF(K298="","",K298*AE298)</f>
        <v/>
      </c>
      <c r="AG298" s="19" t="n"/>
      <c r="AH298" s="19" t="n"/>
      <c r="AI298" s="19" t="n"/>
      <c r="AJ298" s="19" t="n"/>
      <c r="AK298" s="19" t="n"/>
      <c r="AL298" s="19" t="n"/>
      <c r="AM298" s="16" t="inlineStr">
        <is>
          <t>4 Bretter insgesamt: 2 im Atelier (BA08-12) und 2 im Flur 2 im Untergeschoss des Bestandsgebäudes (BU02-08). Die blauen Becher auf dem Foto gehören nicht dazu.</t>
        </is>
      </c>
      <c r="AN298" s="22" t="inlineStr">
        <is>
          <t>Zusammengefasste Position über zwei Räume – Post-it-Nummer: BU02-08.</t>
        </is>
      </c>
    </row>
    <row r="299" ht="30" customHeight="1">
      <c r="A299" s="15" t="inlineStr">
        <is>
          <t>BU01-01</t>
        </is>
      </c>
      <c r="B299" s="15" t="n"/>
      <c r="C299" s="15" t="n"/>
      <c r="D299" s="15" t="inlineStr">
        <is>
          <t>BU01</t>
        </is>
      </c>
      <c r="E299" s="15" t="inlineStr">
        <is>
          <t>Hausbett Buche massiv</t>
        </is>
      </c>
      <c r="F299" s="16" t="inlineStr">
        <is>
          <t>Kinderbett in Hausform aus massiver Buche, natur geölt, mit Dachgiebel und umlaufendem Rahmen. Einschließlich Matratze.</t>
        </is>
      </c>
      <c r="G299" s="15" t="inlineStr">
        <is>
          <t>Kita-Ausstattung</t>
        </is>
      </c>
      <c r="H299" s="15" t="inlineStr">
        <is>
          <t>Flur 1</t>
        </is>
      </c>
      <c r="I299" s="15" t="inlineStr">
        <is>
          <t>A</t>
        </is>
      </c>
      <c r="J299" s="17" t="n">
        <v>1</v>
      </c>
      <c r="K299" s="17" t="n"/>
      <c r="L299" s="18">
        <f>J299-IF(K299="",0,K299)</f>
        <v/>
      </c>
      <c r="M299" s="15" t="inlineStr">
        <is>
          <t>Stück</t>
        </is>
      </c>
      <c r="N299" s="15" t="inlineStr">
        <is>
          <t>gut</t>
        </is>
      </c>
      <c r="O299" s="19" t="n"/>
      <c r="P299" s="19" t="inlineStr">
        <is>
          <t>ja</t>
        </is>
      </c>
      <c r="Q299" s="19" t="n"/>
      <c r="R299" s="20" t="n"/>
      <c r="S299" s="20" t="n">
        <v>220</v>
      </c>
      <c r="T299" s="19" t="inlineStr">
        <is>
          <t>VHB</t>
        </is>
      </c>
      <c r="U299" s="21">
        <f>L299*S299</f>
        <v/>
      </c>
      <c r="V299" s="15" t="inlineStr">
        <is>
          <t>nur Abholung</t>
        </is>
      </c>
      <c r="W299" s="15" t="inlineStr">
        <is>
          <t>F-356</t>
        </is>
      </c>
      <c r="X299" s="19" t="inlineStr">
        <is>
          <t>ja</t>
        </is>
      </c>
      <c r="Y299" s="19" t="n"/>
      <c r="Z299" s="19" t="inlineStr">
        <is>
          <t>verfügbar</t>
        </is>
      </c>
      <c r="AA299" s="19" t="n"/>
      <c r="AB299" s="19" t="n"/>
      <c r="AC299" s="19" t="n"/>
      <c r="AD299" s="19" t="n"/>
      <c r="AE299" s="20" t="n"/>
      <c r="AF299" s="21">
        <f>IF(K299="","",K299*AE299)</f>
        <v/>
      </c>
      <c r="AG299" s="19" t="n"/>
      <c r="AH299" s="19" t="n"/>
      <c r="AI299" s="19" t="n"/>
      <c r="AJ299" s="19" t="n"/>
      <c r="AK299" s="19" t="n"/>
      <c r="AL299" s="19" t="n"/>
      <c r="AM299" s="16" t="inlineStr">
        <is>
          <t>1 Bett einschließlich Matratze. Kissen und Bettschlange gehören nicht dazu.</t>
        </is>
      </c>
      <c r="AN299" s="22" t="n"/>
    </row>
    <row r="300" ht="30" customHeight="1">
      <c r="A300" s="15" t="inlineStr">
        <is>
          <t>BU01-02</t>
        </is>
      </c>
      <c r="B300" s="15" t="n"/>
      <c r="C300" s="15" t="n"/>
      <c r="D300" s="15" t="inlineStr">
        <is>
          <t>BU01</t>
        </is>
      </c>
      <c r="E300" s="15" t="inlineStr">
        <is>
          <t>Spielküche klein mit Mikrowelle</t>
        </is>
      </c>
      <c r="F300" s="16" t="inlineStr">
        <is>
          <t>Kleine Spielküche aus Birke-Multiplex mit weißen Fronten: Aufsatz mit Mikrowelle und zwei offenen Fächern, Arbeitsplatte mit Kochfeld, Spülbecken und Wasserhahn, darunter Backofen mit Sichtfenster und ein Schrank.</t>
        </is>
      </c>
      <c r="G300" s="15" t="inlineStr">
        <is>
          <t>Kita-Ausstattung</t>
        </is>
      </c>
      <c r="H300" s="15" t="inlineStr">
        <is>
          <t>Flur 1</t>
        </is>
      </c>
      <c r="I300" s="15" t="inlineStr">
        <is>
          <t>B</t>
        </is>
      </c>
      <c r="J300" s="17" t="n">
        <v>1</v>
      </c>
      <c r="K300" s="17" t="n"/>
      <c r="L300" s="18">
        <f>J300-IF(K300="",0,K300)</f>
        <v/>
      </c>
      <c r="M300" s="15" t="inlineStr">
        <is>
          <t>Stück</t>
        </is>
      </c>
      <c r="N300" s="15" t="inlineStr">
        <is>
          <t>gebraucht</t>
        </is>
      </c>
      <c r="O300" s="19" t="n"/>
      <c r="P300" s="19" t="inlineStr">
        <is>
          <t>ja</t>
        </is>
      </c>
      <c r="Q300" s="19" t="n"/>
      <c r="R300" s="20" t="n"/>
      <c r="S300" s="20" t="n">
        <v>60</v>
      </c>
      <c r="T300" s="19" t="inlineStr">
        <is>
          <t>VHB</t>
        </is>
      </c>
      <c r="U300" s="21">
        <f>L300*S300</f>
        <v/>
      </c>
      <c r="V300" s="15" t="inlineStr">
        <is>
          <t>nur Abholung</t>
        </is>
      </c>
      <c r="W300" s="15" t="inlineStr">
        <is>
          <t>F-355</t>
        </is>
      </c>
      <c r="X300" s="19" t="inlineStr">
        <is>
          <t>ja</t>
        </is>
      </c>
      <c r="Y300" s="19" t="n"/>
      <c r="Z300" s="19" t="inlineStr">
        <is>
          <t>verfügbar</t>
        </is>
      </c>
      <c r="AA300" s="19" t="n"/>
      <c r="AB300" s="19" t="n"/>
      <c r="AC300" s="19" t="n"/>
      <c r="AD300" s="19" t="n"/>
      <c r="AE300" s="20" t="n"/>
      <c r="AF300" s="21">
        <f>IF(K300="","",K300*AE300)</f>
        <v/>
      </c>
      <c r="AG300" s="19" t="n"/>
      <c r="AH300" s="19" t="n"/>
      <c r="AI300" s="19" t="n"/>
      <c r="AJ300" s="19" t="n"/>
      <c r="AK300" s="19" t="n"/>
      <c r="AL300" s="19" t="n"/>
      <c r="AM300" s="16" t="inlineStr">
        <is>
          <t>1 Küche. Spielgeschirr und Zubehör gehören nicht dazu. Weitere Spielküchen stehen unter NU03-03, NU07-03, BA03-02 und BU02-05.</t>
        </is>
      </c>
      <c r="AN300" s="22" t="n"/>
    </row>
    <row r="301" ht="30" customHeight="1">
      <c r="A301" s="15" t="inlineStr">
        <is>
          <t>BU01-04</t>
        </is>
      </c>
      <c r="B301" s="15" t="n"/>
      <c r="C301" s="15" t="n"/>
      <c r="D301" s="15" t="inlineStr">
        <is>
          <t>BU01</t>
        </is>
      </c>
      <c r="E301" s="15" t="inlineStr">
        <is>
          <t>Gestell Kiefer mit sechs Wannen</t>
        </is>
      </c>
      <c r="F301" s="16" t="inlineStr">
        <is>
          <t>Gestell aus Kiefer massiv mit sechs weißen Kunststoffwannen in zwei Reihen, als Spielzeugaufbewahrung genutzt.</t>
        </is>
      </c>
      <c r="G301" s="15" t="inlineStr">
        <is>
          <t>Kita-Ausstattung</t>
        </is>
      </c>
      <c r="H301" s="15" t="inlineStr">
        <is>
          <t>Flur 1</t>
        </is>
      </c>
      <c r="I301" s="15" t="inlineStr">
        <is>
          <t>B</t>
        </is>
      </c>
      <c r="J301" s="17" t="n">
        <v>1</v>
      </c>
      <c r="K301" s="17" t="n"/>
      <c r="L301" s="18">
        <f>J301-IF(K301="",0,K301)</f>
        <v/>
      </c>
      <c r="M301" s="15" t="inlineStr">
        <is>
          <t>Stück</t>
        </is>
      </c>
      <c r="N301" s="15" t="inlineStr">
        <is>
          <t>gebraucht</t>
        </is>
      </c>
      <c r="O301" s="19" t="n"/>
      <c r="P301" s="19" t="inlineStr">
        <is>
          <t>ja</t>
        </is>
      </c>
      <c r="Q301" s="19" t="n"/>
      <c r="R301" s="20" t="n"/>
      <c r="S301" s="20" t="n">
        <v>55</v>
      </c>
      <c r="T301" s="19" t="inlineStr">
        <is>
          <t>VHB</t>
        </is>
      </c>
      <c r="U301" s="21">
        <f>L301*S301</f>
        <v/>
      </c>
      <c r="V301" s="15" t="inlineStr">
        <is>
          <t>nur Abholung</t>
        </is>
      </c>
      <c r="W301" s="15" t="inlineStr">
        <is>
          <t>F-358</t>
        </is>
      </c>
      <c r="X301" s="19" t="inlineStr">
        <is>
          <t>ja</t>
        </is>
      </c>
      <c r="Y301" s="19" t="n"/>
      <c r="Z301" s="19" t="inlineStr">
        <is>
          <t>verfügbar</t>
        </is>
      </c>
      <c r="AA301" s="19" t="n"/>
      <c r="AB301" s="19" t="n"/>
      <c r="AC301" s="19" t="n"/>
      <c r="AD301" s="19" t="n"/>
      <c r="AE301" s="20" t="n"/>
      <c r="AF301" s="21">
        <f>IF(K301="","",K301*AE301)</f>
        <v/>
      </c>
      <c r="AG301" s="19" t="n"/>
      <c r="AH301" s="19" t="n"/>
      <c r="AI301" s="19" t="n"/>
      <c r="AJ301" s="19" t="n"/>
      <c r="AK301" s="19" t="n"/>
      <c r="AL301" s="19" t="n"/>
      <c r="AM301" s="16" t="inlineStr">
        <is>
          <t>1 Gestell einschließlich der Wannen. Der Inhalt gehört nicht dazu.</t>
        </is>
      </c>
      <c r="AN301" s="22" t="n"/>
    </row>
    <row r="302" ht="30" customHeight="1">
      <c r="A302" s="15" t="inlineStr">
        <is>
          <t>BU01-05</t>
        </is>
      </c>
      <c r="B302" s="15" t="n"/>
      <c r="C302" s="15" t="n"/>
      <c r="D302" s="15" t="inlineStr">
        <is>
          <t>BU01</t>
        </is>
      </c>
      <c r="E302" s="15" t="inlineStr">
        <is>
          <t>IKEA Småstad Kindertisch weiß</t>
        </is>
      </c>
      <c r="F302" s="16" t="inlineStr">
        <is>
          <t>Niedriger Kindertisch von IKEA in Weiß mit Seitenwangen, Etikett an der Unterseite: Småstad, 804.335.42. Die Platte ist stark verkratzt und mit einer Schutzfolie belegt.</t>
        </is>
      </c>
      <c r="G302" s="15" t="inlineStr">
        <is>
          <t>Kita-Ausstattung</t>
        </is>
      </c>
      <c r="H302" s="15" t="inlineStr">
        <is>
          <t>Flur 1</t>
        </is>
      </c>
      <c r="I302" s="15" t="inlineStr">
        <is>
          <t>B</t>
        </is>
      </c>
      <c r="J302" s="17" t="n">
        <v>2</v>
      </c>
      <c r="K302" s="17" t="n"/>
      <c r="L302" s="18">
        <f>J302-IF(K302="",0,K302)</f>
        <v/>
      </c>
      <c r="M302" s="15" t="inlineStr">
        <is>
          <t>Stück</t>
        </is>
      </c>
      <c r="N302" s="15" t="inlineStr">
        <is>
          <t>stark gebraucht</t>
        </is>
      </c>
      <c r="O302" s="19" t="n"/>
      <c r="P302" s="19" t="inlineStr">
        <is>
          <t>ja</t>
        </is>
      </c>
      <c r="Q302" s="19" t="n"/>
      <c r="R302" s="20" t="n"/>
      <c r="S302" s="20" t="n">
        <v>35</v>
      </c>
      <c r="T302" s="19" t="inlineStr">
        <is>
          <t>VHB</t>
        </is>
      </c>
      <c r="U302" s="21">
        <f>L302*S302</f>
        <v/>
      </c>
      <c r="V302" s="15" t="inlineStr">
        <is>
          <t>nur Abholung</t>
        </is>
      </c>
      <c r="W302" s="15" t="inlineStr">
        <is>
          <t>F-359</t>
        </is>
      </c>
      <c r="X302" s="19" t="inlineStr">
        <is>
          <t>ja</t>
        </is>
      </c>
      <c r="Y302" s="19" t="n"/>
      <c r="Z302" s="19" t="inlineStr">
        <is>
          <t>verfügbar</t>
        </is>
      </c>
      <c r="AA302" s="19" t="inlineStr">
        <is>
          <t>IKEA</t>
        </is>
      </c>
      <c r="AB302" s="19" t="n"/>
      <c r="AC302" s="19" t="n"/>
      <c r="AD302" s="19" t="n"/>
      <c r="AE302" s="20" t="n"/>
      <c r="AF302" s="21">
        <f>IF(K302="","",K302*AE302)</f>
        <v/>
      </c>
      <c r="AG302" s="19" t="n"/>
      <c r="AH302" s="19" t="n"/>
      <c r="AI302" s="19" t="n"/>
      <c r="AJ302" s="19" t="n"/>
      <c r="AK302" s="19" t="n"/>
      <c r="AL302" s="19" t="n"/>
      <c r="AM302" s="16" t="inlineStr">
        <is>
          <t>2 Tische – abgebildet ist einer davon. Das Etikett ist auf Foto F-360 zu sehen.</t>
        </is>
      </c>
      <c r="AN302" s="22" t="n"/>
    </row>
    <row r="303" ht="30" customHeight="1">
      <c r="A303" s="15" t="inlineStr">
        <is>
          <t>BU01-06</t>
        </is>
      </c>
      <c r="B303" s="15" t="n"/>
      <c r="C303" s="15" t="inlineStr">
        <is>
          <t>BU02-13</t>
        </is>
      </c>
      <c r="D303" s="15" t="inlineStr">
        <is>
          <t>BU01</t>
        </is>
      </c>
      <c r="E303" s="15" t="inlineStr">
        <is>
          <t>Wanddeko Lama, Steckwand</t>
        </is>
      </c>
      <c r="F303" s="16" t="inlineStr">
        <is>
          <t>Wandelement in Lamaform aus weiß lackiertem Holz mit grauen Ohren, Gesicht und Füßen, durchgehend gelocht zum Einstecken von Haken oder Stäben.</t>
        </is>
      </c>
      <c r="G303" s="15" t="inlineStr">
        <is>
          <t>Deko</t>
        </is>
      </c>
      <c r="H303" s="15" t="inlineStr">
        <is>
          <t>Flur 1</t>
        </is>
      </c>
      <c r="I303" s="15" t="inlineStr">
        <is>
          <t>C</t>
        </is>
      </c>
      <c r="J303" s="17" t="n">
        <v>3</v>
      </c>
      <c r="K303" s="17" t="n"/>
      <c r="L303" s="18">
        <f>J303-IF(K303="",0,K303)</f>
        <v/>
      </c>
      <c r="M303" s="15" t="inlineStr">
        <is>
          <t>Stück</t>
        </is>
      </c>
      <c r="N303" s="15" t="inlineStr">
        <is>
          <t>gebraucht</t>
        </is>
      </c>
      <c r="O303" s="19" t="n"/>
      <c r="P303" s="19" t="inlineStr">
        <is>
          <t>ja</t>
        </is>
      </c>
      <c r="Q303" s="19" t="n"/>
      <c r="R303" s="20" t="n"/>
      <c r="S303" s="20" t="n">
        <v>25</v>
      </c>
      <c r="T303" s="19" t="inlineStr">
        <is>
          <t>VHB</t>
        </is>
      </c>
      <c r="U303" s="21">
        <f>L303*S303</f>
        <v/>
      </c>
      <c r="V303" s="15" t="inlineStr">
        <is>
          <t>nur Abholung</t>
        </is>
      </c>
      <c r="W303" s="15" t="inlineStr">
        <is>
          <t>F-361</t>
        </is>
      </c>
      <c r="X303" s="19" t="inlineStr">
        <is>
          <t>ja</t>
        </is>
      </c>
      <c r="Y303" s="19" t="n"/>
      <c r="Z303" s="19" t="inlineStr">
        <is>
          <t>verfügbar</t>
        </is>
      </c>
      <c r="AA303" s="19" t="n"/>
      <c r="AB303" s="19" t="n"/>
      <c r="AC303" s="19" t="n"/>
      <c r="AD303" s="19" t="n"/>
      <c r="AE303" s="20" t="n"/>
      <c r="AF303" s="21">
        <f>IF(K303="","",K303*AE303)</f>
        <v/>
      </c>
      <c r="AG303" s="19" t="n"/>
      <c r="AH303" s="19" t="n"/>
      <c r="AI303" s="19" t="n"/>
      <c r="AJ303" s="19" t="n"/>
      <c r="AK303" s="19" t="n"/>
      <c r="AL303" s="19" t="n"/>
      <c r="AM303" s="16" t="inlineStr">
        <is>
          <t>3 Stück insgesamt: 2 im Flur 1 (BU01-06) und 1 im Flur 2 (BU02-13), beide im Untergeschoss des Bestandsgebäudes. Abgebildet ist eines davon.</t>
        </is>
      </c>
      <c r="AN303" s="22" t="inlineStr">
        <is>
          <t>Zusammengefasste Position über zwei Räume – Post-it-Nummer: BU02-13.</t>
        </is>
      </c>
    </row>
    <row r="304" ht="30" customHeight="1">
      <c r="A304" s="15" t="inlineStr">
        <is>
          <t>BU01-07</t>
        </is>
      </c>
      <c r="B304" s="15" t="n"/>
      <c r="C304" s="15" t="n"/>
      <c r="D304" s="15" t="inlineStr">
        <is>
          <t>BU01</t>
        </is>
      </c>
      <c r="E304" s="15" t="inlineStr">
        <is>
          <t>IKEA Grua Wandspiegel, schwarzer Rahmen</t>
        </is>
      </c>
      <c r="F304" s="16" t="inlineStr">
        <is>
          <t>Wandspiegel mit schmalem schwarzem Rahmen und abgerundeten Ecken. Etikett auf der Rückseite: Grua, IKEA.</t>
        </is>
      </c>
      <c r="G304" s="15" t="inlineStr">
        <is>
          <t>Deko</t>
        </is>
      </c>
      <c r="H304" s="15" t="inlineStr">
        <is>
          <t>Flur 1</t>
        </is>
      </c>
      <c r="I304" s="15" t="inlineStr">
        <is>
          <t>C</t>
        </is>
      </c>
      <c r="J304" s="17" t="n">
        <v>1</v>
      </c>
      <c r="K304" s="17" t="n"/>
      <c r="L304" s="18">
        <f>J304-IF(K304="",0,K304)</f>
        <v/>
      </c>
      <c r="M304" s="15" t="inlineStr">
        <is>
          <t>Stück</t>
        </is>
      </c>
      <c r="N304" s="15" t="inlineStr">
        <is>
          <t>gebraucht</t>
        </is>
      </c>
      <c r="O304" s="19" t="n"/>
      <c r="P304" s="19" t="inlineStr">
        <is>
          <t>ja</t>
        </is>
      </c>
      <c r="Q304" s="19" t="n"/>
      <c r="R304" s="20" t="n"/>
      <c r="S304" s="20" t="n">
        <v>25</v>
      </c>
      <c r="T304" s="19" t="inlineStr">
        <is>
          <t>VHB</t>
        </is>
      </c>
      <c r="U304" s="21">
        <f>L304*S304</f>
        <v/>
      </c>
      <c r="V304" s="15" t="inlineStr">
        <is>
          <t>nur Abholung</t>
        </is>
      </c>
      <c r="W304" s="15" t="inlineStr">
        <is>
          <t>F-362</t>
        </is>
      </c>
      <c r="X304" s="19" t="inlineStr">
        <is>
          <t>ja</t>
        </is>
      </c>
      <c r="Y304" s="19" t="n"/>
      <c r="Z304" s="19" t="inlineStr">
        <is>
          <t>verfügbar</t>
        </is>
      </c>
      <c r="AA304" s="19" t="inlineStr">
        <is>
          <t>IKEA</t>
        </is>
      </c>
      <c r="AB304" s="19" t="n"/>
      <c r="AC304" s="19" t="n"/>
      <c r="AD304" s="19" t="n"/>
      <c r="AE304" s="20" t="n"/>
      <c r="AF304" s="21">
        <f>IF(K304="","",K304*AE304)</f>
        <v/>
      </c>
      <c r="AG304" s="19" t="n"/>
      <c r="AH304" s="19" t="n"/>
      <c r="AI304" s="19" t="n"/>
      <c r="AJ304" s="19" t="n"/>
      <c r="AK304" s="19" t="n"/>
      <c r="AL304" s="19" t="n"/>
      <c r="AM304" s="16" t="inlineStr">
        <is>
          <t>1 Spiegel. Das Etikett ist auf Foto F-363 zu sehen.</t>
        </is>
      </c>
      <c r="AN304" s="22" t="n"/>
    </row>
    <row r="305" ht="30" customHeight="1">
      <c r="A305" s="15" t="inlineStr">
        <is>
          <t>BU02-01</t>
        </is>
      </c>
      <c r="B305" s="15" t="n"/>
      <c r="C305" s="15" t="n"/>
      <c r="D305" s="15" t="inlineStr">
        <is>
          <t>BU02</t>
        </is>
      </c>
      <c r="E305" s="15" t="inlineStr">
        <is>
          <t>Hausbett Holz natur mit Stoffdach</t>
        </is>
      </c>
      <c r="F305" s="16" t="inlineStr">
        <is>
          <t>Bodenbett in Hausform aus hellem Massivholz mit vier Pfosten und aufgelegtem Stoffdach in Creme mit schwarzer Zackenkante und aufgesticktem Wolkenmotiv. Einschließlich Matratze.</t>
        </is>
      </c>
      <c r="G305" s="15" t="inlineStr">
        <is>
          <t>Kita-Ausstattung</t>
        </is>
      </c>
      <c r="H305" s="15" t="inlineStr">
        <is>
          <t>Flur 2</t>
        </is>
      </c>
      <c r="I305" s="15" t="inlineStr">
        <is>
          <t>A</t>
        </is>
      </c>
      <c r="J305" s="17" t="n">
        <v>1</v>
      </c>
      <c r="K305" s="17" t="n"/>
      <c r="L305" s="18">
        <f>J305-IF(K305="",0,K305)</f>
        <v/>
      </c>
      <c r="M305" s="15" t="inlineStr">
        <is>
          <t>Stück</t>
        </is>
      </c>
      <c r="N305" s="15" t="inlineStr">
        <is>
          <t>gut</t>
        </is>
      </c>
      <c r="O305" s="19" t="n"/>
      <c r="P305" s="19" t="inlineStr">
        <is>
          <t>ja</t>
        </is>
      </c>
      <c r="Q305" s="19" t="n"/>
      <c r="R305" s="20" t="n"/>
      <c r="S305" s="20" t="n">
        <v>180</v>
      </c>
      <c r="T305" s="19" t="inlineStr">
        <is>
          <t>VHB</t>
        </is>
      </c>
      <c r="U305" s="21">
        <f>L305*S305</f>
        <v/>
      </c>
      <c r="V305" s="15" t="inlineStr">
        <is>
          <t>nur Abholung</t>
        </is>
      </c>
      <c r="W305" s="15" t="inlineStr">
        <is>
          <t>F-365</t>
        </is>
      </c>
      <c r="X305" s="19" t="inlineStr">
        <is>
          <t>ja</t>
        </is>
      </c>
      <c r="Y305" s="19" t="n"/>
      <c r="Z305" s="19" t="inlineStr">
        <is>
          <t>verfügbar</t>
        </is>
      </c>
      <c r="AA305" s="19" t="n"/>
      <c r="AB305" s="19" t="n"/>
      <c r="AC305" s="19" t="n"/>
      <c r="AD305" s="19" t="n"/>
      <c r="AE305" s="20" t="n"/>
      <c r="AF305" s="21">
        <f>IF(K305="","",K305*AE305)</f>
        <v/>
      </c>
      <c r="AG305" s="19" t="n"/>
      <c r="AH305" s="19" t="n"/>
      <c r="AI305" s="19" t="n"/>
      <c r="AJ305" s="19" t="n"/>
      <c r="AK305" s="19" t="n"/>
      <c r="AL305" s="19" t="n"/>
      <c r="AM305" s="16" t="inlineStr">
        <is>
          <t>1 Bett mit Stoffdach und Matratze. Kissen, Decke und Puppe gehören nicht dazu. Weitere Hausbetten stehen unter BU01-01 und NU07-01.</t>
        </is>
      </c>
      <c r="AN305" s="22" t="n"/>
    </row>
    <row r="306" ht="30" customHeight="1">
      <c r="A306" s="15" t="inlineStr">
        <is>
          <t>BU02-02</t>
        </is>
      </c>
      <c r="B306" s="15" t="n"/>
      <c r="C306" s="15" t="n"/>
      <c r="D306" s="15" t="inlineStr">
        <is>
          <t>BU02</t>
        </is>
      </c>
      <c r="E306" s="15" t="inlineStr">
        <is>
          <t>Nachtlicht Marienkäfer, schwarz</t>
        </is>
      </c>
      <c r="F306" s="16" t="inlineStr">
        <is>
          <t>Steckdosen-Nachtlicht in Marienkäferform aus schwarzem Kunststoff mit geprägten Punkten und Fühlern.</t>
        </is>
      </c>
      <c r="G306" s="15" t="inlineStr">
        <is>
          <t>Leuchten</t>
        </is>
      </c>
      <c r="H306" s="15" t="inlineStr">
        <is>
          <t>Flur 2</t>
        </is>
      </c>
      <c r="I306" s="15" t="inlineStr">
        <is>
          <t>C</t>
        </is>
      </c>
      <c r="J306" s="17" t="n">
        <v>2</v>
      </c>
      <c r="K306" s="17" t="n"/>
      <c r="L306" s="18">
        <f>J306-IF(K306="",0,K306)</f>
        <v/>
      </c>
      <c r="M306" s="15" t="inlineStr">
        <is>
          <t>Stück</t>
        </is>
      </c>
      <c r="N306" s="15" t="inlineStr">
        <is>
          <t>gebraucht</t>
        </is>
      </c>
      <c r="O306" s="19" t="n"/>
      <c r="P306" s="19" t="inlineStr">
        <is>
          <t>ja</t>
        </is>
      </c>
      <c r="Q306" s="19" t="n"/>
      <c r="R306" s="20" t="n"/>
      <c r="S306" s="20" t="n">
        <v>15</v>
      </c>
      <c r="T306" s="19" t="inlineStr">
        <is>
          <t>VHB</t>
        </is>
      </c>
      <c r="U306" s="21">
        <f>L306*S306</f>
        <v/>
      </c>
      <c r="V306" s="15" t="inlineStr">
        <is>
          <t>Versand möglich</t>
        </is>
      </c>
      <c r="W306" s="15" t="inlineStr">
        <is>
          <t>F-366</t>
        </is>
      </c>
      <c r="X306" s="19" t="inlineStr">
        <is>
          <t>ja</t>
        </is>
      </c>
      <c r="Y306" s="19" t="n"/>
      <c r="Z306" s="19" t="inlineStr">
        <is>
          <t>verfügbar</t>
        </is>
      </c>
      <c r="AA306" s="19" t="n"/>
      <c r="AB306" s="19" t="n"/>
      <c r="AC306" s="19" t="n"/>
      <c r="AD306" s="19" t="n"/>
      <c r="AE306" s="20" t="n"/>
      <c r="AF306" s="21">
        <f>IF(K306="","",K306*AE306)</f>
        <v/>
      </c>
      <c r="AG306" s="19" t="n"/>
      <c r="AH306" s="19" t="n"/>
      <c r="AI306" s="19" t="n"/>
      <c r="AJ306" s="19" t="n"/>
      <c r="AK306" s="19" t="n"/>
      <c r="AL306" s="19" t="n"/>
      <c r="AM306" s="16" t="inlineStr">
        <is>
          <t>2 Stück – abgebildet ist eines davon.</t>
        </is>
      </c>
      <c r="AN306" s="22" t="n"/>
    </row>
    <row r="307" ht="30" customHeight="1">
      <c r="A307" s="15" t="inlineStr">
        <is>
          <t>BU02-03</t>
        </is>
      </c>
      <c r="B307" s="15" t="n"/>
      <c r="C307" s="15" t="n"/>
      <c r="D307" s="15" t="inlineStr">
        <is>
          <t>BU02</t>
        </is>
      </c>
      <c r="E307" s="15" t="inlineStr">
        <is>
          <t>Kindertisch weiß, oval, aus vier Segmenten</t>
        </is>
      </c>
      <c r="F307" s="16" t="inlineStr">
        <is>
          <t>Vier Tischsegmente mit weißer Platte und Multiplex-Kante auf verchromten Rundfüßen in Kinderhöhe: zwei halbrunde Endstücke und zwei Mittelstücke. Zusammengestellt ergeben sie einen großen ovalen Gruppentisch, einzeln sind sie frei kombinierbar.</t>
        </is>
      </c>
      <c r="G307" s="15" t="inlineStr">
        <is>
          <t>Möbel</t>
        </is>
      </c>
      <c r="H307" s="15" t="inlineStr">
        <is>
          <t>Flur 2</t>
        </is>
      </c>
      <c r="I307" s="15" t="inlineStr">
        <is>
          <t>A</t>
        </is>
      </c>
      <c r="J307" s="17" t="n">
        <v>1</v>
      </c>
      <c r="K307" s="17" t="n"/>
      <c r="L307" s="18">
        <f>J307-IF(K307="",0,K307)</f>
        <v/>
      </c>
      <c r="M307" s="15" t="inlineStr">
        <is>
          <t>Set</t>
        </is>
      </c>
      <c r="N307" s="15" t="inlineStr">
        <is>
          <t>gebraucht</t>
        </is>
      </c>
      <c r="O307" s="19" t="n"/>
      <c r="P307" s="19" t="inlineStr">
        <is>
          <t>ja</t>
        </is>
      </c>
      <c r="Q307" s="19" t="n"/>
      <c r="R307" s="20" t="n"/>
      <c r="S307" s="20" t="n">
        <v>160</v>
      </c>
      <c r="T307" s="19" t="inlineStr">
        <is>
          <t>VHB</t>
        </is>
      </c>
      <c r="U307" s="21">
        <f>L307*S307</f>
        <v/>
      </c>
      <c r="V307" s="15" t="inlineStr">
        <is>
          <t>nur Abholung</t>
        </is>
      </c>
      <c r="W307" s="15" t="inlineStr">
        <is>
          <t>F-367</t>
        </is>
      </c>
      <c r="X307" s="19" t="inlineStr">
        <is>
          <t>ja</t>
        </is>
      </c>
      <c r="Y307" s="19" t="n"/>
      <c r="Z307" s="19" t="inlineStr">
        <is>
          <t>verfügbar</t>
        </is>
      </c>
      <c r="AA307" s="19" t="n"/>
      <c r="AB307" s="19" t="n"/>
      <c r="AC307" s="19" t="n"/>
      <c r="AD307" s="19" t="n"/>
      <c r="AE307" s="20" t="n"/>
      <c r="AF307" s="21">
        <f>IF(K307="","",K307*AE307)</f>
        <v/>
      </c>
      <c r="AG307" s="19" t="n"/>
      <c r="AH307" s="19" t="n"/>
      <c r="AI307" s="19" t="n"/>
      <c r="AJ307" s="19" t="n"/>
      <c r="AK307" s="19" t="n"/>
      <c r="AL307" s="19" t="n"/>
      <c r="AM307" s="16" t="inlineStr">
        <is>
          <t>1 Tischgruppe aus vier Segmenten. Eine zweite Tischgruppe in Sechseckform steht unter NU02-23.</t>
        </is>
      </c>
      <c r="AN307" s="22" t="n"/>
    </row>
    <row r="308" ht="30" customHeight="1">
      <c r="A308" s="15" t="inlineStr">
        <is>
          <t>BU02-05</t>
        </is>
      </c>
      <c r="B308" s="15" t="n"/>
      <c r="C308" s="15" t="n"/>
      <c r="D308" s="15" t="inlineStr">
        <is>
          <t>BU02</t>
        </is>
      </c>
      <c r="E308" s="15" t="inlineStr">
        <is>
          <t>IKEA Duktig Spielküche mit Mikrowelle</t>
        </is>
      </c>
      <c r="F308" s="16" t="inlineStr">
        <is>
          <t>Spielküche von IKEA aus Birkenholz mit weißen Fronten: Aufsatz mit Mikrowelle und offenen Fächern, Arbeitsplatte mit Kochfeld, Spülbecken und Wasserhahn, darunter Backofen mit Sichtfenster und ein Schrank.</t>
        </is>
      </c>
      <c r="G308" s="15" t="inlineStr">
        <is>
          <t>Kita-Ausstattung</t>
        </is>
      </c>
      <c r="H308" s="15" t="inlineStr">
        <is>
          <t>Flur 2</t>
        </is>
      </c>
      <c r="I308" s="15" t="inlineStr">
        <is>
          <t>B</t>
        </is>
      </c>
      <c r="J308" s="17" t="n">
        <v>1</v>
      </c>
      <c r="K308" s="17" t="n"/>
      <c r="L308" s="18">
        <f>J308-IF(K308="",0,K308)</f>
        <v/>
      </c>
      <c r="M308" s="15" t="inlineStr">
        <is>
          <t>Stück</t>
        </is>
      </c>
      <c r="N308" s="15" t="inlineStr">
        <is>
          <t>gebraucht</t>
        </is>
      </c>
      <c r="O308" s="19" t="n"/>
      <c r="P308" s="19" t="inlineStr">
        <is>
          <t>ja</t>
        </is>
      </c>
      <c r="Q308" s="19" t="n"/>
      <c r="R308" s="20" t="n"/>
      <c r="S308" s="20" t="n">
        <v>60</v>
      </c>
      <c r="T308" s="19" t="inlineStr">
        <is>
          <t>VHB</t>
        </is>
      </c>
      <c r="U308" s="21">
        <f>L308*S308</f>
        <v/>
      </c>
      <c r="V308" s="15" t="inlineStr">
        <is>
          <t>nur Abholung</t>
        </is>
      </c>
      <c r="W308" s="15" t="inlineStr">
        <is>
          <t>F-369</t>
        </is>
      </c>
      <c r="X308" s="19" t="inlineStr">
        <is>
          <t>ja</t>
        </is>
      </c>
      <c r="Y308" s="19" t="n"/>
      <c r="Z308" s="19" t="inlineStr">
        <is>
          <t>verfügbar</t>
        </is>
      </c>
      <c r="AA308" s="19" t="inlineStr">
        <is>
          <t>IKEA</t>
        </is>
      </c>
      <c r="AB308" s="19" t="n"/>
      <c r="AC308" s="19" t="n"/>
      <c r="AD308" s="19" t="n"/>
      <c r="AE308" s="20" t="n"/>
      <c r="AF308" s="21">
        <f>IF(K308="","",K308*AE308)</f>
        <v/>
      </c>
      <c r="AG308" s="19" t="n"/>
      <c r="AH308" s="19" t="n"/>
      <c r="AI308" s="19" t="n"/>
      <c r="AJ308" s="19" t="n"/>
      <c r="AK308" s="19" t="n"/>
      <c r="AL308" s="19" t="n"/>
      <c r="AM308" s="16" t="inlineStr">
        <is>
          <t>1 Küche. Spielgeschirr, Vorratsgläser und Zubehör gehören nicht dazu. Weitere Spielküchen stehen unter NU03-03, NU07-03, BA03-02 und BU01-02.</t>
        </is>
      </c>
      <c r="AN308" s="22" t="n"/>
    </row>
    <row r="309" ht="30" customHeight="1">
      <c r="A309" s="15" t="inlineStr">
        <is>
          <t>BU02-06</t>
        </is>
      </c>
      <c r="B309" s="15" t="n"/>
      <c r="C309" s="15" t="n"/>
      <c r="D309" s="15" t="inlineStr">
        <is>
          <t>BU02</t>
        </is>
      </c>
      <c r="E309" s="15" t="inlineStr">
        <is>
          <t>Kinder-Putzständer, fünfteilig</t>
        </is>
      </c>
      <c r="F309" s="16" t="inlineStr">
        <is>
          <t>Ständer aus Holz und Metall in Weiß mit Ablagekasten und aufgehängtem Kinder-Reinigungsgerät: Besen, Schrubber, Kehrblech und Staubwedel.</t>
        </is>
      </c>
      <c r="G309" s="15" t="inlineStr">
        <is>
          <t>Kita-Ausstattung</t>
        </is>
      </c>
      <c r="H309" s="15" t="inlineStr">
        <is>
          <t>Flur 2</t>
        </is>
      </c>
      <c r="I309" s="15" t="inlineStr">
        <is>
          <t>C</t>
        </is>
      </c>
      <c r="J309" s="17" t="n">
        <v>1</v>
      </c>
      <c r="K309" s="17" t="n"/>
      <c r="L309" s="18">
        <f>J309-IF(K309="",0,K309)</f>
        <v/>
      </c>
      <c r="M309" s="15" t="inlineStr">
        <is>
          <t>Stück</t>
        </is>
      </c>
      <c r="N309" s="15" t="inlineStr">
        <is>
          <t>gebraucht</t>
        </is>
      </c>
      <c r="O309" s="19" t="n"/>
      <c r="P309" s="19" t="inlineStr">
        <is>
          <t>ja</t>
        </is>
      </c>
      <c r="Q309" s="19" t="n"/>
      <c r="R309" s="20" t="n"/>
      <c r="S309" s="20" t="n">
        <v>25</v>
      </c>
      <c r="T309" s="19" t="inlineStr">
        <is>
          <t>VHB</t>
        </is>
      </c>
      <c r="U309" s="21">
        <f>L309*S309</f>
        <v/>
      </c>
      <c r="V309" s="15" t="inlineStr">
        <is>
          <t>nur Abholung</t>
        </is>
      </c>
      <c r="W309" s="15" t="inlineStr">
        <is>
          <t>F-370</t>
        </is>
      </c>
      <c r="X309" s="19" t="inlineStr">
        <is>
          <t>ja</t>
        </is>
      </c>
      <c r="Y309" s="19" t="n"/>
      <c r="Z309" s="19" t="inlineStr">
        <is>
          <t>verfügbar</t>
        </is>
      </c>
      <c r="AA309" s="19" t="n"/>
      <c r="AB309" s="19" t="n"/>
      <c r="AC309" s="19" t="n"/>
      <c r="AD309" s="19" t="n"/>
      <c r="AE309" s="20" t="n"/>
      <c r="AF309" s="21">
        <f>IF(K309="","",K309*AE309)</f>
        <v/>
      </c>
      <c r="AG309" s="19" t="n"/>
      <c r="AH309" s="19" t="n"/>
      <c r="AI309" s="19" t="n"/>
      <c r="AJ309" s="19" t="n"/>
      <c r="AK309" s="19" t="n"/>
      <c r="AL309" s="19" t="n"/>
      <c r="AM309" s="16" t="inlineStr">
        <is>
          <t>1 Ständer mit fünf Teilen.</t>
        </is>
      </c>
      <c r="AN309" s="22" t="n"/>
    </row>
    <row r="310" ht="30" customHeight="1">
      <c r="A310" s="15" t="inlineStr">
        <is>
          <t>BU02-09</t>
        </is>
      </c>
      <c r="B310" s="15" t="n"/>
      <c r="C310" s="15" t="n"/>
      <c r="D310" s="15" t="inlineStr">
        <is>
          <t>BU02</t>
        </is>
      </c>
      <c r="E310" s="15" t="inlineStr">
        <is>
          <t>Acrylbild Herz auf Strahlenkranz</t>
        </is>
      </c>
      <c r="F310" s="16" t="inlineStr">
        <is>
          <t>Acryl auf Leinwand im Hochformat: breite Pinselstriche in Pink, Magenta und Grau strahlenförmig um ein ausgespartes weißes Herz. Eigenarbeit einer Privatperson, nicht signiert.</t>
        </is>
      </c>
      <c r="G310" s="15" t="inlineStr">
        <is>
          <t>Kunst</t>
        </is>
      </c>
      <c r="H310" s="15" t="inlineStr">
        <is>
          <t>Flur 2</t>
        </is>
      </c>
      <c r="I310" s="15" t="inlineStr">
        <is>
          <t>B</t>
        </is>
      </c>
      <c r="J310" s="17" t="n">
        <v>1</v>
      </c>
      <c r="K310" s="17" t="n"/>
      <c r="L310" s="18">
        <f>J310-IF(K310="",0,K310)</f>
        <v/>
      </c>
      <c r="M310" s="15" t="inlineStr">
        <is>
          <t>Stück</t>
        </is>
      </c>
      <c r="N310" s="15" t="inlineStr">
        <is>
          <t>gut</t>
        </is>
      </c>
      <c r="O310" s="19" t="n"/>
      <c r="P310" s="19" t="inlineStr">
        <is>
          <t>ja</t>
        </is>
      </c>
      <c r="Q310" s="19" t="n"/>
      <c r="R310" s="20" t="n"/>
      <c r="S310" s="20" t="n">
        <v>80</v>
      </c>
      <c r="T310" s="19" t="inlineStr">
        <is>
          <t>VHB</t>
        </is>
      </c>
      <c r="U310" s="21">
        <f>L310*S310</f>
        <v/>
      </c>
      <c r="V310" s="15" t="inlineStr">
        <is>
          <t>Versand möglich</t>
        </is>
      </c>
      <c r="W310" s="15" t="inlineStr">
        <is>
          <t>F-373</t>
        </is>
      </c>
      <c r="X310" s="19" t="inlineStr">
        <is>
          <t>ja</t>
        </is>
      </c>
      <c r="Y310" s="19" t="n"/>
      <c r="Z310" s="19" t="inlineStr">
        <is>
          <t>verfügbar</t>
        </is>
      </c>
      <c r="AA310" s="19" t="n"/>
      <c r="AB310" s="19" t="n"/>
      <c r="AC310" s="19" t="n"/>
      <c r="AD310" s="19" t="n"/>
      <c r="AE310" s="20" t="n"/>
      <c r="AF310" s="21">
        <f>IF(K310="","",K310*AE310)</f>
        <v/>
      </c>
      <c r="AG310" s="19" t="n"/>
      <c r="AH310" s="19" t="n"/>
      <c r="AI310" s="19" t="n"/>
      <c r="AJ310" s="19" t="n"/>
      <c r="AK310" s="19" t="n"/>
      <c r="AL310" s="19" t="n"/>
      <c r="AM310" s="16" t="inlineStr">
        <is>
          <t>1 Bild auf Keilrahmen, ungerahmt.</t>
        </is>
      </c>
      <c r="AN310" s="22" t="n"/>
    </row>
    <row r="311" ht="30" customHeight="1">
      <c r="A311" s="15" t="inlineStr">
        <is>
          <t>BU02-10</t>
        </is>
      </c>
      <c r="B311" s="15" t="n"/>
      <c r="C311" s="15" t="n"/>
      <c r="D311" s="15" t="inlineStr">
        <is>
          <t>BU02</t>
        </is>
      </c>
      <c r="E311" s="15" t="inlineStr">
        <is>
          <t>Spieltisch Kiefer mit herausnehmbaren Platten</t>
        </is>
      </c>
      <c r="F311" s="16" t="inlineStr">
        <is>
          <t>Kindertisch aus Kiefer massiv mit zwei herausnehmbaren weißen Platten. Darunter liegen Wannen, sodass der Tisch als Spiel- und Materialtisch genutzt werden kann. Die Platten sind an den Kanten großflächig abgeplatzt.</t>
        </is>
      </c>
      <c r="G311" s="15" t="inlineStr">
        <is>
          <t>Kita-Ausstattung</t>
        </is>
      </c>
      <c r="H311" s="15" t="inlineStr">
        <is>
          <t>Flur 2</t>
        </is>
      </c>
      <c r="I311" s="15" t="inlineStr">
        <is>
          <t>B</t>
        </is>
      </c>
      <c r="J311" s="17" t="n">
        <v>2</v>
      </c>
      <c r="K311" s="17" t="n"/>
      <c r="L311" s="18">
        <f>J311-IF(K311="",0,K311)</f>
        <v/>
      </c>
      <c r="M311" s="15" t="inlineStr">
        <is>
          <t>Stück</t>
        </is>
      </c>
      <c r="N311" s="15" t="inlineStr">
        <is>
          <t>stark gebraucht</t>
        </is>
      </c>
      <c r="O311" s="19" t="n"/>
      <c r="P311" s="19" t="inlineStr">
        <is>
          <t>ja</t>
        </is>
      </c>
      <c r="Q311" s="19" t="n"/>
      <c r="R311" s="20" t="n"/>
      <c r="S311" s="20" t="n">
        <v>40</v>
      </c>
      <c r="T311" s="19" t="inlineStr">
        <is>
          <t>VHB</t>
        </is>
      </c>
      <c r="U311" s="21">
        <f>L311*S311</f>
        <v/>
      </c>
      <c r="V311" s="15" t="inlineStr">
        <is>
          <t>nur Abholung</t>
        </is>
      </c>
      <c r="W311" s="15" t="inlineStr">
        <is>
          <t>F-374</t>
        </is>
      </c>
      <c r="X311" s="19" t="inlineStr">
        <is>
          <t>ja</t>
        </is>
      </c>
      <c r="Y311" s="19" t="n"/>
      <c r="Z311" s="19" t="inlineStr">
        <is>
          <t>verfügbar</t>
        </is>
      </c>
      <c r="AA311" s="19" t="n"/>
      <c r="AB311" s="19" t="n"/>
      <c r="AC311" s="19" t="n"/>
      <c r="AD311" s="19" t="n"/>
      <c r="AE311" s="20" t="n"/>
      <c r="AF311" s="21">
        <f>IF(K311="","",K311*AE311)</f>
        <v/>
      </c>
      <c r="AG311" s="19" t="n"/>
      <c r="AH311" s="19" t="n"/>
      <c r="AI311" s="19" t="n"/>
      <c r="AJ311" s="19" t="n"/>
      <c r="AK311" s="19" t="n"/>
      <c r="AL311" s="19" t="n"/>
      <c r="AM311" s="16" t="inlineStr">
        <is>
          <t>2 Tische einschließlich der Platten und Wannen – abgebildet ist einer davon. Der Inhalt gehört nicht dazu.</t>
        </is>
      </c>
      <c r="AN311" s="22" t="n"/>
    </row>
    <row r="312" ht="30" customHeight="1">
      <c r="A312" s="15" t="inlineStr">
        <is>
          <t>BU02-12</t>
        </is>
      </c>
      <c r="B312" s="15" t="n"/>
      <c r="C312" s="15" t="n"/>
      <c r="D312" s="15" t="inlineStr">
        <is>
          <t>BU02</t>
        </is>
      </c>
      <c r="E312" s="15" t="inlineStr">
        <is>
          <t>Wandregal weiß mit drei Wannen, geschwungen</t>
        </is>
      </c>
      <c r="F312" s="16" t="inlineStr">
        <is>
          <t>Weißes Wandelement mit geschwungener Front, drei Fächern und drei eingeschobenen Kunststoffwannen.</t>
        </is>
      </c>
      <c r="G312" s="15" t="inlineStr">
        <is>
          <t>Kita-Ausstattung</t>
        </is>
      </c>
      <c r="H312" s="15" t="inlineStr">
        <is>
          <t>Flur 2</t>
        </is>
      </c>
      <c r="I312" s="15" t="inlineStr">
        <is>
          <t>B</t>
        </is>
      </c>
      <c r="J312" s="17" t="n">
        <v>1</v>
      </c>
      <c r="K312" s="17" t="n"/>
      <c r="L312" s="18">
        <f>J312-IF(K312="",0,K312)</f>
        <v/>
      </c>
      <c r="M312" s="15" t="inlineStr">
        <is>
          <t>Stück</t>
        </is>
      </c>
      <c r="N312" s="15" t="inlineStr">
        <is>
          <t>gebraucht</t>
        </is>
      </c>
      <c r="O312" s="19" t="n"/>
      <c r="P312" s="19" t="inlineStr">
        <is>
          <t>ja</t>
        </is>
      </c>
      <c r="Q312" s="19" t="n"/>
      <c r="R312" s="20" t="n"/>
      <c r="S312" s="20" t="n">
        <v>35</v>
      </c>
      <c r="T312" s="19" t="inlineStr">
        <is>
          <t>VHB</t>
        </is>
      </c>
      <c r="U312" s="21">
        <f>L312*S312</f>
        <v/>
      </c>
      <c r="V312" s="15" t="inlineStr">
        <is>
          <t>nur Abholung</t>
        </is>
      </c>
      <c r="W312" s="15" t="inlineStr">
        <is>
          <t>F-376</t>
        </is>
      </c>
      <c r="X312" s="19" t="inlineStr">
        <is>
          <t>ja</t>
        </is>
      </c>
      <c r="Y312" s="19" t="n"/>
      <c r="Z312" s="19" t="inlineStr">
        <is>
          <t>verfügbar</t>
        </is>
      </c>
      <c r="AA312" s="19" t="n"/>
      <c r="AB312" s="19" t="n"/>
      <c r="AC312" s="19" t="n"/>
      <c r="AD312" s="19" t="n"/>
      <c r="AE312" s="20" t="n"/>
      <c r="AF312" s="21">
        <f>IF(K312="","",K312*AE312)</f>
        <v/>
      </c>
      <c r="AG312" s="19" t="n"/>
      <c r="AH312" s="19" t="n"/>
      <c r="AI312" s="19" t="n"/>
      <c r="AJ312" s="19" t="n"/>
      <c r="AK312" s="19" t="n"/>
      <c r="AL312" s="19" t="n"/>
      <c r="AM312" s="16" t="inlineStr">
        <is>
          <t>1 Regal einschließlich der Wannen. Gerade Wandregale gleicher Bauart stehen unter NE01-21.</t>
        </is>
      </c>
      <c r="AN312" s="22" t="n"/>
    </row>
    <row r="313" ht="30" customHeight="1">
      <c r="A313" s="15" t="inlineStr">
        <is>
          <t>BU02-15</t>
        </is>
      </c>
      <c r="B313" s="15" t="n"/>
      <c r="C313" s="15" t="n"/>
      <c r="D313" s="15" t="inlineStr">
        <is>
          <t>BU02</t>
        </is>
      </c>
      <c r="E313" s="15" t="inlineStr">
        <is>
          <t>Bodensitzkissen beige, selbststehend</t>
        </is>
      </c>
      <c r="F313" s="16" t="inlineStr">
        <is>
          <t>Selbststehendes Bodensitzkissen aus beigem Leinenstoff mit gesteppten Feldern, Rückenlehne und langer Sitzfläche. Die Lehne lässt sich flach ausklappen.</t>
        </is>
      </c>
      <c r="G313" s="15" t="inlineStr">
        <is>
          <t>Textilien</t>
        </is>
      </c>
      <c r="H313" s="15" t="inlineStr">
        <is>
          <t>Flur 2</t>
        </is>
      </c>
      <c r="I313" s="15" t="inlineStr">
        <is>
          <t>C</t>
        </is>
      </c>
      <c r="J313" s="17" t="n">
        <v>2</v>
      </c>
      <c r="K313" s="17" t="n"/>
      <c r="L313" s="18">
        <f>J313-IF(K313="",0,K313)</f>
        <v/>
      </c>
      <c r="M313" s="15" t="inlineStr">
        <is>
          <t>Stück</t>
        </is>
      </c>
      <c r="N313" s="15" t="inlineStr">
        <is>
          <t>gebraucht</t>
        </is>
      </c>
      <c r="O313" s="19" t="n"/>
      <c r="P313" s="19" t="inlineStr">
        <is>
          <t>ja</t>
        </is>
      </c>
      <c r="Q313" s="19" t="n"/>
      <c r="R313" s="20" t="n"/>
      <c r="S313" s="20" t="n">
        <v>25</v>
      </c>
      <c r="T313" s="19" t="inlineStr">
        <is>
          <t>VHB</t>
        </is>
      </c>
      <c r="U313" s="21">
        <f>L313*S313</f>
        <v/>
      </c>
      <c r="V313" s="15" t="inlineStr">
        <is>
          <t>nur Abholung</t>
        </is>
      </c>
      <c r="W313" s="15" t="inlineStr">
        <is>
          <t>F-379</t>
        </is>
      </c>
      <c r="X313" s="19" t="inlineStr">
        <is>
          <t>ja</t>
        </is>
      </c>
      <c r="Y313" s="19" t="n"/>
      <c r="Z313" s="19" t="inlineStr">
        <is>
          <t>verfügbar</t>
        </is>
      </c>
      <c r="AA313" s="19" t="n"/>
      <c r="AB313" s="19" t="n"/>
      <c r="AC313" s="19" t="n"/>
      <c r="AD313" s="19" t="n"/>
      <c r="AE313" s="20" t="n"/>
      <c r="AF313" s="21">
        <f>IF(K313="","",K313*AE313)</f>
        <v/>
      </c>
      <c r="AG313" s="19" t="n"/>
      <c r="AH313" s="19" t="n"/>
      <c r="AI313" s="19" t="n"/>
      <c r="AJ313" s="19" t="n"/>
      <c r="AK313" s="19" t="n"/>
      <c r="AL313" s="19" t="n"/>
      <c r="AM313" s="16" t="inlineStr">
        <is>
          <t>2 Stück – abgebildet ist eines davon.</t>
        </is>
      </c>
      <c r="AN313" s="22" t="n"/>
    </row>
    <row r="314" ht="30" customHeight="1">
      <c r="A314" s="15" t="inlineStr">
        <is>
          <t>BU02-16</t>
        </is>
      </c>
      <c r="B314" s="15" t="n"/>
      <c r="C314" s="15" t="n"/>
      <c r="D314" s="15" t="inlineStr">
        <is>
          <t>BU02</t>
        </is>
      </c>
      <c r="E314" s="15" t="inlineStr">
        <is>
          <t>Servierwagen Metall schwarz, drei Ebenen</t>
        </is>
      </c>
      <c r="F314" s="16" t="inlineStr">
        <is>
          <t>Rollwagen aus schwarz lackiertem Metall mit drei Ablageebenen und Lochblechböden, auf vier Rollen.</t>
        </is>
      </c>
      <c r="G314" s="15" t="inlineStr">
        <is>
          <t>Möbel</t>
        </is>
      </c>
      <c r="H314" s="15" t="inlineStr">
        <is>
          <t>Flur 2</t>
        </is>
      </c>
      <c r="I314" s="15" t="inlineStr">
        <is>
          <t>B</t>
        </is>
      </c>
      <c r="J314" s="17" t="n">
        <v>1</v>
      </c>
      <c r="K314" s="17" t="n"/>
      <c r="L314" s="18">
        <f>J314-IF(K314="",0,K314)</f>
        <v/>
      </c>
      <c r="M314" s="15" t="inlineStr">
        <is>
          <t>Stück</t>
        </is>
      </c>
      <c r="N314" s="15" t="inlineStr">
        <is>
          <t>gebraucht</t>
        </is>
      </c>
      <c r="O314" s="19" t="n"/>
      <c r="P314" s="19" t="inlineStr">
        <is>
          <t>ja</t>
        </is>
      </c>
      <c r="Q314" s="19" t="n"/>
      <c r="R314" s="20" t="n"/>
      <c r="S314" s="20" t="n">
        <v>30</v>
      </c>
      <c r="T314" s="19" t="inlineStr">
        <is>
          <t>VHB</t>
        </is>
      </c>
      <c r="U314" s="21">
        <f>L314*S314</f>
        <v/>
      </c>
      <c r="V314" s="15" t="inlineStr">
        <is>
          <t>nur Abholung</t>
        </is>
      </c>
      <c r="W314" s="15" t="inlineStr">
        <is>
          <t>F-380</t>
        </is>
      </c>
      <c r="X314" s="19" t="inlineStr">
        <is>
          <t>ja</t>
        </is>
      </c>
      <c r="Y314" s="19" t="n"/>
      <c r="Z314" s="19" t="inlineStr">
        <is>
          <t>verfügbar</t>
        </is>
      </c>
      <c r="AA314" s="19" t="n"/>
      <c r="AB314" s="19" t="n"/>
      <c r="AC314" s="19" t="n"/>
      <c r="AD314" s="19" t="n"/>
      <c r="AE314" s="20" t="n"/>
      <c r="AF314" s="21">
        <f>IF(K314="","",K314*AE314)</f>
        <v/>
      </c>
      <c r="AG314" s="19" t="n"/>
      <c r="AH314" s="19" t="n"/>
      <c r="AI314" s="19" t="n"/>
      <c r="AJ314" s="19" t="n"/>
      <c r="AK314" s="19" t="n"/>
      <c r="AL314" s="19" t="n"/>
      <c r="AM314" s="16" t="inlineStr">
        <is>
          <t>1 Wagen. Der Inhalt gehört nicht dazu.</t>
        </is>
      </c>
      <c r="AN314" s="22" t="n"/>
    </row>
    <row r="315" ht="30" customHeight="1">
      <c r="A315" s="15" t="inlineStr">
        <is>
          <t>BU02-17</t>
        </is>
      </c>
      <c r="B315" s="15" t="n"/>
      <c r="C315" s="15" t="n"/>
      <c r="D315" s="15" t="inlineStr">
        <is>
          <t>BU02</t>
        </is>
      </c>
      <c r="E315" s="15" t="inlineStr">
        <is>
          <t>Kommode weiß, drei Schubladen</t>
        </is>
      </c>
      <c r="F315" s="16" t="inlineStr">
        <is>
          <t>Kommode in Weiß mit drei breiten Schubladen und mittig ausgeschnittenen Griffmulden, auf umlaufendem Sockel.</t>
        </is>
      </c>
      <c r="G315" s="15" t="inlineStr">
        <is>
          <t>Möbel</t>
        </is>
      </c>
      <c r="H315" s="15" t="inlineStr">
        <is>
          <t>Flur 2</t>
        </is>
      </c>
      <c r="I315" s="15" t="inlineStr">
        <is>
          <t>B</t>
        </is>
      </c>
      <c r="J315" s="17" t="n">
        <v>1</v>
      </c>
      <c r="K315" s="17" t="n"/>
      <c r="L315" s="18">
        <f>J315-IF(K315="",0,K315)</f>
        <v/>
      </c>
      <c r="M315" s="15" t="inlineStr">
        <is>
          <t>Stück</t>
        </is>
      </c>
      <c r="N315" s="15" t="inlineStr">
        <is>
          <t>gebraucht</t>
        </is>
      </c>
      <c r="O315" s="19" t="n"/>
      <c r="P315" s="19" t="inlineStr">
        <is>
          <t>ja</t>
        </is>
      </c>
      <c r="Q315" s="19" t="n"/>
      <c r="R315" s="20" t="n"/>
      <c r="S315" s="20" t="n">
        <v>60</v>
      </c>
      <c r="T315" s="19" t="inlineStr">
        <is>
          <t>VHB</t>
        </is>
      </c>
      <c r="U315" s="21">
        <f>L315*S315</f>
        <v/>
      </c>
      <c r="V315" s="15" t="inlineStr">
        <is>
          <t>nur Abholung</t>
        </is>
      </c>
      <c r="W315" s="15" t="inlineStr">
        <is>
          <t>F-381</t>
        </is>
      </c>
      <c r="X315" s="19" t="inlineStr">
        <is>
          <t>ja</t>
        </is>
      </c>
      <c r="Y315" s="19" t="n"/>
      <c r="Z315" s="19" t="inlineStr">
        <is>
          <t>verfügbar</t>
        </is>
      </c>
      <c r="AA315" s="19" t="n"/>
      <c r="AB315" s="19" t="n"/>
      <c r="AC315" s="19" t="n"/>
      <c r="AD315" s="19" t="n"/>
      <c r="AE315" s="20" t="n"/>
      <c r="AF315" s="21">
        <f>IF(K315="","",K315*AE315)</f>
        <v/>
      </c>
      <c r="AG315" s="19" t="n"/>
      <c r="AH315" s="19" t="n"/>
      <c r="AI315" s="19" t="n"/>
      <c r="AJ315" s="19" t="n"/>
      <c r="AK315" s="19" t="n"/>
      <c r="AL315" s="19" t="n"/>
      <c r="AM315" s="16" t="inlineStr">
        <is>
          <t>1 Kommode.</t>
        </is>
      </c>
      <c r="AN315" s="22" t="n"/>
    </row>
    <row r="316" ht="30" customHeight="1">
      <c r="A316" s="15" t="inlineStr">
        <is>
          <t>BU02-18</t>
        </is>
      </c>
      <c r="B316" s="15" t="n"/>
      <c r="C316" s="15" t="n"/>
      <c r="D316" s="15" t="inlineStr">
        <is>
          <t>BU02</t>
        </is>
      </c>
      <c r="E316" s="15" t="inlineStr">
        <is>
          <t>Hochflorteppich grau</t>
        </is>
      </c>
      <c r="F316" s="16" t="inlineStr">
        <is>
          <t>Hochflorteppich in Grau, rechteckig. Maße laut Etikett auf der Rückseite: 160 × 230 cm.</t>
        </is>
      </c>
      <c r="G316" s="15" t="inlineStr">
        <is>
          <t>Textilien</t>
        </is>
      </c>
      <c r="H316" s="15" t="inlineStr">
        <is>
          <t>Flur 2</t>
        </is>
      </c>
      <c r="I316" s="15" t="inlineStr">
        <is>
          <t>C</t>
        </is>
      </c>
      <c r="J316" s="17" t="n">
        <v>1</v>
      </c>
      <c r="K316" s="17" t="n"/>
      <c r="L316" s="18">
        <f>J316-IF(K316="",0,K316)</f>
        <v/>
      </c>
      <c r="M316" s="15" t="inlineStr">
        <is>
          <t>Stück</t>
        </is>
      </c>
      <c r="N316" s="15" t="inlineStr">
        <is>
          <t>gebraucht</t>
        </is>
      </c>
      <c r="O316" s="19" t="inlineStr">
        <is>
          <t>160 × 230 cm</t>
        </is>
      </c>
      <c r="P316" s="19" t="inlineStr">
        <is>
          <t>ja</t>
        </is>
      </c>
      <c r="Q316" s="19" t="n"/>
      <c r="R316" s="20" t="n"/>
      <c r="S316" s="20" t="n">
        <v>40</v>
      </c>
      <c r="T316" s="19" t="inlineStr">
        <is>
          <t>VHB</t>
        </is>
      </c>
      <c r="U316" s="21">
        <f>L316*S316</f>
        <v/>
      </c>
      <c r="V316" s="15" t="inlineStr">
        <is>
          <t>Versand möglich</t>
        </is>
      </c>
      <c r="W316" s="15" t="inlineStr">
        <is>
          <t>F-382</t>
        </is>
      </c>
      <c r="X316" s="19" t="inlineStr">
        <is>
          <t>ja</t>
        </is>
      </c>
      <c r="Y316" s="19" t="n"/>
      <c r="Z316" s="19" t="inlineStr">
        <is>
          <t>verfügbar</t>
        </is>
      </c>
      <c r="AA316" s="19" t="n"/>
      <c r="AB316" s="19" t="n"/>
      <c r="AC316" s="19" t="n"/>
      <c r="AD316" s="19" t="n"/>
      <c r="AE316" s="20" t="n"/>
      <c r="AF316" s="21">
        <f>IF(K316="","",K316*AE316)</f>
        <v/>
      </c>
      <c r="AG316" s="19" t="n"/>
      <c r="AH316" s="19" t="n"/>
      <c r="AI316" s="19" t="n"/>
      <c r="AJ316" s="19" t="n"/>
      <c r="AK316" s="19" t="n"/>
      <c r="AL316" s="19" t="n"/>
      <c r="AM316" s="16" t="inlineStr">
        <is>
          <t>1 Teppich. Das Etikett ist auf Foto F-384 zu sehen.</t>
        </is>
      </c>
      <c r="AN316" s="22" t="n"/>
    </row>
    <row r="317" ht="30" customHeight="1">
      <c r="A317" s="15" t="inlineStr">
        <is>
          <t>BU02-19</t>
        </is>
      </c>
      <c r="B317" s="15" t="n"/>
      <c r="C317" s="15" t="inlineStr">
        <is>
          <t>BU04-09</t>
        </is>
      </c>
      <c r="D317" s="15" t="inlineStr">
        <is>
          <t>BU02</t>
        </is>
      </c>
      <c r="E317" s="15" t="inlineStr">
        <is>
          <t>Spielmöbel Kiefer, dreiteilig</t>
        </is>
      </c>
      <c r="F317" s="16" t="inlineStr">
        <is>
          <t>Dreiteilige Kombination aus Kiefer massiv: Wandregal mit zwei Kunststoffwannen, niedrige Werkbank mit offenem Unterbau und zwei Wannen sowie ein hohes Seitenteil mit Wanne.</t>
        </is>
      </c>
      <c r="G317" s="15" t="inlineStr">
        <is>
          <t>Kita-Ausstattung</t>
        </is>
      </c>
      <c r="H317" s="15" t="inlineStr">
        <is>
          <t>Flur 2</t>
        </is>
      </c>
      <c r="I317" s="15" t="inlineStr">
        <is>
          <t>B</t>
        </is>
      </c>
      <c r="J317" s="17" t="n">
        <v>2</v>
      </c>
      <c r="K317" s="17" t="n"/>
      <c r="L317" s="18">
        <f>J317-IF(K317="",0,K317)</f>
        <v/>
      </c>
      <c r="M317" s="15" t="inlineStr">
        <is>
          <t>Set</t>
        </is>
      </c>
      <c r="N317" s="15" t="inlineStr">
        <is>
          <t>gebraucht</t>
        </is>
      </c>
      <c r="O317" s="19" t="n"/>
      <c r="P317" s="19" t="inlineStr">
        <is>
          <t>ja</t>
        </is>
      </c>
      <c r="Q317" s="19" t="n"/>
      <c r="R317" s="20" t="n"/>
      <c r="S317" s="20" t="n">
        <v>90</v>
      </c>
      <c r="T317" s="19" t="inlineStr">
        <is>
          <t>VHB</t>
        </is>
      </c>
      <c r="U317" s="21">
        <f>L317*S317</f>
        <v/>
      </c>
      <c r="V317" s="15" t="inlineStr">
        <is>
          <t>nur Abholung</t>
        </is>
      </c>
      <c r="W317" s="15" t="inlineStr">
        <is>
          <t>F-385</t>
        </is>
      </c>
      <c r="X317" s="19" t="inlineStr">
        <is>
          <t>ja</t>
        </is>
      </c>
      <c r="Y317" s="19" t="n"/>
      <c r="Z317" s="19" t="inlineStr">
        <is>
          <t>verfügbar</t>
        </is>
      </c>
      <c r="AA317" s="19" t="n"/>
      <c r="AB317" s="19" t="n"/>
      <c r="AC317" s="19" t="n"/>
      <c r="AD317" s="19" t="n"/>
      <c r="AE317" s="20" t="n"/>
      <c r="AF317" s="21">
        <f>IF(K317="","",K317*AE317)</f>
        <v/>
      </c>
      <c r="AG317" s="19" t="n"/>
      <c r="AH317" s="19" t="n"/>
      <c r="AI317" s="19" t="n"/>
      <c r="AJ317" s="19" t="n"/>
      <c r="AK317" s="19" t="n"/>
      <c r="AL317" s="19" t="n"/>
      <c r="AM317" s="16" t="inlineStr">
        <is>
          <t>2 Kombinationen aus je drei Teilen einschließlich der Wannen: 1 im Flur 2 (BU02-19, Foto F-385) und 1 im Gruppenraum (BU04-09, Foto F-399), beide im Untergeschoss des Bestandsgebäudes. Die beiden Kombinationen sind unterschiedlich zusammengestellt. Das Spielzeug gehört nicht dazu.</t>
        </is>
      </c>
      <c r="AN317" s="22" t="inlineStr">
        <is>
          <t>Zusammengefasste Position über zwei Räume – Post-it-Nummer: BU04-09.</t>
        </is>
      </c>
    </row>
    <row r="318" ht="30" customHeight="1">
      <c r="A318" s="15" t="inlineStr">
        <is>
          <t>BU03-01</t>
        </is>
      </c>
      <c r="B318" s="15" t="n"/>
      <c r="C318" s="15" t="n"/>
      <c r="D318" s="15" t="inlineStr">
        <is>
          <t>BU03</t>
        </is>
      </c>
      <c r="E318" s="15" t="inlineStr">
        <is>
          <t>Pinnwand Holz mit Klammerleinen</t>
        </is>
      </c>
      <c r="F318" s="16" t="inlineStr">
        <is>
          <t>Großes Wandelement aus hellem Massivholz mit vier waagerechten Bändern und Holzklammern zum Aufhängen von Bildern und Bastelarbeiten. Zwei zusätzliche Querbretter als Ablage.</t>
        </is>
      </c>
      <c r="G318" s="15" t="inlineStr">
        <is>
          <t>Kita-Ausstattung</t>
        </is>
      </c>
      <c r="H318" s="15" t="inlineStr">
        <is>
          <t>Flur 3</t>
        </is>
      </c>
      <c r="I318" s="15" t="inlineStr">
        <is>
          <t>B</t>
        </is>
      </c>
      <c r="J318" s="17" t="n">
        <v>1</v>
      </c>
      <c r="K318" s="17" t="n"/>
      <c r="L318" s="18">
        <f>J318-IF(K318="",0,K318)</f>
        <v/>
      </c>
      <c r="M318" s="15" t="inlineStr">
        <is>
          <t>Stück</t>
        </is>
      </c>
      <c r="N318" s="15" t="inlineStr">
        <is>
          <t>gebraucht</t>
        </is>
      </c>
      <c r="O318" s="19" t="n"/>
      <c r="P318" s="19" t="inlineStr">
        <is>
          <t>ja</t>
        </is>
      </c>
      <c r="Q318" s="19" t="n"/>
      <c r="R318" s="20" t="n"/>
      <c r="S318" s="20" t="n">
        <v>45</v>
      </c>
      <c r="T318" s="19" t="inlineStr">
        <is>
          <t>VHB</t>
        </is>
      </c>
      <c r="U318" s="21">
        <f>L318*S318</f>
        <v/>
      </c>
      <c r="V318" s="15" t="inlineStr">
        <is>
          <t>nur Abholung</t>
        </is>
      </c>
      <c r="W318" s="15" t="inlineStr">
        <is>
          <t>F-387</t>
        </is>
      </c>
      <c r="X318" s="19" t="inlineStr">
        <is>
          <t>ja</t>
        </is>
      </c>
      <c r="Y318" s="19" t="n"/>
      <c r="Z318" s="19" t="inlineStr">
        <is>
          <t>verfügbar</t>
        </is>
      </c>
      <c r="AA318" s="19" t="n"/>
      <c r="AB318" s="19" t="n"/>
      <c r="AC318" s="19" t="n"/>
      <c r="AD318" s="19" t="n"/>
      <c r="AE318" s="20" t="n"/>
      <c r="AF318" s="21">
        <f>IF(K318="","",K318*AE318)</f>
        <v/>
      </c>
      <c r="AG318" s="19" t="n"/>
      <c r="AH318" s="19" t="n"/>
      <c r="AI318" s="19" t="n"/>
      <c r="AJ318" s="19" t="n"/>
      <c r="AK318" s="19" t="n"/>
      <c r="AL318" s="19" t="n"/>
      <c r="AM318" s="16" t="inlineStr">
        <is>
          <t>1 Wand einschließlich der Klammern. Die Deko-Ringe und Quasten gehören nicht dazu.</t>
        </is>
      </c>
      <c r="AN318" s="22" t="n"/>
    </row>
    <row r="319" ht="30" customHeight="1">
      <c r="A319" s="15" t="inlineStr">
        <is>
          <t>BU03-02</t>
        </is>
      </c>
      <c r="B319" s="15" t="n"/>
      <c r="C319" s="15" t="n"/>
      <c r="D319" s="15" t="inlineStr">
        <is>
          <t>BU03</t>
        </is>
      </c>
      <c r="E319" s="15" t="inlineStr">
        <is>
          <t>Schwingspiegel, geschwungene Form</t>
        </is>
      </c>
      <c r="F319" s="16" t="inlineStr">
        <is>
          <t>Hoher Wandspiegel mit geschwungener Außenkante ohne Rahmen, zum Anschrauben.</t>
        </is>
      </c>
      <c r="G319" s="15" t="inlineStr">
        <is>
          <t>Deko</t>
        </is>
      </c>
      <c r="H319" s="15" t="inlineStr">
        <is>
          <t>Flur 3</t>
        </is>
      </c>
      <c r="I319" s="15" t="inlineStr">
        <is>
          <t>C</t>
        </is>
      </c>
      <c r="J319" s="17" t="n">
        <v>2</v>
      </c>
      <c r="K319" s="17" t="n"/>
      <c r="L319" s="18">
        <f>J319-IF(K319="",0,K319)</f>
        <v/>
      </c>
      <c r="M319" s="15" t="inlineStr">
        <is>
          <t>Stück</t>
        </is>
      </c>
      <c r="N319" s="15" t="inlineStr">
        <is>
          <t>gebraucht</t>
        </is>
      </c>
      <c r="O319" s="19" t="n"/>
      <c r="P319" s="19" t="inlineStr">
        <is>
          <t>ja</t>
        </is>
      </c>
      <c r="Q319" s="19" t="n"/>
      <c r="R319" s="20" t="n"/>
      <c r="S319" s="20" t="n">
        <v>25</v>
      </c>
      <c r="T319" s="19" t="inlineStr">
        <is>
          <t>VHB</t>
        </is>
      </c>
      <c r="U319" s="21">
        <f>L319*S319</f>
        <v/>
      </c>
      <c r="V319" s="15" t="inlineStr">
        <is>
          <t>nur Abholung</t>
        </is>
      </c>
      <c r="W319" s="15" t="inlineStr">
        <is>
          <t>F-388</t>
        </is>
      </c>
      <c r="X319" s="19" t="inlineStr">
        <is>
          <t>ja</t>
        </is>
      </c>
      <c r="Y319" s="19" t="n"/>
      <c r="Z319" s="19" t="inlineStr">
        <is>
          <t>verfügbar</t>
        </is>
      </c>
      <c r="AA319" s="19" t="n"/>
      <c r="AB319" s="19" t="n"/>
      <c r="AC319" s="19" t="n"/>
      <c r="AD319" s="19" t="n"/>
      <c r="AE319" s="20" t="n"/>
      <c r="AF319" s="21">
        <f>IF(K319="","",K319*AE319)</f>
        <v/>
      </c>
      <c r="AG319" s="19" t="n"/>
      <c r="AH319" s="19" t="n"/>
      <c r="AI319" s="19" t="n"/>
      <c r="AJ319" s="19" t="n"/>
      <c r="AK319" s="19" t="n"/>
      <c r="AL319" s="19" t="n"/>
      <c r="AM319" s="16" t="inlineStr">
        <is>
          <t>2 Spiegel – abgebildet ist einer davon.</t>
        </is>
      </c>
      <c r="AN319" s="22" t="n"/>
    </row>
    <row r="320" ht="30" customHeight="1">
      <c r="A320" s="15" t="inlineStr">
        <is>
          <t>BU03-03</t>
        </is>
      </c>
      <c r="B320" s="15" t="n"/>
      <c r="C320" s="15" t="n"/>
      <c r="D320" s="15" t="inlineStr">
        <is>
          <t>BU03</t>
        </is>
      </c>
      <c r="E320" s="15" t="inlineStr">
        <is>
          <t>Schuhregal schwarz mit Chromstangen</t>
        </is>
      </c>
      <c r="F320" s="16" t="inlineStr">
        <is>
          <t>Niedriges Schuhregal aus schwarz lackiertem Holz mit schwarzer Deckplatte und drei Ebenen aus verchromten Rundstangen, auch als Sitzbank nutzbar.</t>
        </is>
      </c>
      <c r="G320" s="15" t="inlineStr">
        <is>
          <t>Möbel</t>
        </is>
      </c>
      <c r="H320" s="15" t="inlineStr">
        <is>
          <t>Flur 3</t>
        </is>
      </c>
      <c r="I320" s="15" t="inlineStr">
        <is>
          <t>C</t>
        </is>
      </c>
      <c r="J320" s="17" t="n">
        <v>2</v>
      </c>
      <c r="K320" s="17" t="n"/>
      <c r="L320" s="18">
        <f>J320-IF(K320="",0,K320)</f>
        <v/>
      </c>
      <c r="M320" s="15" t="inlineStr">
        <is>
          <t>Stück</t>
        </is>
      </c>
      <c r="N320" s="15" t="inlineStr">
        <is>
          <t>gebraucht</t>
        </is>
      </c>
      <c r="O320" s="19" t="n"/>
      <c r="P320" s="19" t="inlineStr">
        <is>
          <t>ja</t>
        </is>
      </c>
      <c r="Q320" s="19" t="n"/>
      <c r="R320" s="20" t="n"/>
      <c r="S320" s="20" t="n">
        <v>25</v>
      </c>
      <c r="T320" s="19" t="inlineStr">
        <is>
          <t>VHB</t>
        </is>
      </c>
      <c r="U320" s="21">
        <f>L320*S320</f>
        <v/>
      </c>
      <c r="V320" s="15" t="inlineStr">
        <is>
          <t>nur Abholung</t>
        </is>
      </c>
      <c r="W320" s="15" t="inlineStr">
        <is>
          <t>F-389</t>
        </is>
      </c>
      <c r="X320" s="19" t="inlineStr">
        <is>
          <t>ja</t>
        </is>
      </c>
      <c r="Y320" s="19" t="n"/>
      <c r="Z320" s="19" t="inlineStr">
        <is>
          <t>verfügbar</t>
        </is>
      </c>
      <c r="AA320" s="19" t="n"/>
      <c r="AB320" s="19" t="n"/>
      <c r="AC320" s="19" t="n"/>
      <c r="AD320" s="19" t="n"/>
      <c r="AE320" s="20" t="n"/>
      <c r="AF320" s="21">
        <f>IF(K320="","",K320*AE320)</f>
        <v/>
      </c>
      <c r="AG320" s="19" t="n"/>
      <c r="AH320" s="19" t="n"/>
      <c r="AI320" s="19" t="n"/>
      <c r="AJ320" s="19" t="n"/>
      <c r="AK320" s="19" t="n"/>
      <c r="AL320" s="19" t="n"/>
      <c r="AM320" s="16" t="inlineStr">
        <is>
          <t>2 Regale – abgebildet ist eines davon.</t>
        </is>
      </c>
      <c r="AN320" s="22" t="n"/>
    </row>
    <row r="321" ht="30" customHeight="1">
      <c r="A321" s="15" t="inlineStr">
        <is>
          <t>BU03-04</t>
        </is>
      </c>
      <c r="B321" s="15" t="n"/>
      <c r="C321" s="15" t="n"/>
      <c r="D321" s="15" t="inlineStr">
        <is>
          <t>BU03</t>
        </is>
      </c>
      <c r="E321" s="15" t="inlineStr">
        <is>
          <t>Metallregal weiß, vier Böden</t>
        </is>
      </c>
      <c r="F321" s="16" t="inlineStr">
        <is>
          <t>Offenes Regal mit weißem Metallgestell, Kreuzstrebe auf der Rückseite und vier weißen Böden.</t>
        </is>
      </c>
      <c r="G321" s="15" t="inlineStr">
        <is>
          <t>Möbel</t>
        </is>
      </c>
      <c r="H321" s="15" t="inlineStr">
        <is>
          <t>Flur 3</t>
        </is>
      </c>
      <c r="I321" s="15" t="inlineStr">
        <is>
          <t>B</t>
        </is>
      </c>
      <c r="J321" s="17" t="n">
        <v>2</v>
      </c>
      <c r="K321" s="17" t="n"/>
      <c r="L321" s="18">
        <f>J321-IF(K321="",0,K321)</f>
        <v/>
      </c>
      <c r="M321" s="15" t="inlineStr">
        <is>
          <t>Stück</t>
        </is>
      </c>
      <c r="N321" s="15" t="inlineStr">
        <is>
          <t>gebraucht</t>
        </is>
      </c>
      <c r="O321" s="19" t="n"/>
      <c r="P321" s="19" t="inlineStr">
        <is>
          <t>ja</t>
        </is>
      </c>
      <c r="Q321" s="19" t="n"/>
      <c r="R321" s="20" t="n"/>
      <c r="S321" s="20" t="n">
        <v>35</v>
      </c>
      <c r="T321" s="19" t="inlineStr">
        <is>
          <t>VHB</t>
        </is>
      </c>
      <c r="U321" s="21">
        <f>L321*S321</f>
        <v/>
      </c>
      <c r="V321" s="15" t="inlineStr">
        <is>
          <t>nur Abholung</t>
        </is>
      </c>
      <c r="W321" s="15" t="inlineStr">
        <is>
          <t>F-390</t>
        </is>
      </c>
      <c r="X321" s="19" t="inlineStr">
        <is>
          <t>ja</t>
        </is>
      </c>
      <c r="Y321" s="19" t="n"/>
      <c r="Z321" s="19" t="inlineStr">
        <is>
          <t>verfügbar</t>
        </is>
      </c>
      <c r="AA321" s="19" t="n"/>
      <c r="AB321" s="19" t="n"/>
      <c r="AC321" s="19" t="n"/>
      <c r="AD321" s="19" t="n"/>
      <c r="AE321" s="20" t="n"/>
      <c r="AF321" s="21">
        <f>IF(K321="","",K321*AE321)</f>
        <v/>
      </c>
      <c r="AG321" s="19" t="n"/>
      <c r="AH321" s="19" t="n"/>
      <c r="AI321" s="19" t="n"/>
      <c r="AJ321" s="19" t="n"/>
      <c r="AK321" s="19" t="n"/>
      <c r="AL321" s="19" t="n"/>
      <c r="AM321" s="16" t="inlineStr">
        <is>
          <t>2 Regale – abgebildet ist eines davon.</t>
        </is>
      </c>
      <c r="AN321" s="22" t="n"/>
    </row>
    <row r="322" ht="30" customHeight="1">
      <c r="A322" s="15" t="inlineStr">
        <is>
          <t>BU03-05</t>
        </is>
      </c>
      <c r="B322" s="15" t="n"/>
      <c r="C322" s="15" t="n"/>
      <c r="D322" s="15" t="inlineStr">
        <is>
          <t>BU03</t>
        </is>
      </c>
      <c r="E322" s="15" t="inlineStr">
        <is>
          <t>Schuhschrank weiß mit Klappfächern</t>
        </is>
      </c>
      <c r="F322" s="16" t="inlineStr">
        <is>
          <t>Schmaler Schuhschrank in Weiß mit zwei Klappfächern und schwarzen Knöpfen. Die Schuhablagen sind innen verschmutzt und an den Kanten abgestoßen.</t>
        </is>
      </c>
      <c r="G322" s="15" t="inlineStr">
        <is>
          <t>Möbel</t>
        </is>
      </c>
      <c r="H322" s="15" t="inlineStr">
        <is>
          <t>Flur 3</t>
        </is>
      </c>
      <c r="I322" s="15" t="inlineStr">
        <is>
          <t>B</t>
        </is>
      </c>
      <c r="J322" s="17" t="n">
        <v>1</v>
      </c>
      <c r="K322" s="17" t="n"/>
      <c r="L322" s="18">
        <f>J322-IF(K322="",0,K322)</f>
        <v/>
      </c>
      <c r="M322" s="15" t="inlineStr">
        <is>
          <t>Stück</t>
        </is>
      </c>
      <c r="N322" s="15" t="inlineStr">
        <is>
          <t>gebraucht</t>
        </is>
      </c>
      <c r="O322" s="19" t="n"/>
      <c r="P322" s="19" t="inlineStr">
        <is>
          <t>ja</t>
        </is>
      </c>
      <c r="Q322" s="19" t="n"/>
      <c r="R322" s="20" t="n"/>
      <c r="S322" s="20" t="n">
        <v>60</v>
      </c>
      <c r="T322" s="19" t="inlineStr">
        <is>
          <t>VHB</t>
        </is>
      </c>
      <c r="U322" s="21">
        <f>L322*S322</f>
        <v/>
      </c>
      <c r="V322" s="15" t="inlineStr">
        <is>
          <t>nur Abholung</t>
        </is>
      </c>
      <c r="W322" s="15" t="inlineStr">
        <is>
          <t>F-391</t>
        </is>
      </c>
      <c r="X322" s="19" t="inlineStr">
        <is>
          <t>ja</t>
        </is>
      </c>
      <c r="Y322" s="19" t="n"/>
      <c r="Z322" s="19" t="inlineStr">
        <is>
          <t>verfügbar</t>
        </is>
      </c>
      <c r="AA322" s="19" t="n"/>
      <c r="AB322" s="19" t="n"/>
      <c r="AC322" s="19" t="n"/>
      <c r="AD322" s="19" t="n"/>
      <c r="AE322" s="20" t="n"/>
      <c r="AF322" s="21">
        <f>IF(K322="","",K322*AE322)</f>
        <v/>
      </c>
      <c r="AG322" s="19" t="n"/>
      <c r="AH322" s="19" t="n"/>
      <c r="AI322" s="19" t="n"/>
      <c r="AJ322" s="19" t="n"/>
      <c r="AK322" s="19" t="n"/>
      <c r="AL322" s="19" t="n"/>
      <c r="AM322" s="16" t="inlineStr">
        <is>
          <t>1 Schrank.</t>
        </is>
      </c>
      <c r="AN322" s="22" t="n"/>
    </row>
    <row r="323" ht="30" customHeight="1">
      <c r="A323" s="15" t="inlineStr">
        <is>
          <t>BU03-06</t>
        </is>
      </c>
      <c r="B323" s="15" t="n"/>
      <c r="C323" s="15" t="n"/>
      <c r="D323" s="15" t="inlineStr">
        <is>
          <t>BU03</t>
        </is>
      </c>
      <c r="E323" s="15" t="inlineStr">
        <is>
          <t>Wäschekorb anthrazit mit Deckel, hoch</t>
        </is>
      </c>
      <c r="F323" s="16" t="inlineStr">
        <is>
          <t>Hoher Wäschekorb aus Kunststoff in Flechtoptik, anthrazit, nach unten verjüngt, mit aufklappbarem Deckel und Griffloch.</t>
        </is>
      </c>
      <c r="G323" s="15" t="inlineStr">
        <is>
          <t>Sonstiges</t>
        </is>
      </c>
      <c r="H323" s="15" t="inlineStr">
        <is>
          <t>Flur 3</t>
        </is>
      </c>
      <c r="I323" s="15" t="inlineStr">
        <is>
          <t>C</t>
        </is>
      </c>
      <c r="J323" s="17" t="n">
        <v>1</v>
      </c>
      <c r="K323" s="17" t="n"/>
      <c r="L323" s="18">
        <f>J323-IF(K323="",0,K323)</f>
        <v/>
      </c>
      <c r="M323" s="15" t="inlineStr">
        <is>
          <t>Stück</t>
        </is>
      </c>
      <c r="N323" s="15" t="inlineStr">
        <is>
          <t>gebraucht</t>
        </is>
      </c>
      <c r="O323" s="19" t="n"/>
      <c r="P323" s="19" t="inlineStr">
        <is>
          <t>ja</t>
        </is>
      </c>
      <c r="Q323" s="19" t="n"/>
      <c r="R323" s="20" t="n"/>
      <c r="S323" s="20" t="n">
        <v>12</v>
      </c>
      <c r="T323" s="19" t="inlineStr">
        <is>
          <t>VHB</t>
        </is>
      </c>
      <c r="U323" s="21">
        <f>L323*S323</f>
        <v/>
      </c>
      <c r="V323" s="15" t="inlineStr">
        <is>
          <t>Versand möglich</t>
        </is>
      </c>
      <c r="W323" s="15" t="inlineStr">
        <is>
          <t>F-392</t>
        </is>
      </c>
      <c r="X323" s="19" t="inlineStr">
        <is>
          <t>ja</t>
        </is>
      </c>
      <c r="Y323" s="19" t="n"/>
      <c r="Z323" s="19" t="inlineStr">
        <is>
          <t>verfügbar</t>
        </is>
      </c>
      <c r="AA323" s="19" t="n"/>
      <c r="AB323" s="19" t="n"/>
      <c r="AC323" s="19" t="n"/>
      <c r="AD323" s="19" t="n"/>
      <c r="AE323" s="20" t="n"/>
      <c r="AF323" s="21">
        <f>IF(K323="","",K323*AE323)</f>
        <v/>
      </c>
      <c r="AG323" s="19" t="n"/>
      <c r="AH323" s="19" t="n"/>
      <c r="AI323" s="19" t="n"/>
      <c r="AJ323" s="19" t="n"/>
      <c r="AK323" s="19" t="n"/>
      <c r="AL323" s="19" t="n"/>
      <c r="AM323" s="16" t="inlineStr">
        <is>
          <t>1 Korb. Drei niedrigere Wäschekörbe stehen unter NE02-03.</t>
        </is>
      </c>
      <c r="AN323" s="22" t="n"/>
    </row>
    <row r="324" ht="30" customHeight="1">
      <c r="A324" s="15" t="inlineStr">
        <is>
          <t>BU03-07</t>
        </is>
      </c>
      <c r="B324" s="15" t="n"/>
      <c r="C324" s="15" t="n"/>
      <c r="D324" s="15" t="inlineStr">
        <is>
          <t>BU03</t>
        </is>
      </c>
      <c r="E324" s="15" t="inlineStr">
        <is>
          <t>Tischleuchte Holzgestell mit Stoffschirm</t>
        </is>
      </c>
      <c r="F324" s="16" t="inlineStr">
        <is>
          <t>Tischleuchte mit dreieckigem Gestell aus hellem Holz und zylindrischem Stoffschirm in Hellgrau, mit Schnurschalter.</t>
        </is>
      </c>
      <c r="G324" s="15" t="inlineStr">
        <is>
          <t>Leuchten</t>
        </is>
      </c>
      <c r="H324" s="15" t="inlineStr">
        <is>
          <t>Flur 3</t>
        </is>
      </c>
      <c r="I324" s="15" t="inlineStr">
        <is>
          <t>C</t>
        </is>
      </c>
      <c r="J324" s="17" t="n">
        <v>1</v>
      </c>
      <c r="K324" s="17" t="n"/>
      <c r="L324" s="18">
        <f>J324-IF(K324="",0,K324)</f>
        <v/>
      </c>
      <c r="M324" s="15" t="inlineStr">
        <is>
          <t>Stück</t>
        </is>
      </c>
      <c r="N324" s="15" t="inlineStr">
        <is>
          <t>gebraucht</t>
        </is>
      </c>
      <c r="O324" s="19" t="n"/>
      <c r="P324" s="19" t="inlineStr">
        <is>
          <t>ja</t>
        </is>
      </c>
      <c r="Q324" s="19" t="n"/>
      <c r="R324" s="20" t="n"/>
      <c r="S324" s="20" t="n">
        <v>25</v>
      </c>
      <c r="T324" s="19" t="inlineStr">
        <is>
          <t>VHB</t>
        </is>
      </c>
      <c r="U324" s="21">
        <f>L324*S324</f>
        <v/>
      </c>
      <c r="V324" s="15" t="inlineStr">
        <is>
          <t>Versand möglich</t>
        </is>
      </c>
      <c r="W324" s="15" t="inlineStr">
        <is>
          <t>F-393</t>
        </is>
      </c>
      <c r="X324" s="19" t="inlineStr">
        <is>
          <t>ja</t>
        </is>
      </c>
      <c r="Y324" s="19" t="n"/>
      <c r="Z324" s="19" t="inlineStr">
        <is>
          <t>verfügbar</t>
        </is>
      </c>
      <c r="AA324" s="19" t="n"/>
      <c r="AB324" s="19" t="n"/>
      <c r="AC324" s="19" t="n"/>
      <c r="AD324" s="19" t="n"/>
      <c r="AE324" s="20" t="n"/>
      <c r="AF324" s="21">
        <f>IF(K324="","",K324*AE324)</f>
        <v/>
      </c>
      <c r="AG324" s="19" t="n"/>
      <c r="AH324" s="19" t="n"/>
      <c r="AI324" s="19" t="n"/>
      <c r="AJ324" s="19" t="n"/>
      <c r="AK324" s="19" t="n"/>
      <c r="AL324" s="19" t="n"/>
      <c r="AM324" s="16" t="inlineStr">
        <is>
          <t>1 Leuchte ohne Leuchtmittel. Auf dem Erfassungsblatt als Stehlampe geführt – es ist eine Tischleuchte.</t>
        </is>
      </c>
      <c r="AN324" s="22" t="n"/>
    </row>
    <row r="325" ht="30" customHeight="1">
      <c r="A325" s="15" t="inlineStr">
        <is>
          <t>BU03-08</t>
        </is>
      </c>
      <c r="B325" s="15" t="n"/>
      <c r="C325" s="15" t="n"/>
      <c r="D325" s="15" t="inlineStr">
        <is>
          <t>BU03</t>
        </is>
      </c>
      <c r="E325" s="15" t="inlineStr">
        <is>
          <t>Beistelltisch rund türkis mit Hairpin-Beinen</t>
        </is>
      </c>
      <c r="F325" s="16" t="inlineStr">
        <is>
          <t>Kleiner runder Beistelltisch mit türkis lackierter Holzplatte auf drei schwarzen Hairpin-Beinen aus Rundstahl. Die Platte ist leicht verkratzt.</t>
        </is>
      </c>
      <c r="G325" s="15" t="inlineStr">
        <is>
          <t>Möbel</t>
        </is>
      </c>
      <c r="H325" s="15" t="inlineStr">
        <is>
          <t>Flur 3</t>
        </is>
      </c>
      <c r="I325" s="15" t="inlineStr">
        <is>
          <t>C</t>
        </is>
      </c>
      <c r="J325" s="17" t="n">
        <v>1</v>
      </c>
      <c r="K325" s="17" t="n"/>
      <c r="L325" s="18">
        <f>J325-IF(K325="",0,K325)</f>
        <v/>
      </c>
      <c r="M325" s="15" t="inlineStr">
        <is>
          <t>Stück</t>
        </is>
      </c>
      <c r="N325" s="15" t="inlineStr">
        <is>
          <t>gebraucht</t>
        </is>
      </c>
      <c r="O325" s="19" t="n"/>
      <c r="P325" s="19" t="inlineStr">
        <is>
          <t>ja</t>
        </is>
      </c>
      <c r="Q325" s="19" t="n"/>
      <c r="R325" s="20" t="n"/>
      <c r="S325" s="20" t="n">
        <v>35</v>
      </c>
      <c r="T325" s="19" t="inlineStr">
        <is>
          <t>VHB</t>
        </is>
      </c>
      <c r="U325" s="21">
        <f>L325*S325</f>
        <v/>
      </c>
      <c r="V325" s="15" t="inlineStr">
        <is>
          <t>Versand möglich</t>
        </is>
      </c>
      <c r="W325" s="15" t="inlineStr">
        <is>
          <t>F-394</t>
        </is>
      </c>
      <c r="X325" s="19" t="inlineStr">
        <is>
          <t>ja</t>
        </is>
      </c>
      <c r="Y325" s="19" t="n"/>
      <c r="Z325" s="19" t="inlineStr">
        <is>
          <t>verfügbar</t>
        </is>
      </c>
      <c r="AA325" s="19" t="n"/>
      <c r="AB325" s="19" t="n"/>
      <c r="AC325" s="19" t="n"/>
      <c r="AD325" s="19" t="n"/>
      <c r="AE325" s="20" t="n"/>
      <c r="AF325" s="21">
        <f>IF(K325="","",K325*AE325)</f>
        <v/>
      </c>
      <c r="AG325" s="19" t="n"/>
      <c r="AH325" s="19" t="n"/>
      <c r="AI325" s="19" t="n"/>
      <c r="AJ325" s="19" t="n"/>
      <c r="AK325" s="19" t="n"/>
      <c r="AL325" s="19" t="n"/>
      <c r="AM325" s="16" t="inlineStr">
        <is>
          <t>1 Tisch.</t>
        </is>
      </c>
      <c r="AN325" s="22" t="n"/>
    </row>
    <row r="326" ht="30" customHeight="1">
      <c r="A326" s="15" t="inlineStr">
        <is>
          <t>BU04-06</t>
        </is>
      </c>
      <c r="B326" s="15" t="n"/>
      <c r="C326" s="15" t="n"/>
      <c r="D326" s="15" t="inlineStr">
        <is>
          <t>BU04</t>
        </is>
      </c>
      <c r="E326" s="15" t="inlineStr">
        <is>
          <t>Kindertisch weiß, lang, zweiteilig</t>
        </is>
      </c>
      <c r="F326" s="16" t="inlineStr">
        <is>
          <t>Langer Kindertisch aus zwei aneinandergestellten Platten in Weiß mit cremefarbener Kante, auf cremefarbenen Vierkantfüßen aus Metall mit Gleitern. Die Platten sind an den Kanten abgestoßen.</t>
        </is>
      </c>
      <c r="G326" s="15" t="inlineStr">
        <is>
          <t>Möbel</t>
        </is>
      </c>
      <c r="H326" s="15" t="inlineStr">
        <is>
          <t>Gruppenraum</t>
        </is>
      </c>
      <c r="I326" s="15" t="inlineStr">
        <is>
          <t>B</t>
        </is>
      </c>
      <c r="J326" s="17" t="n">
        <v>1</v>
      </c>
      <c r="K326" s="17" t="n"/>
      <c r="L326" s="18">
        <f>J326-IF(K326="",0,K326)</f>
        <v/>
      </c>
      <c r="M326" s="15" t="inlineStr">
        <is>
          <t>Set</t>
        </is>
      </c>
      <c r="N326" s="15" t="inlineStr">
        <is>
          <t>gebraucht</t>
        </is>
      </c>
      <c r="O326" s="19" t="n"/>
      <c r="P326" s="19" t="inlineStr">
        <is>
          <t>ja</t>
        </is>
      </c>
      <c r="Q326" s="19" t="n"/>
      <c r="R326" s="20" t="n"/>
      <c r="S326" s="20" t="n">
        <v>90</v>
      </c>
      <c r="T326" s="19" t="inlineStr">
        <is>
          <t>VHB</t>
        </is>
      </c>
      <c r="U326" s="21">
        <f>L326*S326</f>
        <v/>
      </c>
      <c r="V326" s="15" t="inlineStr">
        <is>
          <t>nur Abholung</t>
        </is>
      </c>
      <c r="W326" s="15" t="inlineStr">
        <is>
          <t>F-406</t>
        </is>
      </c>
      <c r="X326" s="19" t="inlineStr">
        <is>
          <t>ja</t>
        </is>
      </c>
      <c r="Y326" s="19" t="n"/>
      <c r="Z326" s="19" t="inlineStr">
        <is>
          <t>verfügbar</t>
        </is>
      </c>
      <c r="AA326" s="19" t="n"/>
      <c r="AB326" s="19" t="n"/>
      <c r="AC326" s="19" t="n"/>
      <c r="AD326" s="19" t="n"/>
      <c r="AE326" s="20" t="n"/>
      <c r="AF326" s="21">
        <f>IF(K326="","",K326*AE326)</f>
        <v/>
      </c>
      <c r="AG326" s="19" t="n"/>
      <c r="AH326" s="19" t="n"/>
      <c r="AI326" s="19" t="n"/>
      <c r="AJ326" s="19" t="n"/>
      <c r="AK326" s="19" t="n"/>
      <c r="AL326" s="19" t="n"/>
      <c r="AM326" s="16" t="inlineStr">
        <is>
          <t>1 Tisch aus zwei Platten. Das Spielzeug gehört nicht dazu. Der ganze Tisch ist auf Foto F-404 zu sehen.</t>
        </is>
      </c>
      <c r="AN326" s="22" t="n"/>
    </row>
    <row r="327" ht="30" customHeight="1">
      <c r="A327" s="15" t="inlineStr">
        <is>
          <t>BU04-07</t>
        </is>
      </c>
      <c r="B327" s="15" t="n"/>
      <c r="C327" s="15" t="n"/>
      <c r="D327" s="15" t="inlineStr">
        <is>
          <t>BU04</t>
        </is>
      </c>
      <c r="E327" s="15" t="inlineStr">
        <is>
          <t>Gemälde Schwarzwaldfrau mit Planeten</t>
        </is>
      </c>
      <c r="F327" s="16" t="inlineStr">
        <is>
          <t>Acryl auf Leinwand im Hochformat: Frau in Schwarzwälder Tracht mit Bollenhut, umgeben von gemalten Planeten und Sternen. Eigenarbeit einer Privatperson, nicht signiert.</t>
        </is>
      </c>
      <c r="G327" s="15" t="inlineStr">
        <is>
          <t>Kunst</t>
        </is>
      </c>
      <c r="H327" s="15" t="inlineStr">
        <is>
          <t>Gruppenraum</t>
        </is>
      </c>
      <c r="I327" s="15" t="inlineStr">
        <is>
          <t>B</t>
        </is>
      </c>
      <c r="J327" s="17" t="n">
        <v>1</v>
      </c>
      <c r="K327" s="17" t="n"/>
      <c r="L327" s="18">
        <f>J327-IF(K327="",0,K327)</f>
        <v/>
      </c>
      <c r="M327" s="15" t="inlineStr">
        <is>
          <t>Stück</t>
        </is>
      </c>
      <c r="N327" s="15" t="inlineStr">
        <is>
          <t>gut</t>
        </is>
      </c>
      <c r="O327" s="19" t="n"/>
      <c r="P327" s="19" t="inlineStr">
        <is>
          <t>ja</t>
        </is>
      </c>
      <c r="Q327" s="19" t="n"/>
      <c r="R327" s="20" t="n"/>
      <c r="S327" s="20" t="n">
        <v>250</v>
      </c>
      <c r="T327" s="19" t="inlineStr">
        <is>
          <t>VHB</t>
        </is>
      </c>
      <c r="U327" s="21">
        <f>L327*S327</f>
        <v/>
      </c>
      <c r="V327" s="15" t="inlineStr">
        <is>
          <t>nur Abholung</t>
        </is>
      </c>
      <c r="W327" s="15" t="inlineStr">
        <is>
          <t>F-397</t>
        </is>
      </c>
      <c r="X327" s="19" t="inlineStr">
        <is>
          <t>ja</t>
        </is>
      </c>
      <c r="Y327" s="19" t="n"/>
      <c r="Z327" s="19" t="inlineStr">
        <is>
          <t>verfügbar</t>
        </is>
      </c>
      <c r="AA327" s="19" t="n"/>
      <c r="AB327" s="19" t="inlineStr">
        <is>
          <t>Schwarzwald</t>
        </is>
      </c>
      <c r="AC327" s="19" t="n"/>
      <c r="AD327" s="19" t="n"/>
      <c r="AE327" s="20" t="n"/>
      <c r="AF327" s="21">
        <f>IF(K327="","",K327*AE327)</f>
        <v/>
      </c>
      <c r="AG327" s="19" t="n"/>
      <c r="AH327" s="19" t="n"/>
      <c r="AI327" s="19" t="n"/>
      <c r="AJ327" s="19" t="n"/>
      <c r="AK327" s="19" t="n"/>
      <c r="AL327" s="19" t="n"/>
      <c r="AM327" s="16" t="inlineStr">
        <is>
          <t>1 Bild auf Keilrahmen, ungerahmt.</t>
        </is>
      </c>
      <c r="AN327" s="22" t="n"/>
    </row>
    <row r="328" ht="30" customHeight="1">
      <c r="A328" s="15" t="inlineStr">
        <is>
          <t>BU04-08</t>
        </is>
      </c>
      <c r="B328" s="15" t="n"/>
      <c r="C328" s="15" t="n"/>
      <c r="D328" s="15" t="inlineStr">
        <is>
          <t>BU04</t>
        </is>
      </c>
      <c r="E328" s="15" t="inlineStr">
        <is>
          <t>Garderobenständer bunt, Stangenform</t>
        </is>
      </c>
      <c r="F328" s="16" t="inlineStr">
        <is>
          <t>Stehender Garderobenständer: weiße Rundstange mit farbig lackierten Ringen in Grün, Blau, Rot, Orange und Gelb und passenden Haken in mehreren Höhen, auf Tellerfuß.</t>
        </is>
      </c>
      <c r="G328" s="15" t="inlineStr">
        <is>
          <t>Kita-Ausstattung</t>
        </is>
      </c>
      <c r="H328" s="15" t="inlineStr">
        <is>
          <t>Gruppenraum</t>
        </is>
      </c>
      <c r="I328" s="15" t="inlineStr">
        <is>
          <t>C</t>
        </is>
      </c>
      <c r="J328" s="17" t="n">
        <v>2</v>
      </c>
      <c r="K328" s="17" t="n"/>
      <c r="L328" s="18">
        <f>J328-IF(K328="",0,K328)</f>
        <v/>
      </c>
      <c r="M328" s="15" t="inlineStr">
        <is>
          <t>Stück</t>
        </is>
      </c>
      <c r="N328" s="15" t="inlineStr">
        <is>
          <t>gebraucht</t>
        </is>
      </c>
      <c r="O328" s="19" t="n"/>
      <c r="P328" s="19" t="inlineStr">
        <is>
          <t>ja</t>
        </is>
      </c>
      <c r="Q328" s="19" t="n"/>
      <c r="R328" s="20" t="n"/>
      <c r="S328" s="20" t="n">
        <v>35</v>
      </c>
      <c r="T328" s="19" t="inlineStr">
        <is>
          <t>VHB</t>
        </is>
      </c>
      <c r="U328" s="21">
        <f>L328*S328</f>
        <v/>
      </c>
      <c r="V328" s="15" t="inlineStr">
        <is>
          <t>nur Abholung</t>
        </is>
      </c>
      <c r="W328" s="15" t="inlineStr">
        <is>
          <t>F-398</t>
        </is>
      </c>
      <c r="X328" s="19" t="inlineStr">
        <is>
          <t>ja</t>
        </is>
      </c>
      <c r="Y328" s="19" t="n"/>
      <c r="Z328" s="19" t="inlineStr">
        <is>
          <t>verfügbar</t>
        </is>
      </c>
      <c r="AA328" s="19" t="n"/>
      <c r="AB328" s="19" t="n"/>
      <c r="AC328" s="19" t="n"/>
      <c r="AD328" s="19" t="n"/>
      <c r="AE328" s="20" t="n"/>
      <c r="AF328" s="21">
        <f>IF(K328="","",K328*AE328)</f>
        <v/>
      </c>
      <c r="AG328" s="19" t="n"/>
      <c r="AH328" s="19" t="n"/>
      <c r="AI328" s="19" t="n"/>
      <c r="AJ328" s="19" t="n"/>
      <c r="AK328" s="19" t="n"/>
      <c r="AL328" s="19" t="n"/>
      <c r="AM328" s="16" t="inlineStr">
        <is>
          <t>2 Ständer – beide auf dem Foto zu sehen.</t>
        </is>
      </c>
      <c r="AN328" s="22" t="n"/>
    </row>
    <row r="329" ht="30" customHeight="1">
      <c r="A329" s="15" t="inlineStr">
        <is>
          <t>BU04-10</t>
        </is>
      </c>
      <c r="B329" s="15" t="n"/>
      <c r="C329" s="15" t="n"/>
      <c r="D329" s="15" t="inlineStr">
        <is>
          <t>BU04</t>
        </is>
      </c>
      <c r="E329" s="15" t="inlineStr">
        <is>
          <t>Kindertisch weiß aus fünf Segmenten</t>
        </is>
      </c>
      <c r="F329" s="16" t="inlineStr">
        <is>
          <t>Fünf Tischsegmente mit weißer Platte, Multiplex-Kante und verchromten Rundfüßen in Kinderhöhe. Zusammengestellt ergeben sie einen großen Gruppentisch, einzeln sind sie frei kombinierbar.</t>
        </is>
      </c>
      <c r="G329" s="15" t="inlineStr">
        <is>
          <t>Möbel</t>
        </is>
      </c>
      <c r="H329" s="15" t="inlineStr">
        <is>
          <t>Gruppenraum</t>
        </is>
      </c>
      <c r="I329" s="15" t="inlineStr">
        <is>
          <t>A</t>
        </is>
      </c>
      <c r="J329" s="17" t="n">
        <v>1</v>
      </c>
      <c r="K329" s="17" t="n"/>
      <c r="L329" s="18">
        <f>J329-IF(K329="",0,K329)</f>
        <v/>
      </c>
      <c r="M329" s="15" t="inlineStr">
        <is>
          <t>Set</t>
        </is>
      </c>
      <c r="N329" s="15" t="inlineStr">
        <is>
          <t>gebraucht</t>
        </is>
      </c>
      <c r="O329" s="19" t="n"/>
      <c r="P329" s="19" t="inlineStr">
        <is>
          <t>ja</t>
        </is>
      </c>
      <c r="Q329" s="19" t="n"/>
      <c r="R329" s="20" t="n"/>
      <c r="S329" s="20" t="n">
        <v>190</v>
      </c>
      <c r="T329" s="19" t="inlineStr">
        <is>
          <t>VHB</t>
        </is>
      </c>
      <c r="U329" s="21">
        <f>L329*S329</f>
        <v/>
      </c>
      <c r="V329" s="15" t="inlineStr">
        <is>
          <t>nur Abholung</t>
        </is>
      </c>
      <c r="W329" s="15" t="inlineStr">
        <is>
          <t>F-400</t>
        </is>
      </c>
      <c r="X329" s="19" t="inlineStr">
        <is>
          <t>ja</t>
        </is>
      </c>
      <c r="Y329" s="19" t="n"/>
      <c r="Z329" s="19" t="inlineStr">
        <is>
          <t>verfügbar</t>
        </is>
      </c>
      <c r="AA329" s="19" t="n"/>
      <c r="AB329" s="19" t="n"/>
      <c r="AC329" s="19" t="n"/>
      <c r="AD329" s="19" t="n"/>
      <c r="AE329" s="20" t="n"/>
      <c r="AF329" s="21">
        <f>IF(K329="","",K329*AE329)</f>
        <v/>
      </c>
      <c r="AG329" s="19" t="n"/>
      <c r="AH329" s="19" t="n"/>
      <c r="AI329" s="19" t="n"/>
      <c r="AJ329" s="19" t="n"/>
      <c r="AK329" s="19" t="n"/>
      <c r="AL329" s="19" t="n"/>
      <c r="AM329" s="16" t="inlineStr">
        <is>
          <t>1 Tischgruppe aus fünf Segmenten. Weitere Tischgruppen gleicher Bauart stehen unter NU02-23 und BU02-03.</t>
        </is>
      </c>
      <c r="AN329" s="22" t="n"/>
    </row>
    <row r="330" ht="30" customHeight="1">
      <c r="A330" s="15" t="inlineStr">
        <is>
          <t>BU04-11</t>
        </is>
      </c>
      <c r="B330" s="15" t="n"/>
      <c r="C330" s="15" t="n"/>
      <c r="D330" s="15" t="inlineStr">
        <is>
          <t>BU04</t>
        </is>
      </c>
      <c r="E330" s="15" t="inlineStr">
        <is>
          <t>Regal weiß, vier Böden</t>
        </is>
      </c>
      <c r="F330" s="16" t="inlineStr">
        <is>
          <t>Offenes Regal in Weiß mit vier Böden, eines der beiden Regale hat zusätzlich zwei Schubladen. Böden und Kanten sind großflächig verschmutzt und abgestoßen.</t>
        </is>
      </c>
      <c r="G330" s="15" t="inlineStr">
        <is>
          <t>Möbel</t>
        </is>
      </c>
      <c r="H330" s="15" t="inlineStr">
        <is>
          <t>Gruppenraum</t>
        </is>
      </c>
      <c r="I330" s="15" t="inlineStr">
        <is>
          <t>C</t>
        </is>
      </c>
      <c r="J330" s="17" t="n">
        <v>2</v>
      </c>
      <c r="K330" s="17" t="n"/>
      <c r="L330" s="18">
        <f>J330-IF(K330="",0,K330)</f>
        <v/>
      </c>
      <c r="M330" s="15" t="inlineStr">
        <is>
          <t>Stück</t>
        </is>
      </c>
      <c r="N330" s="15" t="inlineStr">
        <is>
          <t>stark gebraucht</t>
        </is>
      </c>
      <c r="O330" s="19" t="n"/>
      <c r="P330" s="19" t="inlineStr">
        <is>
          <t>ja</t>
        </is>
      </c>
      <c r="Q330" s="19" t="n"/>
      <c r="R330" s="20" t="n"/>
      <c r="S330" s="20" t="n">
        <v>30</v>
      </c>
      <c r="T330" s="19" t="inlineStr">
        <is>
          <t>VHB</t>
        </is>
      </c>
      <c r="U330" s="21">
        <f>L330*S330</f>
        <v/>
      </c>
      <c r="V330" s="15" t="inlineStr">
        <is>
          <t>nur Abholung</t>
        </is>
      </c>
      <c r="W330" s="15" t="inlineStr">
        <is>
          <t>F-405</t>
        </is>
      </c>
      <c r="X330" s="19" t="inlineStr">
        <is>
          <t>ja</t>
        </is>
      </c>
      <c r="Y330" s="19" t="n"/>
      <c r="Z330" s="19" t="inlineStr">
        <is>
          <t>verfügbar</t>
        </is>
      </c>
      <c r="AA330" s="19" t="n"/>
      <c r="AB330" s="19" t="n"/>
      <c r="AC330" s="19" t="n"/>
      <c r="AD330" s="19" t="n"/>
      <c r="AE330" s="20" t="n"/>
      <c r="AF330" s="21">
        <f>IF(K330="","",K330*AE330)</f>
        <v/>
      </c>
      <c r="AG330" s="19" t="n"/>
      <c r="AH330" s="19" t="n"/>
      <c r="AI330" s="19" t="n"/>
      <c r="AJ330" s="19" t="n"/>
      <c r="AK330" s="19" t="n"/>
      <c r="AL330" s="19" t="n"/>
      <c r="AM330" s="16" t="inlineStr">
        <is>
          <t>2 Regale, davon eines mit zwei Schubladen – abgebildet ist eines davon. Der Inhalt gehört nicht dazu.</t>
        </is>
      </c>
      <c r="AN330" s="22" t="n"/>
    </row>
    <row r="331" ht="30" customHeight="1">
      <c r="A331" s="15" t="inlineStr">
        <is>
          <t>BU04-13</t>
        </is>
      </c>
      <c r="B331" s="15" t="n"/>
      <c r="C331" s="15" t="n"/>
      <c r="D331" s="15" t="inlineStr">
        <is>
          <t>BU04</t>
        </is>
      </c>
      <c r="E331" s="15" t="inlineStr">
        <is>
          <t>Servierwagen Metall grau, drei Ebenen</t>
        </is>
      </c>
      <c r="F331" s="16" t="inlineStr">
        <is>
          <t>Rollwagen aus dunkelgrau lackiertem Metall mit drei Ablageebenen und Lochblechböden, auf vier Rollen.</t>
        </is>
      </c>
      <c r="G331" s="15" t="inlineStr">
        <is>
          <t>Möbel</t>
        </is>
      </c>
      <c r="H331" s="15" t="inlineStr">
        <is>
          <t>Gruppenraum</t>
        </is>
      </c>
      <c r="I331" s="15" t="inlineStr">
        <is>
          <t>B</t>
        </is>
      </c>
      <c r="J331" s="17" t="n">
        <v>1</v>
      </c>
      <c r="K331" s="17" t="n"/>
      <c r="L331" s="18">
        <f>J331-IF(K331="",0,K331)</f>
        <v/>
      </c>
      <c r="M331" s="15" t="inlineStr">
        <is>
          <t>Stück</t>
        </is>
      </c>
      <c r="N331" s="15" t="inlineStr">
        <is>
          <t>gebraucht</t>
        </is>
      </c>
      <c r="O331" s="19" t="n"/>
      <c r="P331" s="19" t="inlineStr">
        <is>
          <t>ja</t>
        </is>
      </c>
      <c r="Q331" s="19" t="n"/>
      <c r="R331" s="20" t="n"/>
      <c r="S331" s="20" t="n">
        <v>30</v>
      </c>
      <c r="T331" s="19" t="inlineStr">
        <is>
          <t>VHB</t>
        </is>
      </c>
      <c r="U331" s="21">
        <f>L331*S331</f>
        <v/>
      </c>
      <c r="V331" s="15" t="inlineStr">
        <is>
          <t>nur Abholung</t>
        </is>
      </c>
      <c r="W331" s="15" t="inlineStr">
        <is>
          <t>F-402</t>
        </is>
      </c>
      <c r="X331" s="19" t="inlineStr">
        <is>
          <t>ja</t>
        </is>
      </c>
      <c r="Y331" s="19" t="n"/>
      <c r="Z331" s="19" t="inlineStr">
        <is>
          <t>verfügbar</t>
        </is>
      </c>
      <c r="AA331" s="19" t="n"/>
      <c r="AB331" s="19" t="n"/>
      <c r="AC331" s="19" t="n"/>
      <c r="AD331" s="19" t="n"/>
      <c r="AE331" s="20" t="n"/>
      <c r="AF331" s="21">
        <f>IF(K331="","",K331*AE331)</f>
        <v/>
      </c>
      <c r="AG331" s="19" t="n"/>
      <c r="AH331" s="19" t="n"/>
      <c r="AI331" s="19" t="n"/>
      <c r="AJ331" s="19" t="n"/>
      <c r="AK331" s="19" t="n"/>
      <c r="AL331" s="19" t="n"/>
      <c r="AM331" s="16" t="inlineStr">
        <is>
          <t>1 Wagen. Der Inhalt gehört nicht dazu. Ein baugleicher Wagen in Schwarz steht unter BU02-16.</t>
        </is>
      </c>
      <c r="AN331" s="22" t="n"/>
    </row>
    <row r="332" ht="30" customHeight="1">
      <c r="A332" s="15" t="inlineStr">
        <is>
          <t>BU04-14</t>
        </is>
      </c>
      <c r="B332" s="15" t="n"/>
      <c r="C332" s="15" t="n"/>
      <c r="D332" s="15" t="inlineStr">
        <is>
          <t>BU04</t>
        </is>
      </c>
      <c r="E332" s="15" t="inlineStr">
        <is>
          <t>Bücherregal creme mit Wolkenaufsatz</t>
        </is>
      </c>
      <c r="F332" s="16" t="inlineStr">
        <is>
          <t>Stehendes Bücherregal aus Holz, creme lackiert, mit geschwungenem Wolkenaufsatz und drei Ablagen mit vorderer Haltelatte für nach vorn zeigende Bilderbücher.</t>
        </is>
      </c>
      <c r="G332" s="15" t="inlineStr">
        <is>
          <t>Kita-Ausstattung</t>
        </is>
      </c>
      <c r="H332" s="15" t="inlineStr">
        <is>
          <t>Gruppenraum</t>
        </is>
      </c>
      <c r="I332" s="15" t="inlineStr">
        <is>
          <t>B</t>
        </is>
      </c>
      <c r="J332" s="17" t="n">
        <v>1</v>
      </c>
      <c r="K332" s="17" t="n"/>
      <c r="L332" s="18">
        <f>J332-IF(K332="",0,K332)</f>
        <v/>
      </c>
      <c r="M332" s="15" t="inlineStr">
        <is>
          <t>Stück</t>
        </is>
      </c>
      <c r="N332" s="15" t="inlineStr">
        <is>
          <t>gebraucht</t>
        </is>
      </c>
      <c r="O332" s="19" t="n"/>
      <c r="P332" s="19" t="inlineStr">
        <is>
          <t>ja</t>
        </is>
      </c>
      <c r="Q332" s="19" t="n"/>
      <c r="R332" s="20" t="n"/>
      <c r="S332" s="20" t="n">
        <v>45</v>
      </c>
      <c r="T332" s="19" t="inlineStr">
        <is>
          <t>VHB</t>
        </is>
      </c>
      <c r="U332" s="21">
        <f>L332*S332</f>
        <v/>
      </c>
      <c r="V332" s="15" t="inlineStr">
        <is>
          <t>nur Abholung</t>
        </is>
      </c>
      <c r="W332" s="15" t="inlineStr">
        <is>
          <t>F-403</t>
        </is>
      </c>
      <c r="X332" s="19" t="inlineStr">
        <is>
          <t>ja</t>
        </is>
      </c>
      <c r="Y332" s="19" t="n"/>
      <c r="Z332" s="19" t="inlineStr">
        <is>
          <t>verfügbar</t>
        </is>
      </c>
      <c r="AA332" s="19" t="n"/>
      <c r="AB332" s="19" t="n"/>
      <c r="AC332" s="19" t="n"/>
      <c r="AD332" s="19" t="n"/>
      <c r="AE332" s="20" t="n"/>
      <c r="AF332" s="21">
        <f>IF(K332="","",K332*AE332)</f>
        <v/>
      </c>
      <c r="AG332" s="19" t="n"/>
      <c r="AH332" s="19" t="n"/>
      <c r="AI332" s="19" t="n"/>
      <c r="AJ332" s="19" t="n"/>
      <c r="AK332" s="19" t="n"/>
      <c r="AL332" s="19" t="n"/>
      <c r="AM332" s="16" t="inlineStr">
        <is>
          <t>1 Regal. Die Bücher gehören nicht dazu.</t>
        </is>
      </c>
      <c r="AN332" s="22" t="n"/>
    </row>
    <row r="333" ht="30" customHeight="1">
      <c r="A333" s="15" t="inlineStr">
        <is>
          <t>BU04-15</t>
        </is>
      </c>
      <c r="B333" s="15" t="n"/>
      <c r="C333" s="15" t="n"/>
      <c r="D333" s="15" t="inlineStr">
        <is>
          <t>BU04</t>
        </is>
      </c>
      <c r="E333" s="15" t="inlineStr">
        <is>
          <t>Acrylbilder Roboter, schwarz-weiß</t>
        </is>
      </c>
      <c r="F333" s="16" t="inlineStr">
        <is>
          <t>Zwei Bilder auf Leinwand im Quadrat: Roboterfiguren mit breitem Pinsel in Schwarz auf weißem Grund. Eigenarbeit einer Privatperson, nicht signiert.</t>
        </is>
      </c>
      <c r="G333" s="15" t="inlineStr">
        <is>
          <t>Kunst</t>
        </is>
      </c>
      <c r="H333" s="15" t="inlineStr">
        <is>
          <t>Gruppenraum</t>
        </is>
      </c>
      <c r="I333" s="15" t="inlineStr">
        <is>
          <t>C</t>
        </is>
      </c>
      <c r="J333" s="17" t="n">
        <v>2</v>
      </c>
      <c r="K333" s="17" t="n"/>
      <c r="L333" s="18">
        <f>J333-IF(K333="",0,K333)</f>
        <v/>
      </c>
      <c r="M333" s="15" t="inlineStr">
        <is>
          <t>Stück</t>
        </is>
      </c>
      <c r="N333" s="15" t="inlineStr">
        <is>
          <t>gut</t>
        </is>
      </c>
      <c r="O333" s="19" t="n"/>
      <c r="P333" s="19" t="inlineStr">
        <is>
          <t>ja</t>
        </is>
      </c>
      <c r="Q333" s="19" t="n"/>
      <c r="R333" s="20" t="n"/>
      <c r="S333" s="20" t="n">
        <v>60</v>
      </c>
      <c r="T333" s="19" t="inlineStr">
        <is>
          <t>VHB</t>
        </is>
      </c>
      <c r="U333" s="21">
        <f>L333*S333</f>
        <v/>
      </c>
      <c r="V333" s="15" t="inlineStr">
        <is>
          <t>Versand möglich</t>
        </is>
      </c>
      <c r="W333" s="15" t="inlineStr">
        <is>
          <t>F-407</t>
        </is>
      </c>
      <c r="X333" s="19" t="inlineStr">
        <is>
          <t>ja</t>
        </is>
      </c>
      <c r="Y333" s="19" t="n"/>
      <c r="Z333" s="19" t="inlineStr">
        <is>
          <t>verfügbar</t>
        </is>
      </c>
      <c r="AA333" s="19" t="n"/>
      <c r="AB333" s="19" t="n"/>
      <c r="AC333" s="19" t="n"/>
      <c r="AD333" s="19" t="n"/>
      <c r="AE333" s="20" t="n"/>
      <c r="AF333" s="21">
        <f>IF(K333="","",K333*AE333)</f>
        <v/>
      </c>
      <c r="AG333" s="19" t="n"/>
      <c r="AH333" s="19" t="n"/>
      <c r="AI333" s="19" t="n"/>
      <c r="AJ333" s="19" t="n"/>
      <c r="AK333" s="19" t="n"/>
      <c r="AL333" s="19" t="n"/>
      <c r="AM333" s="16" t="inlineStr">
        <is>
          <t>2 Bilder auf Keilrahmen, ungerahmt – beide auf dem Foto zu sehen.</t>
        </is>
      </c>
      <c r="AN333" s="22" t="n"/>
    </row>
    <row r="334" ht="30" customHeight="1">
      <c r="A334" s="15" t="inlineStr">
        <is>
          <t>BU05-01</t>
        </is>
      </c>
      <c r="B334" s="15" t="n"/>
      <c r="C334" s="15" t="n"/>
      <c r="D334" s="15" t="inlineStr">
        <is>
          <t>BU05</t>
        </is>
      </c>
      <c r="E334" s="15" t="inlineStr">
        <is>
          <t>Spielhaus weiß mit Hochebene und Bett</t>
        </is>
      </c>
      <c r="F334" s="16" t="inlineStr">
        <is>
          <t>Große Spielhaus-Konstruktion in Weiß: obere Spielebene mit Brüstung, grüner Tafel und Ablagefach, darunter eine Liegefläche mit Matratze. Eine Seitenwand trägt eine goldene Krone als Aufkleber.</t>
        </is>
      </c>
      <c r="G334" s="15" t="inlineStr">
        <is>
          <t>Kita-Ausstattung</t>
        </is>
      </c>
      <c r="H334" s="15" t="inlineStr">
        <is>
          <t>Schlafraum</t>
        </is>
      </c>
      <c r="I334" s="15" t="inlineStr">
        <is>
          <t>A</t>
        </is>
      </c>
      <c r="J334" s="17" t="n">
        <v>1</v>
      </c>
      <c r="K334" s="17" t="n"/>
      <c r="L334" s="18">
        <f>J334-IF(K334="",0,K334)</f>
        <v/>
      </c>
      <c r="M334" s="15" t="inlineStr">
        <is>
          <t>Stück</t>
        </is>
      </c>
      <c r="N334" s="15" t="inlineStr">
        <is>
          <t>gebraucht</t>
        </is>
      </c>
      <c r="O334" s="19" t="n"/>
      <c r="P334" s="19" t="inlineStr">
        <is>
          <t>ja</t>
        </is>
      </c>
      <c r="Q334" s="19" t="n"/>
      <c r="R334" s="20" t="n"/>
      <c r="S334" s="20" t="n">
        <v>450</v>
      </c>
      <c r="T334" s="19" t="inlineStr">
        <is>
          <t>VHB</t>
        </is>
      </c>
      <c r="U334" s="21">
        <f>L334*S334</f>
        <v/>
      </c>
      <c r="V334" s="15" t="inlineStr">
        <is>
          <t>nur Abholung</t>
        </is>
      </c>
      <c r="W334" s="15" t="inlineStr">
        <is>
          <t>F-409</t>
        </is>
      </c>
      <c r="X334" s="19" t="inlineStr">
        <is>
          <t>ja</t>
        </is>
      </c>
      <c r="Y334" s="19" t="n"/>
      <c r="Z334" s="19" t="inlineStr">
        <is>
          <t>verfügbar</t>
        </is>
      </c>
      <c r="AA334" s="19" t="n"/>
      <c r="AB334" s="19" t="n"/>
      <c r="AC334" s="19" t="n"/>
      <c r="AD334" s="19" t="n"/>
      <c r="AE334" s="20" t="n"/>
      <c r="AF334" s="21">
        <f>IF(K334="","",K334*AE334)</f>
        <v/>
      </c>
      <c r="AG334" s="19" t="n"/>
      <c r="AH334" s="19" t="n"/>
      <c r="AI334" s="19" t="n"/>
      <c r="AJ334" s="19" t="n"/>
      <c r="AK334" s="19" t="n"/>
      <c r="AL334" s="19" t="n"/>
      <c r="AM334" s="16" t="inlineStr">
        <is>
          <t>1 Spielhaus einschließlich Matratze. Bettwäsche und Spielzeug gehören nicht dazu. Der Aufkleber ist auf Foto F-410 zu sehen.</t>
        </is>
      </c>
      <c r="AN334" s="22" t="n"/>
    </row>
    <row r="335" ht="30" customHeight="1">
      <c r="A335" s="15" t="inlineStr">
        <is>
          <t>BU05-02</t>
        </is>
      </c>
      <c r="B335" s="15" t="n"/>
      <c r="C335" s="15" t="n"/>
      <c r="D335" s="15" t="inlineStr">
        <is>
          <t>BU05</t>
        </is>
      </c>
      <c r="E335" s="15" t="inlineStr">
        <is>
          <t>Wesco Spielküche, vier Module mit Mikrowelle</t>
        </is>
      </c>
      <c r="F335" s="16" t="inlineStr">
        <is>
          <t>Spielküche von Wesco aus Birke-Multiplex: offenes Regalmodul, Backofenmodul mit Klappe, Spülenmodul mit Becken und Kochfeldmodul, dazu eine aufgesetzte Spielmikrowelle. Fronten mit aufgedruckten Bedienfeldern, Rückwände mit Fliesenmuster.</t>
        </is>
      </c>
      <c r="G335" s="15" t="inlineStr">
        <is>
          <t>Kita-Ausstattung</t>
        </is>
      </c>
      <c r="H335" s="15" t="inlineStr">
        <is>
          <t>Schlafraum</t>
        </is>
      </c>
      <c r="I335" s="15" t="inlineStr">
        <is>
          <t>A</t>
        </is>
      </c>
      <c r="J335" s="17" t="n">
        <v>1</v>
      </c>
      <c r="K335" s="17" t="n"/>
      <c r="L335" s="18">
        <f>J335-IF(K335="",0,K335)</f>
        <v/>
      </c>
      <c r="M335" s="15" t="inlineStr">
        <is>
          <t>Set</t>
        </is>
      </c>
      <c r="N335" s="15" t="inlineStr">
        <is>
          <t>gebraucht</t>
        </is>
      </c>
      <c r="O335" s="19" t="n"/>
      <c r="P335" s="19" t="inlineStr">
        <is>
          <t>ja</t>
        </is>
      </c>
      <c r="Q335" s="19" t="n"/>
      <c r="R335" s="20" t="n"/>
      <c r="S335" s="20" t="n">
        <v>550</v>
      </c>
      <c r="T335" s="19" t="inlineStr">
        <is>
          <t>VHB</t>
        </is>
      </c>
      <c r="U335" s="21">
        <f>L335*S335</f>
        <v/>
      </c>
      <c r="V335" s="15" t="inlineStr">
        <is>
          <t>nur Abholung</t>
        </is>
      </c>
      <c r="W335" s="15" t="inlineStr">
        <is>
          <t>F-411</t>
        </is>
      </c>
      <c r="X335" s="19" t="inlineStr">
        <is>
          <t>ja</t>
        </is>
      </c>
      <c r="Y335" s="19" t="n"/>
      <c r="Z335" s="19" t="inlineStr">
        <is>
          <t>verfügbar</t>
        </is>
      </c>
      <c r="AA335" s="19" t="inlineStr">
        <is>
          <t>Wesco</t>
        </is>
      </c>
      <c r="AB335" s="19" t="n"/>
      <c r="AC335" s="19" t="n"/>
      <c r="AD335" s="19" t="n"/>
      <c r="AE335" s="20" t="n"/>
      <c r="AF335" s="21">
        <f>IF(K335="","",K335*AE335)</f>
        <v/>
      </c>
      <c r="AG335" s="19" t="n"/>
      <c r="AH335" s="19" t="n"/>
      <c r="AI335" s="19" t="n"/>
      <c r="AJ335" s="19" t="n"/>
      <c r="AK335" s="19" t="n"/>
      <c r="AL335" s="19" t="n"/>
      <c r="AM335" s="16" t="inlineStr">
        <is>
          <t>1 Küchenzeile aus vier Modulen einschließlich Mikrowelle. Spielgeschirr, Vorratsgläser und Lebensmittel gehören nicht dazu. Weitere Wesco-Spielküchen stehen unter NU03-03 und NU07-03.</t>
        </is>
      </c>
      <c r="AN335" s="22" t="n"/>
    </row>
    <row r="336" ht="30" customHeight="1">
      <c r="A336" s="15" t="inlineStr">
        <is>
          <t>BU05-03</t>
        </is>
      </c>
      <c r="B336" s="15" t="n"/>
      <c r="C336" s="15" t="n"/>
      <c r="D336" s="15" t="inlineStr">
        <is>
          <t>BU05</t>
        </is>
      </c>
      <c r="E336" s="15" t="inlineStr">
        <is>
          <t>Treppenregal weiß mit Wannen</t>
        </is>
      </c>
      <c r="F336" s="16" t="inlineStr">
        <is>
          <t>Weißes Regal in Treppenform: zwei hohe Fächer mit eingeschobenen Kunststoffwannen, dazu eine niedrigere Stufe mit Ablage und Wanne, die als Sitzfläche dient.</t>
        </is>
      </c>
      <c r="G336" s="15" t="inlineStr">
        <is>
          <t>Kita-Ausstattung</t>
        </is>
      </c>
      <c r="H336" s="15" t="inlineStr">
        <is>
          <t>Schlafraum</t>
        </is>
      </c>
      <c r="I336" s="15" t="inlineStr">
        <is>
          <t>B</t>
        </is>
      </c>
      <c r="J336" s="17" t="n">
        <v>1</v>
      </c>
      <c r="K336" s="17" t="n"/>
      <c r="L336" s="18">
        <f>J336-IF(K336="",0,K336)</f>
        <v/>
      </c>
      <c r="M336" s="15" t="inlineStr">
        <is>
          <t>Stück</t>
        </is>
      </c>
      <c r="N336" s="15" t="inlineStr">
        <is>
          <t>gebraucht</t>
        </is>
      </c>
      <c r="O336" s="19" t="n"/>
      <c r="P336" s="19" t="inlineStr">
        <is>
          <t>ja</t>
        </is>
      </c>
      <c r="Q336" s="19" t="n"/>
      <c r="R336" s="20" t="n"/>
      <c r="S336" s="20" t="n">
        <v>60</v>
      </c>
      <c r="T336" s="19" t="inlineStr">
        <is>
          <t>VHB</t>
        </is>
      </c>
      <c r="U336" s="21">
        <f>L336*S336</f>
        <v/>
      </c>
      <c r="V336" s="15" t="inlineStr">
        <is>
          <t>nur Abholung</t>
        </is>
      </c>
      <c r="W336" s="15" t="inlineStr">
        <is>
          <t>F-412</t>
        </is>
      </c>
      <c r="X336" s="19" t="inlineStr">
        <is>
          <t>ja</t>
        </is>
      </c>
      <c r="Y336" s="19" t="n"/>
      <c r="Z336" s="19" t="inlineStr">
        <is>
          <t>verfügbar</t>
        </is>
      </c>
      <c r="AA336" s="19" t="n"/>
      <c r="AB336" s="19" t="n"/>
      <c r="AC336" s="19" t="n"/>
      <c r="AD336" s="19" t="n"/>
      <c r="AE336" s="20" t="n"/>
      <c r="AF336" s="21">
        <f>IF(K336="","",K336*AE336)</f>
        <v/>
      </c>
      <c r="AG336" s="19" t="n"/>
      <c r="AH336" s="19" t="n"/>
      <c r="AI336" s="19" t="n"/>
      <c r="AJ336" s="19" t="n"/>
      <c r="AK336" s="19" t="n"/>
      <c r="AL336" s="19" t="n"/>
      <c r="AM336" s="16" t="inlineStr">
        <is>
          <t>1 Regal einschließlich der Wannen. Der Inhalt gehört nicht dazu.</t>
        </is>
      </c>
      <c r="AN336" s="22" t="n"/>
    </row>
    <row r="337" ht="30" customHeight="1">
      <c r="A337" s="15" t="inlineStr">
        <is>
          <t>BU05-04</t>
        </is>
      </c>
      <c r="B337" s="15" t="n"/>
      <c r="C337" s="15" t="n"/>
      <c r="D337" s="15" t="inlineStr">
        <is>
          <t>BU05</t>
        </is>
      </c>
      <c r="E337" s="15" t="inlineStr">
        <is>
          <t>Schaukeltier Storch</t>
        </is>
      </c>
      <c r="F337" s="16" t="inlineStr">
        <is>
          <t>Plüsch-Schaukeltier in Storchenform: weißer Körper mit rotem Schnabel, gelber Zipfelmütze mit Bommeln und rot-weiß gepunktetem Sattel mit Haltegriff, auf hellen Holzkufen.</t>
        </is>
      </c>
      <c r="G337" s="15" t="inlineStr">
        <is>
          <t>Kita-Ausstattung</t>
        </is>
      </c>
      <c r="H337" s="15" t="inlineStr">
        <is>
          <t>Schlafraum</t>
        </is>
      </c>
      <c r="I337" s="15" t="inlineStr">
        <is>
          <t>C</t>
        </is>
      </c>
      <c r="J337" s="17" t="n">
        <v>1</v>
      </c>
      <c r="K337" s="17" t="n"/>
      <c r="L337" s="18">
        <f>J337-IF(K337="",0,K337)</f>
        <v/>
      </c>
      <c r="M337" s="15" t="inlineStr">
        <is>
          <t>Stück</t>
        </is>
      </c>
      <c r="N337" s="15" t="inlineStr">
        <is>
          <t>gebraucht</t>
        </is>
      </c>
      <c r="O337" s="19" t="n"/>
      <c r="P337" s="19" t="inlineStr">
        <is>
          <t>ja</t>
        </is>
      </c>
      <c r="Q337" s="19" t="n"/>
      <c r="R337" s="20" t="n"/>
      <c r="S337" s="20" t="n">
        <v>45</v>
      </c>
      <c r="T337" s="19" t="inlineStr">
        <is>
          <t>VHB</t>
        </is>
      </c>
      <c r="U337" s="21">
        <f>L337*S337</f>
        <v/>
      </c>
      <c r="V337" s="15" t="inlineStr">
        <is>
          <t>nur Abholung</t>
        </is>
      </c>
      <c r="W337" s="15" t="inlineStr">
        <is>
          <t>F-413</t>
        </is>
      </c>
      <c r="X337" s="19" t="inlineStr">
        <is>
          <t>ja</t>
        </is>
      </c>
      <c r="Y337" s="19" t="n"/>
      <c r="Z337" s="19" t="inlineStr">
        <is>
          <t>verfügbar</t>
        </is>
      </c>
      <c r="AA337" s="19" t="n"/>
      <c r="AB337" s="19" t="n"/>
      <c r="AC337" s="19" t="n"/>
      <c r="AD337" s="19" t="n"/>
      <c r="AE337" s="20" t="n"/>
      <c r="AF337" s="21">
        <f>IF(K337="","",K337*AE337)</f>
        <v/>
      </c>
      <c r="AG337" s="19" t="n"/>
      <c r="AH337" s="19" t="n"/>
      <c r="AI337" s="19" t="n"/>
      <c r="AJ337" s="19" t="n"/>
      <c r="AK337" s="19" t="n"/>
      <c r="AL337" s="19" t="n"/>
      <c r="AM337" s="16" t="inlineStr">
        <is>
          <t>1 Schaukeltier.</t>
        </is>
      </c>
      <c r="AN337" s="22" t="n"/>
    </row>
    <row r="338" ht="30" customHeight="1">
      <c r="A338" s="15" t="inlineStr">
        <is>
          <t>BU05-05</t>
        </is>
      </c>
      <c r="B338" s="15" t="n"/>
      <c r="C338" s="15" t="n"/>
      <c r="D338" s="15" t="inlineStr">
        <is>
          <t>BU05</t>
        </is>
      </c>
      <c r="E338" s="15" t="inlineStr">
        <is>
          <t>Kindersessel Teddyfell beige</t>
        </is>
      </c>
      <c r="F338" s="16" t="inlineStr">
        <is>
          <t>Kindersessel aus beigem Teddyfell mit runder Lehne, zwei aufgesetzten Ohren und breiten Armlehnen. Am Rücken ein Tragegriff; das Band am Griff ist eingerissen.</t>
        </is>
      </c>
      <c r="G338" s="15" t="inlineStr">
        <is>
          <t>Möbel</t>
        </is>
      </c>
      <c r="H338" s="15" t="inlineStr">
        <is>
          <t>Schlafraum</t>
        </is>
      </c>
      <c r="I338" s="15" t="inlineStr">
        <is>
          <t>C</t>
        </is>
      </c>
      <c r="J338" s="17" t="n">
        <v>1</v>
      </c>
      <c r="K338" s="17" t="n"/>
      <c r="L338" s="18">
        <f>J338-IF(K338="",0,K338)</f>
        <v/>
      </c>
      <c r="M338" s="15" t="inlineStr">
        <is>
          <t>Stück</t>
        </is>
      </c>
      <c r="N338" s="15" t="inlineStr">
        <is>
          <t>gebraucht</t>
        </is>
      </c>
      <c r="O338" s="19" t="n"/>
      <c r="P338" s="19" t="inlineStr">
        <is>
          <t>ja</t>
        </is>
      </c>
      <c r="Q338" s="19" t="n"/>
      <c r="R338" s="20" t="n"/>
      <c r="S338" s="20" t="n">
        <v>45</v>
      </c>
      <c r="T338" s="19" t="inlineStr">
        <is>
          <t>VHB</t>
        </is>
      </c>
      <c r="U338" s="21">
        <f>L338*S338</f>
        <v/>
      </c>
      <c r="V338" s="15" t="inlineStr">
        <is>
          <t>nur Abholung</t>
        </is>
      </c>
      <c r="W338" s="15" t="inlineStr">
        <is>
          <t>F-414</t>
        </is>
      </c>
      <c r="X338" s="19" t="inlineStr">
        <is>
          <t>ja</t>
        </is>
      </c>
      <c r="Y338" s="19" t="n"/>
      <c r="Z338" s="19" t="inlineStr">
        <is>
          <t>verfügbar</t>
        </is>
      </c>
      <c r="AA338" s="19" t="n"/>
      <c r="AB338" s="19" t="n"/>
      <c r="AC338" s="19" t="n"/>
      <c r="AD338" s="19" t="n"/>
      <c r="AE338" s="20" t="n"/>
      <c r="AF338" s="21">
        <f>IF(K338="","",K338*AE338)</f>
        <v/>
      </c>
      <c r="AG338" s="19" t="n"/>
      <c r="AH338" s="19" t="n"/>
      <c r="AI338" s="19" t="n"/>
      <c r="AJ338" s="19" t="n"/>
      <c r="AK338" s="19" t="n"/>
      <c r="AL338" s="19" t="n"/>
      <c r="AM338" s="16" t="inlineStr">
        <is>
          <t>1 Sessel.</t>
        </is>
      </c>
      <c r="AN338" s="22" t="n"/>
    </row>
    <row r="339" ht="30" customHeight="1">
      <c r="A339" s="15" t="inlineStr">
        <is>
          <t>BU05-06</t>
        </is>
      </c>
      <c r="B339" s="15" t="n"/>
      <c r="C339" s="15" t="n"/>
      <c r="D339" s="15" t="inlineStr">
        <is>
          <t>BU05</t>
        </is>
      </c>
      <c r="E339" s="15" t="inlineStr">
        <is>
          <t>Sitzbank gepolstert, hellgrau</t>
        </is>
      </c>
      <c r="F339" s="16" t="inlineStr">
        <is>
          <t>Niedrige gepolsterte Sitzbank in Kinderhöhe mit hellgrauem Chenillebezug und flacher Rückenlehne, ohne Armlehnen. Der Bezug ist an mehreren Stellen fleckig.</t>
        </is>
      </c>
      <c r="G339" s="15" t="inlineStr">
        <is>
          <t>Möbel</t>
        </is>
      </c>
      <c r="H339" s="15" t="inlineStr">
        <is>
          <t>Schlafraum</t>
        </is>
      </c>
      <c r="I339" s="15" t="inlineStr">
        <is>
          <t>B</t>
        </is>
      </c>
      <c r="J339" s="17" t="n">
        <v>2</v>
      </c>
      <c r="K339" s="17" t="n"/>
      <c r="L339" s="18">
        <f>J339-IF(K339="",0,K339)</f>
        <v/>
      </c>
      <c r="M339" s="15" t="inlineStr">
        <is>
          <t>Stück</t>
        </is>
      </c>
      <c r="N339" s="15" t="inlineStr">
        <is>
          <t>gebraucht</t>
        </is>
      </c>
      <c r="O339" s="19" t="n"/>
      <c r="P339" s="19" t="inlineStr">
        <is>
          <t>ja</t>
        </is>
      </c>
      <c r="Q339" s="19" t="n"/>
      <c r="R339" s="20" t="n"/>
      <c r="S339" s="20" t="n">
        <v>80</v>
      </c>
      <c r="T339" s="19" t="inlineStr">
        <is>
          <t>VHB</t>
        </is>
      </c>
      <c r="U339" s="21">
        <f>L339*S339</f>
        <v/>
      </c>
      <c r="V339" s="15" t="inlineStr">
        <is>
          <t>nur Abholung</t>
        </is>
      </c>
      <c r="W339" s="15" t="inlineStr">
        <is>
          <t>F-415</t>
        </is>
      </c>
      <c r="X339" s="19" t="inlineStr">
        <is>
          <t>ja</t>
        </is>
      </c>
      <c r="Y339" s="19" t="n"/>
      <c r="Z339" s="19" t="inlineStr">
        <is>
          <t>verfügbar</t>
        </is>
      </c>
      <c r="AA339" s="19" t="n"/>
      <c r="AB339" s="19" t="n"/>
      <c r="AC339" s="19" t="n"/>
      <c r="AD339" s="19" t="n"/>
      <c r="AE339" s="20" t="n"/>
      <c r="AF339" s="21">
        <f>IF(K339="","",K339*AE339)</f>
        <v/>
      </c>
      <c r="AG339" s="19" t="n"/>
      <c r="AH339" s="19" t="n"/>
      <c r="AI339" s="19" t="n"/>
      <c r="AJ339" s="19" t="n"/>
      <c r="AK339" s="19" t="n"/>
      <c r="AL339" s="19" t="n"/>
      <c r="AM339" s="16" t="inlineStr">
        <is>
          <t>2 Bänke – abgebildet ist eine davon.</t>
        </is>
      </c>
      <c r="AN339" s="22" t="n"/>
    </row>
    <row r="340" ht="30" customHeight="1">
      <c r="A340" s="15" t="inlineStr">
        <is>
          <t>BU05-07</t>
        </is>
      </c>
      <c r="B340" s="15" t="n"/>
      <c r="C340" s="15" t="n"/>
      <c r="D340" s="15" t="inlineStr">
        <is>
          <t>BU05</t>
        </is>
      </c>
      <c r="E340" s="15" t="inlineStr">
        <is>
          <t>Puppenwagen rosa mit Tragetasche</t>
        </is>
      </c>
      <c r="F340" s="16" t="inlineStr">
        <is>
          <t>Puppen-Sportwagen mit rosa-weiß gestreiftem Bezug, blauem Verdeck und höhenverstellbarem Schiebegriff, dazu eine passende Tragetasche. Der Griff ist an mehreren Stellen aufgerissen.</t>
        </is>
      </c>
      <c r="G340" s="15" t="inlineStr">
        <is>
          <t>Kita-Ausstattung</t>
        </is>
      </c>
      <c r="H340" s="15" t="inlineStr">
        <is>
          <t>Schlafraum</t>
        </is>
      </c>
      <c r="I340" s="15" t="inlineStr">
        <is>
          <t>C</t>
        </is>
      </c>
      <c r="J340" s="17" t="n">
        <v>1</v>
      </c>
      <c r="K340" s="17" t="n"/>
      <c r="L340" s="18">
        <f>J340-IF(K340="",0,K340)</f>
        <v/>
      </c>
      <c r="M340" s="15" t="inlineStr">
        <is>
          <t>Stück</t>
        </is>
      </c>
      <c r="N340" s="15" t="inlineStr">
        <is>
          <t>stark gebraucht</t>
        </is>
      </c>
      <c r="O340" s="19" t="n"/>
      <c r="P340" s="19" t="inlineStr">
        <is>
          <t>ja</t>
        </is>
      </c>
      <c r="Q340" s="19" t="n"/>
      <c r="R340" s="20" t="n"/>
      <c r="S340" s="20" t="n">
        <v>25</v>
      </c>
      <c r="T340" s="19" t="inlineStr">
        <is>
          <t>VHB</t>
        </is>
      </c>
      <c r="U340" s="21">
        <f>L340*S340</f>
        <v/>
      </c>
      <c r="V340" s="15" t="inlineStr">
        <is>
          <t>nur Abholung</t>
        </is>
      </c>
      <c r="W340" s="15" t="inlineStr">
        <is>
          <t>F-417</t>
        </is>
      </c>
      <c r="X340" s="19" t="inlineStr">
        <is>
          <t>ja</t>
        </is>
      </c>
      <c r="Y340" s="19" t="n"/>
      <c r="Z340" s="19" t="inlineStr">
        <is>
          <t>verfügbar</t>
        </is>
      </c>
      <c r="AA340" s="19" t="n"/>
      <c r="AB340" s="19" t="n"/>
      <c r="AC340" s="19" t="n"/>
      <c r="AD340" s="19" t="n"/>
      <c r="AE340" s="20" t="n"/>
      <c r="AF340" s="21">
        <f>IF(K340="","",K340*AE340)</f>
        <v/>
      </c>
      <c r="AG340" s="19" t="n"/>
      <c r="AH340" s="19" t="n"/>
      <c r="AI340" s="19" t="n"/>
      <c r="AJ340" s="19" t="n"/>
      <c r="AK340" s="19" t="n"/>
      <c r="AL340" s="19" t="n"/>
      <c r="AM340" s="16" t="inlineStr">
        <is>
          <t>1 Wagen einschließlich Tragetasche. Die Puppe gehört nicht dazu; sie ist auf Foto F-416 mit abgebildet.</t>
        </is>
      </c>
      <c r="AN340" s="22" t="n"/>
    </row>
    <row r="341" ht="30" customHeight="1">
      <c r="A341" s="15" t="inlineStr">
        <is>
          <t>BU05-09</t>
        </is>
      </c>
      <c r="B341" s="15" t="n"/>
      <c r="C341" s="15" t="n"/>
      <c r="D341" s="15" t="inlineStr">
        <is>
          <t>BU05</t>
        </is>
      </c>
      <c r="E341" s="15" t="inlineStr">
        <is>
          <t>Puppenwagen Holz mit Gummirädern</t>
        </is>
      </c>
      <c r="F341" s="16" t="inlineStr">
        <is>
          <t>Puppen- und Lauflernwagen von Wesco aus Birke-Multiplex mit hohem Schiebebügel und vier schwarzen Gummirädern.</t>
        </is>
      </c>
      <c r="G341" s="15" t="inlineStr">
        <is>
          <t>Kita-Ausstattung</t>
        </is>
      </c>
      <c r="H341" s="15" t="inlineStr">
        <is>
          <t>Schlafraum</t>
        </is>
      </c>
      <c r="I341" s="15" t="inlineStr">
        <is>
          <t>B</t>
        </is>
      </c>
      <c r="J341" s="17" t="n">
        <v>1</v>
      </c>
      <c r="K341" s="17" t="n"/>
      <c r="L341" s="18">
        <f>J341-IF(K341="",0,K341)</f>
        <v/>
      </c>
      <c r="M341" s="15" t="inlineStr">
        <is>
          <t>Stück</t>
        </is>
      </c>
      <c r="N341" s="15" t="inlineStr">
        <is>
          <t>gebraucht</t>
        </is>
      </c>
      <c r="O341" s="19" t="n"/>
      <c r="P341" s="19" t="inlineStr">
        <is>
          <t>ja</t>
        </is>
      </c>
      <c r="Q341" s="19" t="n"/>
      <c r="R341" s="20" t="n"/>
      <c r="S341" s="20" t="n">
        <v>60</v>
      </c>
      <c r="T341" s="19" t="inlineStr">
        <is>
          <t>VHB</t>
        </is>
      </c>
      <c r="U341" s="21">
        <f>L341*S341</f>
        <v/>
      </c>
      <c r="V341" s="15" t="inlineStr">
        <is>
          <t>nur Abholung</t>
        </is>
      </c>
      <c r="W341" s="15" t="inlineStr">
        <is>
          <t>F-420</t>
        </is>
      </c>
      <c r="X341" s="19" t="inlineStr">
        <is>
          <t>ja</t>
        </is>
      </c>
      <c r="Y341" s="19" t="n"/>
      <c r="Z341" s="19" t="inlineStr">
        <is>
          <t>verfügbar</t>
        </is>
      </c>
      <c r="AA341" s="19" t="inlineStr">
        <is>
          <t>Wesco</t>
        </is>
      </c>
      <c r="AB341" s="19" t="n"/>
      <c r="AC341" s="19" t="n"/>
      <c r="AD341" s="19" t="n"/>
      <c r="AE341" s="20" t="n"/>
      <c r="AF341" s="21">
        <f>IF(K341="","",K341*AE341)</f>
        <v/>
      </c>
      <c r="AG341" s="19" t="n"/>
      <c r="AH341" s="19" t="n"/>
      <c r="AI341" s="19" t="n"/>
      <c r="AJ341" s="19" t="n"/>
      <c r="AK341" s="19" t="n"/>
      <c r="AL341" s="19" t="n"/>
      <c r="AM341" s="16" t="inlineStr">
        <is>
          <t>1 Wagen. Puppe, Kissen und Decke gehören nicht dazu.</t>
        </is>
      </c>
      <c r="AN341" s="22" t="n"/>
    </row>
    <row r="342" ht="30" customHeight="1">
      <c r="A342" s="15" t="inlineStr">
        <is>
          <t>BU05-10</t>
        </is>
      </c>
      <c r="B342" s="15" t="n"/>
      <c r="C342" s="15" t="n"/>
      <c r="D342" s="15" t="inlineStr">
        <is>
          <t>BU05</t>
        </is>
      </c>
      <c r="E342" s="15" t="inlineStr">
        <is>
          <t>Wesco Rutschfahrzeug mit Spielelementen</t>
        </is>
      </c>
      <c r="F342" s="16" t="inlineStr">
        <is>
          <t>Rutschfahrzeug aus Birke-Multiplex mit gepolsterter Sitzfläche, Steckformen im Sitz, Rückenlehne mit rundem Spiegel und seitlichen Zahnrädern zum Drehen, auf vier Gummirädern. Logo auf der Frontblende: wesco.</t>
        </is>
      </c>
      <c r="G342" s="15" t="inlineStr">
        <is>
          <t>Kita-Ausstattung</t>
        </is>
      </c>
      <c r="H342" s="15" t="inlineStr">
        <is>
          <t>Schlafraum</t>
        </is>
      </c>
      <c r="I342" s="15" t="inlineStr">
        <is>
          <t>B</t>
        </is>
      </c>
      <c r="J342" s="17" t="n">
        <v>1</v>
      </c>
      <c r="K342" s="17" t="n"/>
      <c r="L342" s="18">
        <f>J342-IF(K342="",0,K342)</f>
        <v/>
      </c>
      <c r="M342" s="15" t="inlineStr">
        <is>
          <t>Stück</t>
        </is>
      </c>
      <c r="N342" s="15" t="inlineStr">
        <is>
          <t>gebraucht</t>
        </is>
      </c>
      <c r="O342" s="19" t="n"/>
      <c r="P342" s="19" t="inlineStr">
        <is>
          <t>ja</t>
        </is>
      </c>
      <c r="Q342" s="19" t="n"/>
      <c r="R342" s="20" t="n"/>
      <c r="S342" s="20" t="n">
        <v>90</v>
      </c>
      <c r="T342" s="19" t="inlineStr">
        <is>
          <t>VHB</t>
        </is>
      </c>
      <c r="U342" s="21">
        <f>L342*S342</f>
        <v/>
      </c>
      <c r="V342" s="15" t="inlineStr">
        <is>
          <t>nur Abholung</t>
        </is>
      </c>
      <c r="W342" s="15" t="inlineStr">
        <is>
          <t>F-421</t>
        </is>
      </c>
      <c r="X342" s="19" t="inlineStr">
        <is>
          <t>ja</t>
        </is>
      </c>
      <c r="Y342" s="19" t="n"/>
      <c r="Z342" s="19" t="inlineStr">
        <is>
          <t>verfügbar</t>
        </is>
      </c>
      <c r="AA342" s="19" t="inlineStr">
        <is>
          <t>Wesco</t>
        </is>
      </c>
      <c r="AB342" s="19" t="n"/>
      <c r="AC342" s="19" t="n"/>
      <c r="AD342" s="19" t="n"/>
      <c r="AE342" s="20" t="n"/>
      <c r="AF342" s="21">
        <f>IF(K342="","",K342*AE342)</f>
        <v/>
      </c>
      <c r="AG342" s="19" t="n"/>
      <c r="AH342" s="19" t="n"/>
      <c r="AI342" s="19" t="n"/>
      <c r="AJ342" s="19" t="n"/>
      <c r="AK342" s="19" t="n"/>
      <c r="AL342" s="19" t="n"/>
      <c r="AM342" s="16" t="inlineStr">
        <is>
          <t>1 Fahrzeug.</t>
        </is>
      </c>
      <c r="AN342" s="22" t="n"/>
    </row>
    <row r="343" ht="30" customHeight="1">
      <c r="A343" s="15" t="inlineStr">
        <is>
          <t>BU06-05</t>
        </is>
      </c>
      <c r="B343" s="15" t="n"/>
      <c r="C343" s="15" t="n"/>
      <c r="D343" s="15" t="inlineStr">
        <is>
          <t>BU06</t>
        </is>
      </c>
      <c r="E343" s="15" t="inlineStr">
        <is>
          <t>Lernturm Holz natur</t>
        </is>
      </c>
      <c r="F343" s="16" t="inlineStr">
        <is>
          <t>Küchen-Lernturm aus hellem Multiplex: Standfläche in Arbeitshöhe, umlaufende Brüstung mit Griffausschnitten und eine tiefer liegende Aufstiegsstufe. Kanten an mehreren Stellen abgestoßen.</t>
        </is>
      </c>
      <c r="G343" s="15" t="inlineStr">
        <is>
          <t>Kita-Ausstattung</t>
        </is>
      </c>
      <c r="H343" s="15" t="inlineStr">
        <is>
          <t>Küche / Essen</t>
        </is>
      </c>
      <c r="I343" s="15" t="inlineStr">
        <is>
          <t>B</t>
        </is>
      </c>
      <c r="J343" s="17" t="n">
        <v>1</v>
      </c>
      <c r="K343" s="17" t="n"/>
      <c r="L343" s="18">
        <f>J343-IF(K343="",0,K343)</f>
        <v/>
      </c>
      <c r="M343" s="15" t="inlineStr">
        <is>
          <t>Stück</t>
        </is>
      </c>
      <c r="N343" s="15" t="inlineStr">
        <is>
          <t>gebraucht</t>
        </is>
      </c>
      <c r="O343" s="19" t="n"/>
      <c r="P343" s="19" t="inlineStr">
        <is>
          <t>ja</t>
        </is>
      </c>
      <c r="Q343" s="19" t="n"/>
      <c r="R343" s="20" t="n"/>
      <c r="S343" s="20" t="n">
        <v>70</v>
      </c>
      <c r="T343" s="19" t="inlineStr">
        <is>
          <t>VHB</t>
        </is>
      </c>
      <c r="U343" s="21">
        <f>L343*S343</f>
        <v/>
      </c>
      <c r="V343" s="15" t="inlineStr">
        <is>
          <t>nur Abholung</t>
        </is>
      </c>
      <c r="W343" s="15" t="inlineStr">
        <is>
          <t>F-427</t>
        </is>
      </c>
      <c r="X343" s="19" t="inlineStr">
        <is>
          <t>ja</t>
        </is>
      </c>
      <c r="Y343" s="19" t="n"/>
      <c r="Z343" s="19" t="inlineStr">
        <is>
          <t>verfügbar</t>
        </is>
      </c>
      <c r="AA343" s="19" t="n"/>
      <c r="AB343" s="19" t="n"/>
      <c r="AC343" s="19" t="n"/>
      <c r="AD343" s="19" t="n"/>
      <c r="AE343" s="20" t="n"/>
      <c r="AF343" s="21">
        <f>IF(K343="","",K343*AE343)</f>
        <v/>
      </c>
      <c r="AG343" s="19" t="n"/>
      <c r="AH343" s="19" t="n"/>
      <c r="AI343" s="19" t="n"/>
      <c r="AJ343" s="19" t="n"/>
      <c r="AK343" s="19" t="n"/>
      <c r="AL343" s="19" t="n"/>
      <c r="AM343" s="16" t="inlineStr">
        <is>
          <t>1 Lernturm. Ein zweiter in Weiß steht unter BU06-06.</t>
        </is>
      </c>
      <c r="AN343" s="22" t="n"/>
    </row>
    <row r="344" ht="30" customHeight="1">
      <c r="A344" s="15" t="inlineStr">
        <is>
          <t>BU06-06</t>
        </is>
      </c>
      <c r="B344" s="15" t="n"/>
      <c r="C344" s="15" t="n"/>
      <c r="D344" s="15" t="inlineStr">
        <is>
          <t>BU06</t>
        </is>
      </c>
      <c r="E344" s="15" t="inlineStr">
        <is>
          <t>Lernturm Holz weiß</t>
        </is>
      </c>
      <c r="F344" s="16" t="inlineStr">
        <is>
          <t>Küchen-Lernturm aus weiß lackiertem Multiplex: Standfläche in Arbeitshöhe, hohe Rückwand, Haltestange vorne und eine tiefer liegende Aufstiegsstufe.</t>
        </is>
      </c>
      <c r="G344" s="15" t="inlineStr">
        <is>
          <t>Kita-Ausstattung</t>
        </is>
      </c>
      <c r="H344" s="15" t="inlineStr">
        <is>
          <t>Küche / Essen</t>
        </is>
      </c>
      <c r="I344" s="15" t="inlineStr">
        <is>
          <t>B</t>
        </is>
      </c>
      <c r="J344" s="17" t="n">
        <v>1</v>
      </c>
      <c r="K344" s="17" t="n"/>
      <c r="L344" s="18">
        <f>J344-IF(K344="",0,K344)</f>
        <v/>
      </c>
      <c r="M344" s="15" t="inlineStr">
        <is>
          <t>Stück</t>
        </is>
      </c>
      <c r="N344" s="15" t="inlineStr">
        <is>
          <t>gebraucht</t>
        </is>
      </c>
      <c r="O344" s="19" t="n"/>
      <c r="P344" s="19" t="inlineStr">
        <is>
          <t>ja</t>
        </is>
      </c>
      <c r="Q344" s="19" t="n"/>
      <c r="R344" s="20" t="n"/>
      <c r="S344" s="20" t="n">
        <v>70</v>
      </c>
      <c r="T344" s="19" t="inlineStr">
        <is>
          <t>VHB</t>
        </is>
      </c>
      <c r="U344" s="21">
        <f>L344*S344</f>
        <v/>
      </c>
      <c r="V344" s="15" t="inlineStr">
        <is>
          <t>nur Abholung</t>
        </is>
      </c>
      <c r="W344" s="15" t="inlineStr">
        <is>
          <t>F-428</t>
        </is>
      </c>
      <c r="X344" s="19" t="inlineStr">
        <is>
          <t>ja</t>
        </is>
      </c>
      <c r="Y344" s="19" t="n"/>
      <c r="Z344" s="19" t="inlineStr">
        <is>
          <t>verfügbar</t>
        </is>
      </c>
      <c r="AA344" s="19" t="n"/>
      <c r="AB344" s="19" t="n"/>
      <c r="AC344" s="19" t="n"/>
      <c r="AD344" s="19" t="n"/>
      <c r="AE344" s="20" t="n"/>
      <c r="AF344" s="21">
        <f>IF(K344="","",K344*AE344)</f>
        <v/>
      </c>
      <c r="AG344" s="19" t="n"/>
      <c r="AH344" s="19" t="n"/>
      <c r="AI344" s="19" t="n"/>
      <c r="AJ344" s="19" t="n"/>
      <c r="AK344" s="19" t="n"/>
      <c r="AL344" s="19" t="n"/>
      <c r="AM344" s="16" t="inlineStr">
        <is>
          <t>1 Lernturm. Ein zweiter in Natur steht unter BU06-05.</t>
        </is>
      </c>
      <c r="AN344" s="22" t="n"/>
    </row>
    <row r="345" ht="30" customHeight="1">
      <c r="A345" s="15" t="inlineStr">
        <is>
          <t>BU06-07</t>
        </is>
      </c>
      <c r="B345" s="15" t="n"/>
      <c r="C345" s="15" t="n"/>
      <c r="D345" s="15" t="inlineStr">
        <is>
          <t>BU06</t>
        </is>
      </c>
      <c r="E345" s="15" t="inlineStr">
        <is>
          <t>Rollschrank dunkelgrau, acht Fächer</t>
        </is>
      </c>
      <c r="F345" s="16" t="inlineStr">
        <is>
          <t>Regal in Dunkelgrau mit acht Fächern in zwei Reihen, drei Fächer mit Türen und Metallgriffen, auf Rollen.</t>
        </is>
      </c>
      <c r="G345" s="15" t="inlineStr">
        <is>
          <t>Möbel</t>
        </is>
      </c>
      <c r="H345" s="15" t="inlineStr">
        <is>
          <t>Küche / Essen</t>
        </is>
      </c>
      <c r="I345" s="15" t="inlineStr">
        <is>
          <t>B</t>
        </is>
      </c>
      <c r="J345" s="17" t="n">
        <v>1</v>
      </c>
      <c r="K345" s="17" t="n"/>
      <c r="L345" s="18">
        <f>J345-IF(K345="",0,K345)</f>
        <v/>
      </c>
      <c r="M345" s="15" t="inlineStr">
        <is>
          <t>Stück</t>
        </is>
      </c>
      <c r="N345" s="15" t="inlineStr">
        <is>
          <t>gebraucht</t>
        </is>
      </c>
      <c r="O345" s="19" t="n"/>
      <c r="P345" s="19" t="inlineStr">
        <is>
          <t>ja</t>
        </is>
      </c>
      <c r="Q345" s="19" t="n"/>
      <c r="R345" s="20" t="n"/>
      <c r="S345" s="20" t="n">
        <v>70</v>
      </c>
      <c r="T345" s="19" t="inlineStr">
        <is>
          <t>VHB</t>
        </is>
      </c>
      <c r="U345" s="21">
        <f>L345*S345</f>
        <v/>
      </c>
      <c r="V345" s="15" t="inlineStr">
        <is>
          <t>nur Abholung</t>
        </is>
      </c>
      <c r="W345" s="15" t="inlineStr">
        <is>
          <t>F-429</t>
        </is>
      </c>
      <c r="X345" s="19" t="inlineStr">
        <is>
          <t>ja</t>
        </is>
      </c>
      <c r="Y345" s="19" t="n"/>
      <c r="Z345" s="19" t="inlineStr">
        <is>
          <t>verfügbar</t>
        </is>
      </c>
      <c r="AA345" s="19" t="n"/>
      <c r="AB345" s="19" t="n"/>
      <c r="AC345" s="19" t="n"/>
      <c r="AD345" s="19" t="n"/>
      <c r="AE345" s="20" t="n"/>
      <c r="AF345" s="21">
        <f>IF(K345="","",K345*AE345)</f>
        <v/>
      </c>
      <c r="AG345" s="19" t="n"/>
      <c r="AH345" s="19" t="n"/>
      <c r="AI345" s="19" t="n"/>
      <c r="AJ345" s="19" t="n"/>
      <c r="AK345" s="19" t="n"/>
      <c r="AL345" s="19" t="n"/>
      <c r="AM345" s="16" t="inlineStr">
        <is>
          <t>1 Schrank. Der Inhalt gehört nicht dazu.</t>
        </is>
      </c>
      <c r="AN345" s="22" t="n"/>
    </row>
    <row r="346" ht="30" customHeight="1">
      <c r="A346" s="15" t="inlineStr">
        <is>
          <t>BU06-08</t>
        </is>
      </c>
      <c r="B346" s="15" t="n"/>
      <c r="C346" s="15" t="n"/>
      <c r="D346" s="15" t="inlineStr">
        <is>
          <t>BU06</t>
        </is>
      </c>
      <c r="E346" s="15" t="inlineStr">
        <is>
          <t>Abfallbehälter Metall schwarz</t>
        </is>
      </c>
      <c r="F346" s="16" t="inlineStr">
        <is>
          <t>Hoher runder Abfallbehälter aus schwarz lackiertem Metall mit Inneneimer.</t>
        </is>
      </c>
      <c r="G346" s="15" t="inlineStr">
        <is>
          <t>Sonstiges</t>
        </is>
      </c>
      <c r="H346" s="15" t="inlineStr">
        <is>
          <t>Küche / Essen</t>
        </is>
      </c>
      <c r="I346" s="15" t="inlineStr">
        <is>
          <t>C</t>
        </is>
      </c>
      <c r="J346" s="17" t="n">
        <v>2</v>
      </c>
      <c r="K346" s="17" t="n"/>
      <c r="L346" s="18">
        <f>J346-IF(K346="",0,K346)</f>
        <v/>
      </c>
      <c r="M346" s="15" t="inlineStr">
        <is>
          <t>Stück</t>
        </is>
      </c>
      <c r="N346" s="15" t="inlineStr">
        <is>
          <t>gebraucht</t>
        </is>
      </c>
      <c r="O346" s="19" t="n"/>
      <c r="P346" s="19" t="inlineStr">
        <is>
          <t>ja</t>
        </is>
      </c>
      <c r="Q346" s="19" t="n"/>
      <c r="R346" s="20" t="n"/>
      <c r="S346" s="20" t="n">
        <v>45</v>
      </c>
      <c r="T346" s="19" t="inlineStr">
        <is>
          <t>VHB</t>
        </is>
      </c>
      <c r="U346" s="21">
        <f>L346*S346</f>
        <v/>
      </c>
      <c r="V346" s="15" t="inlineStr">
        <is>
          <t>nur Abholung</t>
        </is>
      </c>
      <c r="W346" s="15" t="inlineStr">
        <is>
          <t>F-430</t>
        </is>
      </c>
      <c r="X346" s="19" t="inlineStr">
        <is>
          <t>ja</t>
        </is>
      </c>
      <c r="Y346" s="19" t="n"/>
      <c r="Z346" s="19" t="inlineStr">
        <is>
          <t>verfügbar</t>
        </is>
      </c>
      <c r="AA346" s="19" t="n"/>
      <c r="AB346" s="19" t="n"/>
      <c r="AC346" s="19" t="n"/>
      <c r="AD346" s="19" t="n"/>
      <c r="AE346" s="20" t="n"/>
      <c r="AF346" s="21">
        <f>IF(K346="","",K346*AE346)</f>
        <v/>
      </c>
      <c r="AG346" s="19" t="n"/>
      <c r="AH346" s="19" t="n"/>
      <c r="AI346" s="19" t="n"/>
      <c r="AJ346" s="19" t="n"/>
      <c r="AK346" s="19" t="n"/>
      <c r="AL346" s="19" t="n"/>
      <c r="AM346" s="16" t="inlineStr">
        <is>
          <t>2 Behälter – abgebildet ist einer davon. Ein weißer Behälter gleicher Bauart steht unter BU06-09.</t>
        </is>
      </c>
      <c r="AN346" s="22" t="n"/>
    </row>
    <row r="347" ht="30" customHeight="1">
      <c r="A347" s="15" t="inlineStr">
        <is>
          <t>BU06-09</t>
        </is>
      </c>
      <c r="B347" s="15" t="n"/>
      <c r="C347" s="15" t="n"/>
      <c r="D347" s="15" t="inlineStr">
        <is>
          <t>BU06</t>
        </is>
      </c>
      <c r="E347" s="15" t="inlineStr">
        <is>
          <t>Abfallbehälter Metall weiß mit Push-Deckel</t>
        </is>
      </c>
      <c r="F347" s="16" t="inlineStr">
        <is>
          <t>Hoher runder Abfallbehälter aus weiß lackiertem Metall mit verchromtem Push-Deckel.</t>
        </is>
      </c>
      <c r="G347" s="15" t="inlineStr">
        <is>
          <t>Sonstiges</t>
        </is>
      </c>
      <c r="H347" s="15" t="inlineStr">
        <is>
          <t>Küche / Essen</t>
        </is>
      </c>
      <c r="I347" s="15" t="inlineStr">
        <is>
          <t>C</t>
        </is>
      </c>
      <c r="J347" s="17" t="n">
        <v>1</v>
      </c>
      <c r="K347" s="17" t="n"/>
      <c r="L347" s="18">
        <f>J347-IF(K347="",0,K347)</f>
        <v/>
      </c>
      <c r="M347" s="15" t="inlineStr">
        <is>
          <t>Stück</t>
        </is>
      </c>
      <c r="N347" s="15" t="inlineStr">
        <is>
          <t>gebraucht</t>
        </is>
      </c>
      <c r="O347" s="19" t="n"/>
      <c r="P347" s="19" t="inlineStr">
        <is>
          <t>ja</t>
        </is>
      </c>
      <c r="Q347" s="19" t="n"/>
      <c r="R347" s="20" t="n"/>
      <c r="S347" s="20" t="n">
        <v>45</v>
      </c>
      <c r="T347" s="19" t="inlineStr">
        <is>
          <t>VHB</t>
        </is>
      </c>
      <c r="U347" s="21">
        <f>L347*S347</f>
        <v/>
      </c>
      <c r="V347" s="15" t="inlineStr">
        <is>
          <t>nur Abholung</t>
        </is>
      </c>
      <c r="W347" s="15" t="inlineStr">
        <is>
          <t>F-431</t>
        </is>
      </c>
      <c r="X347" s="19" t="inlineStr">
        <is>
          <t>ja</t>
        </is>
      </c>
      <c r="Y347" s="19" t="n"/>
      <c r="Z347" s="19" t="inlineStr">
        <is>
          <t>verfügbar</t>
        </is>
      </c>
      <c r="AA347" s="19" t="n"/>
      <c r="AB347" s="19" t="n"/>
      <c r="AC347" s="19" t="n"/>
      <c r="AD347" s="19" t="n"/>
      <c r="AE347" s="20" t="n"/>
      <c r="AF347" s="21">
        <f>IF(K347="","",K347*AE347)</f>
        <v/>
      </c>
      <c r="AG347" s="19" t="n"/>
      <c r="AH347" s="19" t="n"/>
      <c r="AI347" s="19" t="n"/>
      <c r="AJ347" s="19" t="n"/>
      <c r="AK347" s="19" t="n"/>
      <c r="AL347" s="19" t="n"/>
      <c r="AM347" s="16" t="inlineStr">
        <is>
          <t>1 Behälter. Zwei schwarze Behälter gleicher Bauart stehen unter BU06-08.</t>
        </is>
      </c>
      <c r="AN347" s="22" t="n"/>
    </row>
    <row r="348" ht="30" customHeight="1">
      <c r="A348" s="15" t="inlineStr">
        <is>
          <t>BU06-10</t>
        </is>
      </c>
      <c r="B348" s="15" t="n"/>
      <c r="C348" s="15" t="n"/>
      <c r="D348" s="15" t="inlineStr">
        <is>
          <t>BU06</t>
        </is>
      </c>
      <c r="E348" s="15" t="inlineStr">
        <is>
          <t>Servierwagen Edelstahl, drei Ebenen</t>
        </is>
      </c>
      <c r="F348" s="16" t="inlineStr">
        <is>
          <t>Servierwagen aus Edelstahl mit drei geschlossenen Ablageböden, umlaufenden Schiebegriffen und vier Lenkrollen, zwei davon feststellbar.</t>
        </is>
      </c>
      <c r="G348" s="15" t="inlineStr">
        <is>
          <t>Möbel</t>
        </is>
      </c>
      <c r="H348" s="15" t="inlineStr">
        <is>
          <t>Küche / Essen</t>
        </is>
      </c>
      <c r="I348" s="15" t="inlineStr">
        <is>
          <t>B</t>
        </is>
      </c>
      <c r="J348" s="17" t="n">
        <v>1</v>
      </c>
      <c r="K348" s="17" t="n"/>
      <c r="L348" s="18">
        <f>J348-IF(K348="",0,K348)</f>
        <v/>
      </c>
      <c r="M348" s="15" t="inlineStr">
        <is>
          <t>Stück</t>
        </is>
      </c>
      <c r="N348" s="15" t="inlineStr">
        <is>
          <t>gebraucht</t>
        </is>
      </c>
      <c r="O348" s="19" t="n"/>
      <c r="P348" s="19" t="inlineStr">
        <is>
          <t>ja</t>
        </is>
      </c>
      <c r="Q348" s="19" t="n"/>
      <c r="R348" s="20" t="n"/>
      <c r="S348" s="20" t="n">
        <v>90</v>
      </c>
      <c r="T348" s="19" t="inlineStr">
        <is>
          <t>VHB</t>
        </is>
      </c>
      <c r="U348" s="21">
        <f>L348*S348</f>
        <v/>
      </c>
      <c r="V348" s="15" t="inlineStr">
        <is>
          <t>nur Abholung</t>
        </is>
      </c>
      <c r="W348" s="15" t="inlineStr">
        <is>
          <t>F-432</t>
        </is>
      </c>
      <c r="X348" s="19" t="inlineStr">
        <is>
          <t>ja</t>
        </is>
      </c>
      <c r="Y348" s="19" t="n"/>
      <c r="Z348" s="19" t="inlineStr">
        <is>
          <t>verfügbar</t>
        </is>
      </c>
      <c r="AA348" s="19" t="n"/>
      <c r="AB348" s="19" t="n"/>
      <c r="AC348" s="19" t="n"/>
      <c r="AD348" s="19" t="n"/>
      <c r="AE348" s="20" t="n"/>
      <c r="AF348" s="21">
        <f>IF(K348="","",K348*AE348)</f>
        <v/>
      </c>
      <c r="AG348" s="19" t="n"/>
      <c r="AH348" s="19" t="n"/>
      <c r="AI348" s="19" t="n"/>
      <c r="AJ348" s="19" t="n"/>
      <c r="AK348" s="19" t="n"/>
      <c r="AL348" s="19" t="n"/>
      <c r="AM348" s="16" t="inlineStr">
        <is>
          <t>1 Wagen. Servierwagen aus lackiertem Metall stehen unter BU02-16 und BU04-13.</t>
        </is>
      </c>
      <c r="AN348" s="22" t="n"/>
    </row>
    <row r="349" ht="30" customHeight="1">
      <c r="A349" s="15" t="inlineStr">
        <is>
          <t>BU06-11</t>
        </is>
      </c>
      <c r="B349" s="15" t="n"/>
      <c r="C349" s="15" t="n"/>
      <c r="D349" s="15" t="inlineStr">
        <is>
          <t>BU06</t>
        </is>
      </c>
      <c r="E349" s="15" t="inlineStr">
        <is>
          <t>Schreibtisch schwarzbraun mit Schublade</t>
        </is>
      </c>
      <c r="F349" s="16" t="inlineStr">
        <is>
          <t>Schmaler Schreibtisch in Schwarzbraun mit einer breiten Schublade und seitlichem Unterbau.</t>
        </is>
      </c>
      <c r="G349" s="15" t="inlineStr">
        <is>
          <t>Möbel</t>
        </is>
      </c>
      <c r="H349" s="15" t="inlineStr">
        <is>
          <t>Küche / Essen</t>
        </is>
      </c>
      <c r="I349" s="15" t="inlineStr">
        <is>
          <t>B</t>
        </is>
      </c>
      <c r="J349" s="17" t="n">
        <v>2</v>
      </c>
      <c r="K349" s="17" t="n"/>
      <c r="L349" s="18">
        <f>J349-IF(K349="",0,K349)</f>
        <v/>
      </c>
      <c r="M349" s="15" t="inlineStr">
        <is>
          <t>Stück</t>
        </is>
      </c>
      <c r="N349" s="15" t="inlineStr">
        <is>
          <t>gebraucht</t>
        </is>
      </c>
      <c r="O349" s="19" t="n"/>
      <c r="P349" s="19" t="inlineStr">
        <is>
          <t>ja</t>
        </is>
      </c>
      <c r="Q349" s="19" t="n"/>
      <c r="R349" s="20" t="n"/>
      <c r="S349" s="20" t="n">
        <v>45</v>
      </c>
      <c r="T349" s="19" t="inlineStr">
        <is>
          <t>VHB</t>
        </is>
      </c>
      <c r="U349" s="21">
        <f>L349*S349</f>
        <v/>
      </c>
      <c r="V349" s="15" t="inlineStr">
        <is>
          <t>nur Abholung</t>
        </is>
      </c>
      <c r="W349" s="15" t="inlineStr">
        <is>
          <t>F-433</t>
        </is>
      </c>
      <c r="X349" s="19" t="inlineStr">
        <is>
          <t>ja</t>
        </is>
      </c>
      <c r="Y349" s="19" t="n"/>
      <c r="Z349" s="19" t="inlineStr">
        <is>
          <t>verfügbar</t>
        </is>
      </c>
      <c r="AA349" s="19" t="n"/>
      <c r="AB349" s="19" t="n"/>
      <c r="AC349" s="19" t="n"/>
      <c r="AD349" s="19" t="n"/>
      <c r="AE349" s="20" t="n"/>
      <c r="AF349" s="21">
        <f>IF(K349="","",K349*AE349)</f>
        <v/>
      </c>
      <c r="AG349" s="19" t="n"/>
      <c r="AH349" s="19" t="n"/>
      <c r="AI349" s="19" t="n"/>
      <c r="AJ349" s="19" t="n"/>
      <c r="AK349" s="19" t="n"/>
      <c r="AL349" s="19" t="n"/>
      <c r="AM349" s="16" t="inlineStr">
        <is>
          <t>2 Tische – abgebildet ist einer davon. Rechner, Bildschirm und Zubehör gehören nicht dazu.</t>
        </is>
      </c>
      <c r="AN349" s="22" t="n"/>
    </row>
    <row r="350" ht="30" customHeight="1">
      <c r="A350" s="15" t="inlineStr">
        <is>
          <t>BU06-12</t>
        </is>
      </c>
      <c r="B350" s="15" t="n"/>
      <c r="C350" s="15" t="n"/>
      <c r="D350" s="15" t="inlineStr">
        <is>
          <t>BU06</t>
        </is>
      </c>
      <c r="E350" s="15" t="inlineStr">
        <is>
          <t>Schalensessel grau mit Holzbeinen</t>
        </is>
      </c>
      <c r="F350" s="16" t="inlineStr">
        <is>
          <t>Sessel in Erwachsenengröße: graue Kunststoffschale mit Armlehnen auf konischen Beinen aus hellem Massivholz, dazu ein rundes Sitzkissen aus cognacfarbenem Kunstleder.</t>
        </is>
      </c>
      <c r="G350" s="15" t="inlineStr">
        <is>
          <t>Möbel</t>
        </is>
      </c>
      <c r="H350" s="15" t="inlineStr">
        <is>
          <t>Küche / Essen</t>
        </is>
      </c>
      <c r="I350" s="15" t="inlineStr">
        <is>
          <t>B</t>
        </is>
      </c>
      <c r="J350" s="17" t="n">
        <v>2</v>
      </c>
      <c r="K350" s="17" t="n"/>
      <c r="L350" s="18">
        <f>J350-IF(K350="",0,K350)</f>
        <v/>
      </c>
      <c r="M350" s="15" t="inlineStr">
        <is>
          <t>Stück</t>
        </is>
      </c>
      <c r="N350" s="15" t="inlineStr">
        <is>
          <t>gebraucht</t>
        </is>
      </c>
      <c r="O350" s="19" t="n"/>
      <c r="P350" s="19" t="inlineStr">
        <is>
          <t>ja</t>
        </is>
      </c>
      <c r="Q350" s="19" t="n"/>
      <c r="R350" s="20" t="n"/>
      <c r="S350" s="20" t="n">
        <v>60</v>
      </c>
      <c r="T350" s="19" t="inlineStr">
        <is>
          <t>VHB</t>
        </is>
      </c>
      <c r="U350" s="21">
        <f>L350*S350</f>
        <v/>
      </c>
      <c r="V350" s="15" t="inlineStr">
        <is>
          <t>nur Abholung</t>
        </is>
      </c>
      <c r="W350" s="15" t="inlineStr">
        <is>
          <t>F-434</t>
        </is>
      </c>
      <c r="X350" s="19" t="inlineStr">
        <is>
          <t>ja</t>
        </is>
      </c>
      <c r="Y350" s="19" t="n"/>
      <c r="Z350" s="19" t="inlineStr">
        <is>
          <t>verfügbar</t>
        </is>
      </c>
      <c r="AA350" s="19" t="n"/>
      <c r="AB350" s="19" t="n"/>
      <c r="AC350" s="19" t="n"/>
      <c r="AD350" s="19" t="n"/>
      <c r="AE350" s="20" t="n"/>
      <c r="AF350" s="21">
        <f>IF(K350="","",K350*AE350)</f>
        <v/>
      </c>
      <c r="AG350" s="19" t="n"/>
      <c r="AH350" s="19" t="n"/>
      <c r="AI350" s="19" t="n"/>
      <c r="AJ350" s="19" t="n"/>
      <c r="AK350" s="19" t="n"/>
      <c r="AL350" s="19" t="n"/>
      <c r="AM350" s="16" t="inlineStr">
        <is>
          <t>2 Sessel einschließlich der Sitzkissen – abgebildet ist einer davon.</t>
        </is>
      </c>
      <c r="AN350" s="22" t="n"/>
    </row>
    <row r="351" ht="30" customHeight="1">
      <c r="A351" s="15" t="inlineStr">
        <is>
          <t>BU06-13</t>
        </is>
      </c>
      <c r="B351" s="15" t="n"/>
      <c r="C351" s="15" t="n"/>
      <c r="D351" s="15" t="inlineStr">
        <is>
          <t>BU06</t>
        </is>
      </c>
      <c r="E351" s="15" t="inlineStr">
        <is>
          <t>Regal weiß, schmal und hoch</t>
        </is>
      </c>
      <c r="F351" s="16" t="inlineStr">
        <is>
          <t>Schmales hohes Regal in Weiß mit verstellbaren Böden.</t>
        </is>
      </c>
      <c r="G351" s="15" t="inlineStr">
        <is>
          <t>Möbel</t>
        </is>
      </c>
      <c r="H351" s="15" t="inlineStr">
        <is>
          <t>Küche / Essen</t>
        </is>
      </c>
      <c r="I351" s="15" t="inlineStr">
        <is>
          <t>C</t>
        </is>
      </c>
      <c r="J351" s="17" t="n">
        <v>1</v>
      </c>
      <c r="K351" s="17" t="n"/>
      <c r="L351" s="18">
        <f>J351-IF(K351="",0,K351)</f>
        <v/>
      </c>
      <c r="M351" s="15" t="inlineStr">
        <is>
          <t>Stück</t>
        </is>
      </c>
      <c r="N351" s="15" t="inlineStr">
        <is>
          <t>gebraucht</t>
        </is>
      </c>
      <c r="O351" s="19" t="n"/>
      <c r="P351" s="19" t="inlineStr">
        <is>
          <t>ja</t>
        </is>
      </c>
      <c r="Q351" s="19" t="n"/>
      <c r="R351" s="20" t="n"/>
      <c r="S351" s="20" t="n">
        <v>30</v>
      </c>
      <c r="T351" s="19" t="inlineStr">
        <is>
          <t>VHB</t>
        </is>
      </c>
      <c r="U351" s="21">
        <f>L351*S351</f>
        <v/>
      </c>
      <c r="V351" s="15" t="inlineStr">
        <is>
          <t>nur Abholung</t>
        </is>
      </c>
      <c r="W351" s="15" t="inlineStr">
        <is>
          <t>F-435</t>
        </is>
      </c>
      <c r="X351" s="19" t="inlineStr">
        <is>
          <t>ja</t>
        </is>
      </c>
      <c r="Y351" s="19" t="n"/>
      <c r="Z351" s="19" t="inlineStr">
        <is>
          <t>verfügbar</t>
        </is>
      </c>
      <c r="AA351" s="19" t="n"/>
      <c r="AB351" s="19" t="n"/>
      <c r="AC351" s="19" t="n"/>
      <c r="AD351" s="19" t="n"/>
      <c r="AE351" s="20" t="n"/>
      <c r="AF351" s="21">
        <f>IF(K351="","",K351*AE351)</f>
        <v/>
      </c>
      <c r="AG351" s="19" t="n"/>
      <c r="AH351" s="19" t="n"/>
      <c r="AI351" s="19" t="n"/>
      <c r="AJ351" s="19" t="n"/>
      <c r="AK351" s="19" t="n"/>
      <c r="AL351" s="19" t="n"/>
      <c r="AM351" s="16" t="inlineStr">
        <is>
          <t>1 Regal. Der Inhalt gehört nicht dazu.</t>
        </is>
      </c>
      <c r="AN351" s="22" t="n"/>
    </row>
    <row r="352" ht="30" customHeight="1">
      <c r="A352" s="15" t="inlineStr">
        <is>
          <t>BU06-14</t>
        </is>
      </c>
      <c r="B352" s="15" t="n"/>
      <c r="C352" s="15" t="n"/>
      <c r="D352" s="15" t="inlineStr">
        <is>
          <t>BU06</t>
        </is>
      </c>
      <c r="E352" s="15" t="inlineStr">
        <is>
          <t>Fächerregal grau, 24 Fächer</t>
        </is>
      </c>
      <c r="F352" s="16" t="inlineStr">
        <is>
          <t>Langes niedriges Regal in Grau mit vierundzwanzig Fächern in vier Reihen, durchgehende Deckplatte. Als Postfach- und Ablageregal genutzt.</t>
        </is>
      </c>
      <c r="G352" s="15" t="inlineStr">
        <is>
          <t>Möbel</t>
        </is>
      </c>
      <c r="H352" s="15" t="inlineStr">
        <is>
          <t>Küche / Essen</t>
        </is>
      </c>
      <c r="I352" s="15" t="inlineStr">
        <is>
          <t>B</t>
        </is>
      </c>
      <c r="J352" s="17" t="n">
        <v>1</v>
      </c>
      <c r="K352" s="17" t="n"/>
      <c r="L352" s="18">
        <f>J352-IF(K352="",0,K352)</f>
        <v/>
      </c>
      <c r="M352" s="15" t="inlineStr">
        <is>
          <t>Stück</t>
        </is>
      </c>
      <c r="N352" s="15" t="inlineStr">
        <is>
          <t>gebraucht</t>
        </is>
      </c>
      <c r="O352" s="19" t="n"/>
      <c r="P352" s="19" t="inlineStr">
        <is>
          <t>ja</t>
        </is>
      </c>
      <c r="Q352" s="19" t="n"/>
      <c r="R352" s="20" t="n"/>
      <c r="S352" s="20" t="n">
        <v>120</v>
      </c>
      <c r="T352" s="19" t="inlineStr">
        <is>
          <t>VHB</t>
        </is>
      </c>
      <c r="U352" s="21">
        <f>L352*S352</f>
        <v/>
      </c>
      <c r="V352" s="15" t="inlineStr">
        <is>
          <t>nur Abholung</t>
        </is>
      </c>
      <c r="W352" s="15" t="inlineStr">
        <is>
          <t>F-436</t>
        </is>
      </c>
      <c r="X352" s="19" t="inlineStr">
        <is>
          <t>ja</t>
        </is>
      </c>
      <c r="Y352" s="19" t="n"/>
      <c r="Z352" s="19" t="inlineStr">
        <is>
          <t>verfügbar</t>
        </is>
      </c>
      <c r="AA352" s="19" t="n"/>
      <c r="AB352" s="19" t="n"/>
      <c r="AC352" s="19" t="n"/>
      <c r="AD352" s="19" t="n"/>
      <c r="AE352" s="20" t="n"/>
      <c r="AF352" s="21">
        <f>IF(K352="","",K352*AE352)</f>
        <v/>
      </c>
      <c r="AG352" s="19" t="n"/>
      <c r="AH352" s="19" t="n"/>
      <c r="AI352" s="19" t="n"/>
      <c r="AJ352" s="19" t="n"/>
      <c r="AK352" s="19" t="n"/>
      <c r="AL352" s="19" t="n"/>
      <c r="AM352" s="16" t="inlineStr">
        <is>
          <t>1 Regal. Der Inhalt gehört nicht dazu. Die Namensschilder an den Fächern sind auf dem Foto unkenntlich gemacht und werden vor der Übergabe entfernt.</t>
        </is>
      </c>
      <c r="AN352" s="22" t="n"/>
    </row>
    <row r="353" ht="30" customHeight="1">
      <c r="A353" s="15" t="inlineStr">
        <is>
          <t>NE03-01</t>
        </is>
      </c>
      <c r="B353" s="15" t="n"/>
      <c r="C353" s="15" t="n"/>
      <c r="D353" s="15" t="inlineStr">
        <is>
          <t>NE03</t>
        </is>
      </c>
      <c r="E353" s="15" t="inlineStr">
        <is>
          <t>Wandregale in Wolkenform</t>
        </is>
      </c>
      <c r="F353" s="16" t="inlineStr">
        <is>
          <t>Wandregale in Wolkenform aus lackiertem Holz, ohne Zwischenböden: ein großes und ein kleineres in Weiß, zwei in Schwarz.</t>
        </is>
      </c>
      <c r="G353" s="15" t="inlineStr">
        <is>
          <t>Deko</t>
        </is>
      </c>
      <c r="H353" s="15" t="inlineStr">
        <is>
          <t>Schlafraum 2</t>
        </is>
      </c>
      <c r="I353" s="15" t="inlineStr">
        <is>
          <t>C</t>
        </is>
      </c>
      <c r="J353" s="17" t="n">
        <v>4</v>
      </c>
      <c r="K353" s="17" t="n"/>
      <c r="L353" s="18">
        <f>J353-IF(K353="",0,K353)</f>
        <v/>
      </c>
      <c r="M353" s="15" t="inlineStr">
        <is>
          <t>Stück</t>
        </is>
      </c>
      <c r="N353" s="15" t="inlineStr">
        <is>
          <t>gebraucht</t>
        </is>
      </c>
      <c r="O353" s="19" t="n"/>
      <c r="P353" s="19" t="inlineStr">
        <is>
          <t>ja</t>
        </is>
      </c>
      <c r="Q353" s="19" t="n"/>
      <c r="R353" s="20" t="n"/>
      <c r="S353" s="20" t="n">
        <v>25</v>
      </c>
      <c r="T353" s="19" t="inlineStr">
        <is>
          <t>VHB</t>
        </is>
      </c>
      <c r="U353" s="21">
        <f>L353*S353</f>
        <v/>
      </c>
      <c r="V353" s="15" t="inlineStr">
        <is>
          <t>Versand möglich</t>
        </is>
      </c>
      <c r="W353" s="15" t="inlineStr">
        <is>
          <t>F-438</t>
        </is>
      </c>
      <c r="X353" s="19" t="inlineStr">
        <is>
          <t>ja</t>
        </is>
      </c>
      <c r="Y353" s="19" t="n"/>
      <c r="Z353" s="19" t="inlineStr">
        <is>
          <t>verfügbar</t>
        </is>
      </c>
      <c r="AA353" s="19" t="n"/>
      <c r="AB353" s="19" t="n"/>
      <c r="AC353" s="19" t="n"/>
      <c r="AD353" s="19" t="n"/>
      <c r="AE353" s="20" t="n"/>
      <c r="AF353" s="21">
        <f>IF(K353="","",K353*AE353)</f>
        <v/>
      </c>
      <c r="AG353" s="19" t="n"/>
      <c r="AH353" s="19" t="n"/>
      <c r="AI353" s="19" t="n"/>
      <c r="AJ353" s="19" t="n"/>
      <c r="AK353" s="19" t="n"/>
      <c r="AL353" s="19" t="n"/>
      <c r="AM353" s="16" t="inlineStr">
        <is>
          <t>4 Regale in drei Größen – alle auf dem Foto zu sehen. Der Elefant aus Kupferdraht gehört nicht dazu.</t>
        </is>
      </c>
      <c r="AN353" s="22" t="n"/>
    </row>
    <row r="354" ht="30" customHeight="1">
      <c r="A354" s="15" t="inlineStr">
        <is>
          <t>NE03-03</t>
        </is>
      </c>
      <c r="B354" s="15" t="n"/>
      <c r="C354" s="15" t="n"/>
      <c r="D354" s="15" t="inlineStr">
        <is>
          <t>NE03</t>
        </is>
      </c>
      <c r="E354" s="15" t="inlineStr">
        <is>
          <t>Wesco Gitterbett Kunststoff, grau</t>
        </is>
      </c>
      <c r="F354" s="16" t="inlineStr">
        <is>
          <t>Krippenbett von Wesco aus grauem Kunststoff mit geschlossenem Sockel, belüfteten Seitenwänden und Griffausschnitten zum Verschieben. Logo an der Längsseite: wesco.</t>
        </is>
      </c>
      <c r="G354" s="15" t="inlineStr">
        <is>
          <t>Kita-Ausstattung</t>
        </is>
      </c>
      <c r="H354" s="15" t="inlineStr">
        <is>
          <t>Schlafraum 2</t>
        </is>
      </c>
      <c r="I354" s="15" t="inlineStr">
        <is>
          <t>B</t>
        </is>
      </c>
      <c r="J354" s="17" t="n">
        <v>4</v>
      </c>
      <c r="K354" s="17" t="n"/>
      <c r="L354" s="18">
        <f>J354-IF(K354="",0,K354)</f>
        <v/>
      </c>
      <c r="M354" s="15" t="inlineStr">
        <is>
          <t>Stück</t>
        </is>
      </c>
      <c r="N354" s="15" t="inlineStr">
        <is>
          <t>gut</t>
        </is>
      </c>
      <c r="O354" s="19" t="n"/>
      <c r="P354" s="19" t="inlineStr">
        <is>
          <t>ja</t>
        </is>
      </c>
      <c r="Q354" s="19" t="n"/>
      <c r="R354" s="20" t="n"/>
      <c r="S354" s="20" t="n">
        <v>180</v>
      </c>
      <c r="T354" s="19" t="inlineStr">
        <is>
          <t>VHB</t>
        </is>
      </c>
      <c r="U354" s="21">
        <f>L354*S354</f>
        <v/>
      </c>
      <c r="V354" s="15" t="inlineStr">
        <is>
          <t>nur Abholung</t>
        </is>
      </c>
      <c r="W354" s="15" t="inlineStr">
        <is>
          <t>F-440</t>
        </is>
      </c>
      <c r="X354" s="19" t="inlineStr">
        <is>
          <t>ja</t>
        </is>
      </c>
      <c r="Y354" s="19" t="n"/>
      <c r="Z354" s="19" t="inlineStr">
        <is>
          <t>verfügbar</t>
        </is>
      </c>
      <c r="AA354" s="19" t="inlineStr">
        <is>
          <t>Wesco</t>
        </is>
      </c>
      <c r="AB354" s="19" t="n"/>
      <c r="AC354" s="19" t="n"/>
      <c r="AD354" s="19" t="n"/>
      <c r="AE354" s="20" t="n"/>
      <c r="AF354" s="21">
        <f>IF(K354="","",K354*AE354)</f>
        <v/>
      </c>
      <c r="AG354" s="19" t="n"/>
      <c r="AH354" s="19" t="n"/>
      <c r="AI354" s="19" t="n"/>
      <c r="AJ354" s="19" t="n"/>
      <c r="AK354" s="19" t="n"/>
      <c r="AL354" s="19" t="n"/>
      <c r="AM354" s="16" t="inlineStr">
        <is>
          <t>4 Betten – abgebildet ist eines davon. Matratze, Nestchen und Bettwäsche gehören nicht dazu.</t>
        </is>
      </c>
      <c r="AN354" s="22" t="n"/>
    </row>
    <row r="355" ht="30" customHeight="1">
      <c r="A355" s="15" t="inlineStr">
        <is>
          <t>NE03-04</t>
        </is>
      </c>
      <c r="B355" s="15" t="n"/>
      <c r="C355" s="15" t="inlineStr">
        <is>
          <t>NE04-02</t>
        </is>
      </c>
      <c r="D355" s="15" t="inlineStr">
        <is>
          <t>NE03</t>
        </is>
      </c>
      <c r="E355" s="15" t="inlineStr">
        <is>
          <t>Gitterbett Holz weiß</t>
        </is>
      </c>
      <c r="F355" s="16" t="inlineStr">
        <is>
          <t>Kinderbett aus weiß lackiertem Holz mit Sprossen an allen vier Seiten und geschwungenen Kopf- und Fußteilen, einschließlich Matratze.</t>
        </is>
      </c>
      <c r="G355" s="15" t="inlineStr">
        <is>
          <t>Kita-Ausstattung</t>
        </is>
      </c>
      <c r="H355" s="15" t="inlineStr">
        <is>
          <t>Schlafraum 2</t>
        </is>
      </c>
      <c r="I355" s="15" t="inlineStr">
        <is>
          <t>C</t>
        </is>
      </c>
      <c r="J355" s="17" t="n">
        <v>10</v>
      </c>
      <c r="K355" s="17" t="n"/>
      <c r="L355" s="18">
        <f>J355-IF(K355="",0,K355)</f>
        <v/>
      </c>
      <c r="M355" s="15" t="inlineStr">
        <is>
          <t>Stück</t>
        </is>
      </c>
      <c r="N355" s="15" t="inlineStr">
        <is>
          <t>gut</t>
        </is>
      </c>
      <c r="O355" s="19" t="n"/>
      <c r="P355" s="19" t="inlineStr">
        <is>
          <t>ja</t>
        </is>
      </c>
      <c r="Q355" s="19" t="n"/>
      <c r="R355" s="20" t="n"/>
      <c r="S355" s="20" t="n">
        <v>60</v>
      </c>
      <c r="T355" s="19" t="inlineStr">
        <is>
          <t>VHB</t>
        </is>
      </c>
      <c r="U355" s="21">
        <f>L355*S355</f>
        <v/>
      </c>
      <c r="V355" s="15" t="inlineStr">
        <is>
          <t>nur Abholung</t>
        </is>
      </c>
      <c r="W355" s="15" t="inlineStr">
        <is>
          <t>F-441</t>
        </is>
      </c>
      <c r="X355" s="19" t="inlineStr">
        <is>
          <t>ja</t>
        </is>
      </c>
      <c r="Y355" s="19" t="n"/>
      <c r="Z355" s="19" t="inlineStr">
        <is>
          <t>verfügbar</t>
        </is>
      </c>
      <c r="AA355" s="19" t="n"/>
      <c r="AB355" s="19" t="n"/>
      <c r="AC355" s="19" t="n"/>
      <c r="AD355" s="19" t="n"/>
      <c r="AE355" s="20" t="n"/>
      <c r="AF355" s="21">
        <f>IF(K355="","",K355*AE355)</f>
        <v/>
      </c>
      <c r="AG355" s="19" t="n"/>
      <c r="AH355" s="19" t="n"/>
      <c r="AI355" s="19" t="n"/>
      <c r="AJ355" s="19" t="n"/>
      <c r="AK355" s="19" t="n"/>
      <c r="AL355" s="19" t="n"/>
      <c r="AM355" s="16" t="inlineStr">
        <is>
          <t>10 Betten einschließlich Matratzen: 3 im Schlafraum 2 (NE03-04) und 7 im Schlafraum 3 (NE04-02). Abgebildet ist eines davon, mehrere auf Foto F-452. Nestchen und Bettwäsche gehören nicht dazu.</t>
        </is>
      </c>
      <c r="AN355" s="22" t="inlineStr">
        <is>
          <t>Zusammengefasste Position über zwei Räume – Post-it-Nummer: NE04-02.</t>
        </is>
      </c>
    </row>
    <row r="356" ht="30" customHeight="1">
      <c r="A356" s="15" t="inlineStr">
        <is>
          <t>NE03-05</t>
        </is>
      </c>
      <c r="B356" s="15" t="n"/>
      <c r="C356" s="15" t="n"/>
      <c r="D356" s="15" t="inlineStr">
        <is>
          <t>NE03</t>
        </is>
      </c>
      <c r="E356" s="15" t="inlineStr">
        <is>
          <t>Hauck Kinderwagen schwarz</t>
        </is>
      </c>
      <c r="F356" s="16" t="inlineStr">
        <is>
          <t>Sportwagen von Hauck in Schwarz mit Verdeck, Fünfpunktgurt und Faltmechanik. Aufdruck am Sitz: Rapid Fold. Der Stoff ist an mehreren Stellen verschmutzt.</t>
        </is>
      </c>
      <c r="G356" s="15" t="inlineStr">
        <is>
          <t>Kita-Ausstattung</t>
        </is>
      </c>
      <c r="H356" s="15" t="inlineStr">
        <is>
          <t>Schlafraum 2</t>
        </is>
      </c>
      <c r="I356" s="15" t="inlineStr">
        <is>
          <t>C</t>
        </is>
      </c>
      <c r="J356" s="17" t="n">
        <v>1</v>
      </c>
      <c r="K356" s="17" t="n"/>
      <c r="L356" s="18">
        <f>J356-IF(K356="",0,K356)</f>
        <v/>
      </c>
      <c r="M356" s="15" t="inlineStr">
        <is>
          <t>Stück</t>
        </is>
      </c>
      <c r="N356" s="15" t="inlineStr">
        <is>
          <t>gebraucht</t>
        </is>
      </c>
      <c r="O356" s="19" t="n"/>
      <c r="P356" s="19" t="inlineStr">
        <is>
          <t>ja</t>
        </is>
      </c>
      <c r="Q356" s="19" t="n"/>
      <c r="R356" s="20" t="n"/>
      <c r="S356" s="20" t="n">
        <v>45</v>
      </c>
      <c r="T356" s="19" t="inlineStr">
        <is>
          <t>VHB</t>
        </is>
      </c>
      <c r="U356" s="21">
        <f>L356*S356</f>
        <v/>
      </c>
      <c r="V356" s="15" t="inlineStr">
        <is>
          <t>nur Abholung</t>
        </is>
      </c>
      <c r="W356" s="15" t="inlineStr">
        <is>
          <t>F-442</t>
        </is>
      </c>
      <c r="X356" s="19" t="inlineStr">
        <is>
          <t>ja</t>
        </is>
      </c>
      <c r="Y356" s="19" t="n"/>
      <c r="Z356" s="19" t="inlineStr">
        <is>
          <t>verfügbar</t>
        </is>
      </c>
      <c r="AA356" s="19" t="inlineStr">
        <is>
          <t>Hauck</t>
        </is>
      </c>
      <c r="AB356" s="19" t="n"/>
      <c r="AC356" s="19" t="n"/>
      <c r="AD356" s="19" t="n"/>
      <c r="AE356" s="20" t="n"/>
      <c r="AF356" s="21">
        <f>IF(K356="","",K356*AE356)</f>
        <v/>
      </c>
      <c r="AG356" s="19" t="n"/>
      <c r="AH356" s="19" t="n"/>
      <c r="AI356" s="19" t="n"/>
      <c r="AJ356" s="19" t="n"/>
      <c r="AK356" s="19" t="n"/>
      <c r="AL356" s="19" t="n"/>
      <c r="AM356" s="16" t="inlineStr">
        <is>
          <t>1 Wagen. Das Etikett ist auf Foto F-443 zu sehen.</t>
        </is>
      </c>
      <c r="AN356" s="22" t="n"/>
    </row>
    <row r="357" ht="30" customHeight="1">
      <c r="A357" s="15" t="inlineStr">
        <is>
          <t>NE03-06</t>
        </is>
      </c>
      <c r="B357" s="15" t="n"/>
      <c r="C357" s="15" t="n"/>
      <c r="D357" s="15" t="inlineStr">
        <is>
          <t>NE03</t>
        </is>
      </c>
      <c r="E357" s="15" t="inlineStr">
        <is>
          <t>Leuchtobjekt Elefant, Metall</t>
        </is>
      </c>
      <c r="F357" s="16" t="inlineStr">
        <is>
          <t>Dekoleuchte in Elefantenform aus taupefarbenem Metall mit elf Fassungen für Glühlampen auf der Vorderseite, zum Stellen. Hersteller: Zara Home.</t>
        </is>
      </c>
      <c r="G357" s="15" t="inlineStr">
        <is>
          <t>Leuchten</t>
        </is>
      </c>
      <c r="H357" s="15" t="inlineStr">
        <is>
          <t>Schlafraum 2</t>
        </is>
      </c>
      <c r="I357" s="15" t="inlineStr">
        <is>
          <t>C</t>
        </is>
      </c>
      <c r="J357" s="17" t="n">
        <v>2</v>
      </c>
      <c r="K357" s="17" t="n"/>
      <c r="L357" s="18">
        <f>J357-IF(K357="",0,K357)</f>
        <v/>
      </c>
      <c r="M357" s="15" t="inlineStr">
        <is>
          <t>Stück</t>
        </is>
      </c>
      <c r="N357" s="15" t="inlineStr">
        <is>
          <t>gebraucht</t>
        </is>
      </c>
      <c r="O357" s="19" t="n"/>
      <c r="P357" s="19" t="inlineStr">
        <is>
          <t>ja</t>
        </is>
      </c>
      <c r="Q357" s="19" t="n"/>
      <c r="R357" s="20" t="n"/>
      <c r="S357" s="20" t="n">
        <v>45</v>
      </c>
      <c r="T357" s="19" t="inlineStr">
        <is>
          <t>VHB</t>
        </is>
      </c>
      <c r="U357" s="21">
        <f>L357*S357</f>
        <v/>
      </c>
      <c r="V357" s="15" t="inlineStr">
        <is>
          <t>Versand möglich</t>
        </is>
      </c>
      <c r="W357" s="15" t="inlineStr">
        <is>
          <t>F-444</t>
        </is>
      </c>
      <c r="X357" s="19" t="inlineStr">
        <is>
          <t>ja</t>
        </is>
      </c>
      <c r="Y357" s="19" t="n"/>
      <c r="Z357" s="19" t="inlineStr">
        <is>
          <t>verfügbar</t>
        </is>
      </c>
      <c r="AA357" s="19" t="inlineStr">
        <is>
          <t>Zara Home</t>
        </is>
      </c>
      <c r="AB357" s="19" t="n"/>
      <c r="AC357" s="19" t="n"/>
      <c r="AD357" s="19" t="n"/>
      <c r="AE357" s="20" t="n"/>
      <c r="AF357" s="21">
        <f>IF(K357="","",K357*AE357)</f>
        <v/>
      </c>
      <c r="AG357" s="19" t="n"/>
      <c r="AH357" s="19" t="n"/>
      <c r="AI357" s="19" t="n"/>
      <c r="AJ357" s="19" t="n"/>
      <c r="AK357" s="19" t="n"/>
      <c r="AL357" s="19" t="n"/>
      <c r="AM357" s="16" t="inlineStr">
        <is>
          <t>2 Stück – abgebildet ist eines davon. Ohne Leuchtmittel.</t>
        </is>
      </c>
      <c r="AN357" s="22" t="n"/>
    </row>
    <row r="358" ht="30" customHeight="1">
      <c r="A358" s="15" t="inlineStr">
        <is>
          <t>NE03-07</t>
        </is>
      </c>
      <c r="B358" s="15" t="n"/>
      <c r="C358" s="15" t="n"/>
      <c r="D358" s="15" t="inlineStr">
        <is>
          <t>NE03</t>
        </is>
      </c>
      <c r="E358" s="15" t="inlineStr">
        <is>
          <t>IKEA Kleiderschrank anthrazit mit drei Böden</t>
        </is>
      </c>
      <c r="F358" s="16" t="inlineStr">
        <is>
          <t>Hoher Schrank von IKEA in Anthrazit mit zwei Türen, weißen ovalen Griffmulden und drei Einlegeböden.</t>
        </is>
      </c>
      <c r="G358" s="15" t="inlineStr">
        <is>
          <t>Möbel</t>
        </is>
      </c>
      <c r="H358" s="15" t="inlineStr">
        <is>
          <t>Schlafraum 2</t>
        </is>
      </c>
      <c r="I358" s="15" t="inlineStr">
        <is>
          <t>B</t>
        </is>
      </c>
      <c r="J358" s="17" t="n">
        <v>1</v>
      </c>
      <c r="K358" s="17" t="n"/>
      <c r="L358" s="18">
        <f>J358-IF(K358="",0,K358)</f>
        <v/>
      </c>
      <c r="M358" s="15" t="inlineStr">
        <is>
          <t>Stück</t>
        </is>
      </c>
      <c r="N358" s="15" t="inlineStr">
        <is>
          <t>gebraucht</t>
        </is>
      </c>
      <c r="O358" s="19" t="n"/>
      <c r="P358" s="19" t="inlineStr">
        <is>
          <t>ja</t>
        </is>
      </c>
      <c r="Q358" s="19" t="n"/>
      <c r="R358" s="20" t="n"/>
      <c r="S358" s="20" t="n">
        <v>60</v>
      </c>
      <c r="T358" s="19" t="inlineStr">
        <is>
          <t>VHB</t>
        </is>
      </c>
      <c r="U358" s="21">
        <f>L358*S358</f>
        <v/>
      </c>
      <c r="V358" s="15" t="inlineStr">
        <is>
          <t>nur Abholung</t>
        </is>
      </c>
      <c r="W358" s="15" t="inlineStr">
        <is>
          <t>F-445</t>
        </is>
      </c>
      <c r="X358" s="19" t="inlineStr">
        <is>
          <t>ja</t>
        </is>
      </c>
      <c r="Y358" s="19" t="n"/>
      <c r="Z358" s="19" t="inlineStr">
        <is>
          <t>verfügbar</t>
        </is>
      </c>
      <c r="AA358" s="19" t="inlineStr">
        <is>
          <t>IKEA</t>
        </is>
      </c>
      <c r="AB358" s="19" t="n"/>
      <c r="AC358" s="19" t="n"/>
      <c r="AD358" s="19" t="n"/>
      <c r="AE358" s="20" t="n"/>
      <c r="AF358" s="21">
        <f>IF(K358="","",K358*AE358)</f>
        <v/>
      </c>
      <c r="AG358" s="19" t="n"/>
      <c r="AH358" s="19" t="n"/>
      <c r="AI358" s="19" t="n"/>
      <c r="AJ358" s="19" t="n"/>
      <c r="AK358" s="19" t="n"/>
      <c r="AL358" s="19" t="n"/>
      <c r="AM358" s="16" t="inlineStr">
        <is>
          <t>1 Schrank. Baugleiche Schränke in Weiß stehen unter NU04-19.</t>
        </is>
      </c>
      <c r="AN358" s="22" t="n"/>
    </row>
    <row r="359" ht="30" customHeight="1">
      <c r="A359" s="15" t="inlineStr">
        <is>
          <t>NE03-09</t>
        </is>
      </c>
      <c r="B359" s="15" t="n"/>
      <c r="C359" s="15" t="n"/>
      <c r="D359" s="15" t="inlineStr">
        <is>
          <t>NE03</t>
        </is>
      </c>
      <c r="E359" s="15" t="inlineStr">
        <is>
          <t>IKEA Schrank weiß mit Drahtkörben</t>
        </is>
      </c>
      <c r="F359" s="16" t="inlineStr">
        <is>
          <t>Hoher Schrank von IKEA in Weiß mit zwei Türen, weißen ovalen Griffmulden und innen sechs herausziehbaren Drahtkörben.</t>
        </is>
      </c>
      <c r="G359" s="15" t="inlineStr">
        <is>
          <t>Möbel</t>
        </is>
      </c>
      <c r="H359" s="15" t="inlineStr">
        <is>
          <t>Schlafraum 2</t>
        </is>
      </c>
      <c r="I359" s="15" t="inlineStr">
        <is>
          <t>B</t>
        </is>
      </c>
      <c r="J359" s="17" t="n">
        <v>1</v>
      </c>
      <c r="K359" s="17" t="n"/>
      <c r="L359" s="18">
        <f>J359-IF(K359="",0,K359)</f>
        <v/>
      </c>
      <c r="M359" s="15" t="inlineStr">
        <is>
          <t>Stück</t>
        </is>
      </c>
      <c r="N359" s="15" t="inlineStr">
        <is>
          <t>gebraucht</t>
        </is>
      </c>
      <c r="O359" s="19" t="n"/>
      <c r="P359" s="19" t="inlineStr">
        <is>
          <t>ja</t>
        </is>
      </c>
      <c r="Q359" s="19" t="n"/>
      <c r="R359" s="20" t="n"/>
      <c r="S359" s="20" t="n">
        <v>80</v>
      </c>
      <c r="T359" s="19" t="inlineStr">
        <is>
          <t>VHB</t>
        </is>
      </c>
      <c r="U359" s="21">
        <f>L359*S359</f>
        <v/>
      </c>
      <c r="V359" s="15" t="inlineStr">
        <is>
          <t>nur Abholung</t>
        </is>
      </c>
      <c r="W359" s="15" t="inlineStr">
        <is>
          <t>F-447</t>
        </is>
      </c>
      <c r="X359" s="19" t="inlineStr">
        <is>
          <t>ja</t>
        </is>
      </c>
      <c r="Y359" s="19" t="n"/>
      <c r="Z359" s="19" t="inlineStr">
        <is>
          <t>verfügbar</t>
        </is>
      </c>
      <c r="AA359" s="19" t="inlineStr">
        <is>
          <t>IKEA</t>
        </is>
      </c>
      <c r="AB359" s="19" t="n"/>
      <c r="AC359" s="19" t="n"/>
      <c r="AD359" s="19" t="n"/>
      <c r="AE359" s="20" t="n"/>
      <c r="AF359" s="21">
        <f>IF(K359="","",K359*AE359)</f>
        <v/>
      </c>
      <c r="AG359" s="19" t="n"/>
      <c r="AH359" s="19" t="n"/>
      <c r="AI359" s="19" t="n"/>
      <c r="AJ359" s="19" t="n"/>
      <c r="AK359" s="19" t="n"/>
      <c r="AL359" s="19" t="n"/>
      <c r="AM359" s="16" t="inlineStr">
        <is>
          <t>1 Schrank einschließlich der Drahtkörbe. Handtücher und Bettwäsche gehören nicht dazu.</t>
        </is>
      </c>
      <c r="AN359" s="22" t="n"/>
    </row>
    <row r="360" ht="30" customHeight="1">
      <c r="A360" s="15" t="inlineStr">
        <is>
          <t>NE03-10</t>
        </is>
      </c>
      <c r="B360" s="15" t="n"/>
      <c r="C360" s="15" t="n"/>
      <c r="D360" s="15" t="inlineStr">
        <is>
          <t>NE03</t>
        </is>
      </c>
      <c r="E360" s="15" t="inlineStr">
        <is>
          <t>Plüsch-Elefanten, zwei Stück</t>
        </is>
      </c>
      <c r="F360" s="16" t="inlineStr">
        <is>
          <t>Zwei große Plüsch-Elefanten zum Stellen: einer aus cremefarbenem Breitcord, einer aus grau-cremefarben gestreiftem Stoff mit aufgestickten Augen. Am gestreiften Elefanten ein Etikett: done by deer.</t>
        </is>
      </c>
      <c r="G360" s="15" t="inlineStr">
        <is>
          <t>Deko</t>
        </is>
      </c>
      <c r="H360" s="15" t="inlineStr">
        <is>
          <t>Schlafraum 2</t>
        </is>
      </c>
      <c r="I360" s="15" t="inlineStr">
        <is>
          <t>C</t>
        </is>
      </c>
      <c r="J360" s="17" t="n">
        <v>2</v>
      </c>
      <c r="K360" s="17" t="n"/>
      <c r="L360" s="18">
        <f>J360-IF(K360="",0,K360)</f>
        <v/>
      </c>
      <c r="M360" s="15" t="inlineStr">
        <is>
          <t>Stück</t>
        </is>
      </c>
      <c r="N360" s="15" t="inlineStr">
        <is>
          <t>gebraucht</t>
        </is>
      </c>
      <c r="O360" s="19" t="n"/>
      <c r="P360" s="19" t="inlineStr">
        <is>
          <t>ja</t>
        </is>
      </c>
      <c r="Q360" s="19" t="n"/>
      <c r="R360" s="20" t="n"/>
      <c r="S360" s="20" t="n">
        <v>25</v>
      </c>
      <c r="T360" s="19" t="inlineStr">
        <is>
          <t>VHB</t>
        </is>
      </c>
      <c r="U360" s="21">
        <f>L360*S360</f>
        <v/>
      </c>
      <c r="V360" s="15" t="inlineStr">
        <is>
          <t>Versand möglich</t>
        </is>
      </c>
      <c r="W360" s="15" t="inlineStr">
        <is>
          <t>F-448</t>
        </is>
      </c>
      <c r="X360" s="19" t="inlineStr">
        <is>
          <t>ja</t>
        </is>
      </c>
      <c r="Y360" s="19" t="n"/>
      <c r="Z360" s="19" t="inlineStr">
        <is>
          <t>verfügbar</t>
        </is>
      </c>
      <c r="AA360" s="19" t="n"/>
      <c r="AB360" s="19" t="n"/>
      <c r="AC360" s="19" t="n"/>
      <c r="AD360" s="19" t="n"/>
      <c r="AE360" s="20" t="n"/>
      <c r="AF360" s="21">
        <f>IF(K360="","",K360*AE360)</f>
        <v/>
      </c>
      <c r="AG360" s="19" t="n"/>
      <c r="AH360" s="19" t="n"/>
      <c r="AI360" s="19" t="n"/>
      <c r="AJ360" s="19" t="n"/>
      <c r="AK360" s="19" t="n"/>
      <c r="AL360" s="19" t="n"/>
      <c r="AM360" s="16" t="inlineStr">
        <is>
          <t>2 Elefanten, beide abgebildet.</t>
        </is>
      </c>
      <c r="AN360" s="22" t="n"/>
    </row>
    <row r="361" ht="30" customHeight="1">
      <c r="A361" s="15" t="inlineStr">
        <is>
          <t>NE03-11</t>
        </is>
      </c>
      <c r="B361" s="15" t="n"/>
      <c r="C361" s="15" t="inlineStr">
        <is>
          <t>NE04-05</t>
        </is>
      </c>
      <c r="D361" s="15" t="inlineStr">
        <is>
          <t>NE03</t>
        </is>
      </c>
      <c r="E361" s="15" t="inlineStr">
        <is>
          <t>Wolken-Mobile Stoff, weiß</t>
        </is>
      </c>
      <c r="F361" s="16" t="inlineStr">
        <is>
          <t>Mobile aus drei weißen Stoffwolken in unterschiedlicher Größe, zum Aufhängen.</t>
        </is>
      </c>
      <c r="G361" s="15" t="inlineStr">
        <is>
          <t>Deko</t>
        </is>
      </c>
      <c r="H361" s="15" t="inlineStr">
        <is>
          <t>Schlafraum 2</t>
        </is>
      </c>
      <c r="I361" s="15" t="inlineStr">
        <is>
          <t>C</t>
        </is>
      </c>
      <c r="J361" s="17" t="n">
        <v>6</v>
      </c>
      <c r="K361" s="17" t="n"/>
      <c r="L361" s="18">
        <f>J361-IF(K361="",0,K361)</f>
        <v/>
      </c>
      <c r="M361" s="15" t="inlineStr">
        <is>
          <t>Stück</t>
        </is>
      </c>
      <c r="N361" s="15" t="inlineStr">
        <is>
          <t>gebraucht</t>
        </is>
      </c>
      <c r="O361" s="19" t="n"/>
      <c r="P361" s="19" t="inlineStr">
        <is>
          <t>ja</t>
        </is>
      </c>
      <c r="Q361" s="19" t="n"/>
      <c r="R361" s="20" t="n"/>
      <c r="S361" s="20" t="n">
        <v>20</v>
      </c>
      <c r="T361" s="19" t="inlineStr">
        <is>
          <t>VHB</t>
        </is>
      </c>
      <c r="U361" s="21">
        <f>L361*S361</f>
        <v/>
      </c>
      <c r="V361" s="15" t="inlineStr">
        <is>
          <t>Versand möglich</t>
        </is>
      </c>
      <c r="W361" s="15" t="inlineStr">
        <is>
          <t>F-449</t>
        </is>
      </c>
      <c r="X361" s="19" t="inlineStr">
        <is>
          <t>ja</t>
        </is>
      </c>
      <c r="Y361" s="19" t="n"/>
      <c r="Z361" s="19" t="inlineStr">
        <is>
          <t>verfügbar</t>
        </is>
      </c>
      <c r="AA361" s="19" t="n"/>
      <c r="AB361" s="19" t="n"/>
      <c r="AC361" s="19" t="n"/>
      <c r="AD361" s="19" t="n"/>
      <c r="AE361" s="20" t="n"/>
      <c r="AF361" s="21">
        <f>IF(K361="","",K361*AE361)</f>
        <v/>
      </c>
      <c r="AG361" s="19" t="n"/>
      <c r="AH361" s="19" t="n"/>
      <c r="AI361" s="19" t="n"/>
      <c r="AJ361" s="19" t="n"/>
      <c r="AK361" s="19" t="n"/>
      <c r="AL361" s="19" t="n"/>
      <c r="AM361" s="16" t="inlineStr">
        <is>
          <t>6 Mobiles: 2 im Schlafraum 2 (NE03-11) und 4 im Schlafraum 3 (NE04-05). Abgebildet ist eines davon, ein weiteres auf Foto F-455.</t>
        </is>
      </c>
      <c r="AN361" s="22" t="inlineStr">
        <is>
          <t>Zusammengefasste Position über zwei Räume – Post-it-Nummer: NE04-05.</t>
        </is>
      </c>
    </row>
    <row r="362" ht="30" customHeight="1">
      <c r="A362" s="15" t="inlineStr">
        <is>
          <t>NE04-03</t>
        </is>
      </c>
      <c r="B362" s="15" t="n"/>
      <c r="C362" s="15" t="n"/>
      <c r="D362" s="15" t="inlineStr">
        <is>
          <t>NE04</t>
        </is>
      </c>
      <c r="E362" s="15" t="inlineStr">
        <is>
          <t>Wanddekoration Wolken schwarz</t>
        </is>
      </c>
      <c r="F362" s="16" t="inlineStr">
        <is>
          <t>Flache Wandelemente in Wolkenform aus schwarz lackiertem Holz, zum Aufhängen.</t>
        </is>
      </c>
      <c r="G362" s="15" t="inlineStr">
        <is>
          <t>Deko</t>
        </is>
      </c>
      <c r="H362" s="15" t="inlineStr">
        <is>
          <t>Schlafraum 3</t>
        </is>
      </c>
      <c r="I362" s="15" t="inlineStr">
        <is>
          <t>C</t>
        </is>
      </c>
      <c r="J362" s="17" t="n">
        <v>2</v>
      </c>
      <c r="K362" s="17" t="n"/>
      <c r="L362" s="18">
        <f>J362-IF(K362="",0,K362)</f>
        <v/>
      </c>
      <c r="M362" s="15" t="inlineStr">
        <is>
          <t>Stück</t>
        </is>
      </c>
      <c r="N362" s="15" t="inlineStr">
        <is>
          <t>gut</t>
        </is>
      </c>
      <c r="O362" s="19" t="n"/>
      <c r="P362" s="19" t="inlineStr">
        <is>
          <t>ja</t>
        </is>
      </c>
      <c r="Q362" s="19" t="n"/>
      <c r="R362" s="20" t="n"/>
      <c r="S362" s="20" t="n">
        <v>20</v>
      </c>
      <c r="T362" s="19" t="inlineStr">
        <is>
          <t>VHB</t>
        </is>
      </c>
      <c r="U362" s="21">
        <f>L362*S362</f>
        <v/>
      </c>
      <c r="V362" s="15" t="inlineStr">
        <is>
          <t>Versand möglich</t>
        </is>
      </c>
      <c r="W362" s="15" t="inlineStr">
        <is>
          <t>F-453</t>
        </is>
      </c>
      <c r="X362" s="19" t="inlineStr">
        <is>
          <t>ja</t>
        </is>
      </c>
      <c r="Y362" s="19" t="n"/>
      <c r="Z362" s="19" t="inlineStr">
        <is>
          <t>verfügbar</t>
        </is>
      </c>
      <c r="AA362" s="19" t="n"/>
      <c r="AB362" s="19" t="n"/>
      <c r="AC362" s="19" t="n"/>
      <c r="AD362" s="19" t="n"/>
      <c r="AE362" s="20" t="n"/>
      <c r="AF362" s="21">
        <f>IF(K362="","",K362*AE362)</f>
        <v/>
      </c>
      <c r="AG362" s="19" t="n"/>
      <c r="AH362" s="19" t="n"/>
      <c r="AI362" s="19" t="n"/>
      <c r="AJ362" s="19" t="n"/>
      <c r="AK362" s="19" t="n"/>
      <c r="AL362" s="19" t="n"/>
      <c r="AM362" s="16" t="inlineStr">
        <is>
          <t>2 Stück, beide abgebildet. Wolken als Regal stehen unter NE03-01.</t>
        </is>
      </c>
      <c r="AN362" s="22" t="n"/>
    </row>
    <row r="363" ht="30" customHeight="1">
      <c r="A363" s="15" t="inlineStr">
        <is>
          <t>NE04-04</t>
        </is>
      </c>
      <c r="B363" s="15" t="n"/>
      <c r="C363" s="15" t="n"/>
      <c r="D363" s="15" t="inlineStr">
        <is>
          <t>NE04</t>
        </is>
      </c>
      <c r="E363" s="15" t="inlineStr">
        <is>
          <t>Schrank weiß mit zwei Türen und zwei Schubladen</t>
        </is>
      </c>
      <c r="F363" s="16" t="inlineStr">
        <is>
          <t>Weißer Schrank mit zwei oberen Türen und zwei breiten Schubladen darunter, Griffmulden ausgeschnitten.</t>
        </is>
      </c>
      <c r="G363" s="15" t="inlineStr">
        <is>
          <t>Möbel</t>
        </is>
      </c>
      <c r="H363" s="15" t="inlineStr">
        <is>
          <t>Schlafraum 3</t>
        </is>
      </c>
      <c r="I363" s="15" t="inlineStr">
        <is>
          <t>B</t>
        </is>
      </c>
      <c r="J363" s="17" t="n">
        <v>1</v>
      </c>
      <c r="K363" s="17" t="n"/>
      <c r="L363" s="18">
        <f>J363-IF(K363="",0,K363)</f>
        <v/>
      </c>
      <c r="M363" s="15" t="inlineStr">
        <is>
          <t>Stück</t>
        </is>
      </c>
      <c r="N363" s="15" t="inlineStr">
        <is>
          <t>gebraucht</t>
        </is>
      </c>
      <c r="O363" s="19" t="n"/>
      <c r="P363" s="19" t="inlineStr">
        <is>
          <t>ja</t>
        </is>
      </c>
      <c r="Q363" s="19" t="n"/>
      <c r="R363" s="20" t="n"/>
      <c r="S363" s="20" t="n">
        <v>80</v>
      </c>
      <c r="T363" s="19" t="inlineStr">
        <is>
          <t>VHB</t>
        </is>
      </c>
      <c r="U363" s="21">
        <f>L363*S363</f>
        <v/>
      </c>
      <c r="V363" s="15" t="inlineStr">
        <is>
          <t>nur Abholung</t>
        </is>
      </c>
      <c r="W363" s="15" t="inlineStr">
        <is>
          <t>F-454</t>
        </is>
      </c>
      <c r="X363" s="19" t="inlineStr">
        <is>
          <t>ja</t>
        </is>
      </c>
      <c r="Y363" s="19" t="n"/>
      <c r="Z363" s="19" t="inlineStr">
        <is>
          <t>verfügbar</t>
        </is>
      </c>
      <c r="AA363" s="19" t="n"/>
      <c r="AB363" s="19" t="n"/>
      <c r="AC363" s="19" t="n"/>
      <c r="AD363" s="19" t="n"/>
      <c r="AE363" s="20" t="n"/>
      <c r="AF363" s="21">
        <f>IF(K363="","",K363*AE363)</f>
        <v/>
      </c>
      <c r="AG363" s="19" t="n"/>
      <c r="AH363" s="19" t="n"/>
      <c r="AI363" s="19" t="n"/>
      <c r="AJ363" s="19" t="n"/>
      <c r="AK363" s="19" t="n"/>
      <c r="AL363" s="19" t="n"/>
      <c r="AM363" s="16" t="inlineStr">
        <is>
          <t>1 Schrank. Der Inhalt gehört nicht dazu. Auf dem Erfassungsblatt als Kommode mit zwei Schubladen geführt.</t>
        </is>
      </c>
      <c r="AN363" s="22" t="n"/>
    </row>
    <row r="364" ht="30" customHeight="1">
      <c r="A364" s="15" t="inlineStr">
        <is>
          <t>NE04-06</t>
        </is>
      </c>
      <c r="B364" s="15" t="n"/>
      <c r="C364" s="15" t="n"/>
      <c r="D364" s="15" t="inlineStr">
        <is>
          <t>NE04</t>
        </is>
      </c>
      <c r="E364" s="15" t="inlineStr">
        <is>
          <t>Wandspiegel in Wolkenform, weiß</t>
        </is>
      </c>
      <c r="F364" s="16" t="inlineStr">
        <is>
          <t>Wandspiegel in Wolkenform mit breitem weiß lackiertem Holzrahmen.</t>
        </is>
      </c>
      <c r="G364" s="15" t="inlineStr">
        <is>
          <t>Deko</t>
        </is>
      </c>
      <c r="H364" s="15" t="inlineStr">
        <is>
          <t>Schlafraum 3</t>
        </is>
      </c>
      <c r="I364" s="15" t="inlineStr">
        <is>
          <t>C</t>
        </is>
      </c>
      <c r="J364" s="17" t="n">
        <v>1</v>
      </c>
      <c r="K364" s="17" t="n"/>
      <c r="L364" s="18">
        <f>J364-IF(K364="",0,K364)</f>
        <v/>
      </c>
      <c r="M364" s="15" t="inlineStr">
        <is>
          <t>Stück</t>
        </is>
      </c>
      <c r="N364" s="15" t="inlineStr">
        <is>
          <t>gut</t>
        </is>
      </c>
      <c r="O364" s="19" t="n"/>
      <c r="P364" s="19" t="inlineStr">
        <is>
          <t>ja</t>
        </is>
      </c>
      <c r="Q364" s="19" t="n"/>
      <c r="R364" s="20" t="n"/>
      <c r="S364" s="20" t="n">
        <v>45</v>
      </c>
      <c r="T364" s="19" t="inlineStr">
        <is>
          <t>VHB</t>
        </is>
      </c>
      <c r="U364" s="21">
        <f>L364*S364</f>
        <v/>
      </c>
      <c r="V364" s="15" t="inlineStr">
        <is>
          <t>nur Abholung</t>
        </is>
      </c>
      <c r="W364" s="15" t="inlineStr">
        <is>
          <t>F-456</t>
        </is>
      </c>
      <c r="X364" s="19" t="inlineStr">
        <is>
          <t>ja</t>
        </is>
      </c>
      <c r="Y364" s="19" t="n"/>
      <c r="Z364" s="19" t="inlineStr">
        <is>
          <t>verfügbar</t>
        </is>
      </c>
      <c r="AA364" s="19" t="n"/>
      <c r="AB364" s="19" t="n"/>
      <c r="AC364" s="19" t="n"/>
      <c r="AD364" s="19" t="n"/>
      <c r="AE364" s="20" t="n"/>
      <c r="AF364" s="21">
        <f>IF(K364="","",K364*AE364)</f>
        <v/>
      </c>
      <c r="AG364" s="19" t="n"/>
      <c r="AH364" s="19" t="n"/>
      <c r="AI364" s="19" t="n"/>
      <c r="AJ364" s="19" t="n"/>
      <c r="AK364" s="19" t="n"/>
      <c r="AL364" s="19" t="n"/>
      <c r="AM364" s="16" t="inlineStr">
        <is>
          <t>1 Spiegel.</t>
        </is>
      </c>
      <c r="AN364" s="22" t="n"/>
    </row>
    <row r="365" ht="30" customHeight="1">
      <c r="A365" s="15" t="inlineStr">
        <is>
          <t>NE04-07</t>
        </is>
      </c>
      <c r="B365" s="15" t="n"/>
      <c r="C365" s="15" t="n"/>
      <c r="D365" s="15" t="inlineStr">
        <is>
          <t>NE04</t>
        </is>
      </c>
      <c r="E365" s="15" t="inlineStr">
        <is>
          <t>Wesco Wickelauflage beige</t>
        </is>
      </c>
      <c r="F365" s="16" t="inlineStr">
        <is>
          <t>Große Wickelauflage von Wesco mit beigem Kunstlederbezug und umlaufendem Rand.</t>
        </is>
      </c>
      <c r="G365" s="15" t="inlineStr">
        <is>
          <t>Kita-Ausstattung</t>
        </is>
      </c>
      <c r="H365" s="15" t="inlineStr">
        <is>
          <t>Schlafraum 3</t>
        </is>
      </c>
      <c r="I365" s="15" t="inlineStr">
        <is>
          <t>C</t>
        </is>
      </c>
      <c r="J365" s="17" t="n">
        <v>2</v>
      </c>
      <c r="K365" s="17" t="n"/>
      <c r="L365" s="18">
        <f>J365-IF(K365="",0,K365)</f>
        <v/>
      </c>
      <c r="M365" s="15" t="inlineStr">
        <is>
          <t>Stück</t>
        </is>
      </c>
      <c r="N365" s="15" t="inlineStr">
        <is>
          <t>gebraucht</t>
        </is>
      </c>
      <c r="O365" s="19" t="n"/>
      <c r="P365" s="19" t="inlineStr">
        <is>
          <t>ja</t>
        </is>
      </c>
      <c r="Q365" s="19" t="n"/>
      <c r="R365" s="20" t="n"/>
      <c r="S365" s="20" t="n">
        <v>45</v>
      </c>
      <c r="T365" s="19" t="inlineStr">
        <is>
          <t>VHB</t>
        </is>
      </c>
      <c r="U365" s="21">
        <f>L365*S365</f>
        <v/>
      </c>
      <c r="V365" s="15" t="inlineStr">
        <is>
          <t>Versand möglich</t>
        </is>
      </c>
      <c r="W365" s="15" t="inlineStr">
        <is>
          <t>F-457</t>
        </is>
      </c>
      <c r="X365" s="19" t="inlineStr">
        <is>
          <t>ja</t>
        </is>
      </c>
      <c r="Y365" s="19" t="n"/>
      <c r="Z365" s="19" t="inlineStr">
        <is>
          <t>verfügbar</t>
        </is>
      </c>
      <c r="AA365" s="19" t="inlineStr">
        <is>
          <t>Wesco</t>
        </is>
      </c>
      <c r="AB365" s="19" t="n"/>
      <c r="AC365" s="19" t="n"/>
      <c r="AD365" s="19" t="n"/>
      <c r="AE365" s="20" t="n"/>
      <c r="AF365" s="21">
        <f>IF(K365="","",K365*AE365)</f>
        <v/>
      </c>
      <c r="AG365" s="19" t="n"/>
      <c r="AH365" s="19" t="n"/>
      <c r="AI365" s="19" t="n"/>
      <c r="AJ365" s="19" t="n"/>
      <c r="AK365" s="19" t="n"/>
      <c r="AL365" s="19" t="n"/>
      <c r="AM365" s="16" t="inlineStr">
        <is>
          <t>2 Auflagen – abgebildet ist eine davon.</t>
        </is>
      </c>
      <c r="AN365" s="22" t="n"/>
    </row>
    <row r="366" ht="30" customHeight="1">
      <c r="A366" s="15" t="inlineStr">
        <is>
          <t>NE04-08</t>
        </is>
      </c>
      <c r="B366" s="15" t="n"/>
      <c r="C366" s="15" t="n"/>
      <c r="D366" s="15" t="inlineStr">
        <is>
          <t>NE04</t>
        </is>
      </c>
      <c r="E366" s="15" t="inlineStr">
        <is>
          <t>Wickelkommode Buche mit zehn Wannen</t>
        </is>
      </c>
      <c r="F366" s="16" t="inlineStr">
        <is>
          <t>Wickelkommode aus Buche-Dekor mit weißer Wickelfläche und umlaufender Aufkantung, darunter zehn herausziehbare Kunststoffwannen in zwei Reihen.</t>
        </is>
      </c>
      <c r="G366" s="15" t="inlineStr">
        <is>
          <t>Kita-Ausstattung</t>
        </is>
      </c>
      <c r="H366" s="15" t="inlineStr">
        <is>
          <t>Schlafraum 3</t>
        </is>
      </c>
      <c r="I366" s="15" t="inlineStr">
        <is>
          <t>B</t>
        </is>
      </c>
      <c r="J366" s="17" t="n">
        <v>1</v>
      </c>
      <c r="K366" s="17" t="n"/>
      <c r="L366" s="18">
        <f>J366-IF(K366="",0,K366)</f>
        <v/>
      </c>
      <c r="M366" s="15" t="inlineStr">
        <is>
          <t>Stück</t>
        </is>
      </c>
      <c r="N366" s="15" t="inlineStr">
        <is>
          <t>gut</t>
        </is>
      </c>
      <c r="O366" s="19" t="n"/>
      <c r="P366" s="19" t="inlineStr">
        <is>
          <t>ja</t>
        </is>
      </c>
      <c r="Q366" s="19" t="n"/>
      <c r="R366" s="20" t="n"/>
      <c r="S366" s="20" t="n">
        <v>180</v>
      </c>
      <c r="T366" s="19" t="inlineStr">
        <is>
          <t>VHB</t>
        </is>
      </c>
      <c r="U366" s="21">
        <f>L366*S366</f>
        <v/>
      </c>
      <c r="V366" s="15" t="inlineStr">
        <is>
          <t>nur Abholung</t>
        </is>
      </c>
      <c r="W366" s="15" t="inlineStr">
        <is>
          <t>F-458</t>
        </is>
      </c>
      <c r="X366" s="19" t="inlineStr">
        <is>
          <t>ja</t>
        </is>
      </c>
      <c r="Y366" s="19" t="n"/>
      <c r="Z366" s="19" t="inlineStr">
        <is>
          <t>verfügbar</t>
        </is>
      </c>
      <c r="AA366" s="19" t="n"/>
      <c r="AB366" s="19" t="n"/>
      <c r="AC366" s="19" t="n"/>
      <c r="AD366" s="19" t="n"/>
      <c r="AE366" s="20" t="n"/>
      <c r="AF366" s="21">
        <f>IF(K366="","",K366*AE366)</f>
        <v/>
      </c>
      <c r="AG366" s="19" t="n"/>
      <c r="AH366" s="19" t="n"/>
      <c r="AI366" s="19" t="n"/>
      <c r="AJ366" s="19" t="n"/>
      <c r="AK366" s="19" t="n"/>
      <c r="AL366" s="19" t="n"/>
      <c r="AM366" s="16" t="inlineStr">
        <is>
          <t>1 Kommode einschließlich der Wannen. Wickelauflage und Inhalt gehören nicht dazu. Die Namensschilder an den Wannen sind auf dem Foto unkenntlich gemacht und werden vor der Übergabe entfernt.</t>
        </is>
      </c>
      <c r="AN366" s="22" t="n"/>
    </row>
    <row r="367" ht="30" customHeight="1">
      <c r="A367" s="15" t="inlineStr">
        <is>
          <t>NE04-09</t>
        </is>
      </c>
      <c r="B367" s="15" t="n"/>
      <c r="C367" s="15" t="n"/>
      <c r="D367" s="15" t="inlineStr">
        <is>
          <t>NE04</t>
        </is>
      </c>
      <c r="E367" s="15" t="inlineStr">
        <is>
          <t>Wickelkommode Buche groß mit Treppe</t>
        </is>
      </c>
      <c r="F367" s="16" t="inlineStr">
        <is>
          <t>Große Wickelkommode aus Buche-Dekor mit weißer Wickelfläche und Aufkantung: in der Mitte eine herausrollbare Treppe für den Aufstieg, links und rechts je fünf herausziehbare Kunststoffwannen.</t>
        </is>
      </c>
      <c r="G367" s="15" t="inlineStr">
        <is>
          <t>Kita-Ausstattung</t>
        </is>
      </c>
      <c r="H367" s="15" t="inlineStr">
        <is>
          <t>Schlafraum 3</t>
        </is>
      </c>
      <c r="I367" s="15" t="inlineStr">
        <is>
          <t>A</t>
        </is>
      </c>
      <c r="J367" s="17" t="n">
        <v>2</v>
      </c>
      <c r="K367" s="17" t="n"/>
      <c r="L367" s="18">
        <f>J367-IF(K367="",0,K367)</f>
        <v/>
      </c>
      <c r="M367" s="15" t="inlineStr">
        <is>
          <t>Stück</t>
        </is>
      </c>
      <c r="N367" s="15" t="inlineStr">
        <is>
          <t>gut</t>
        </is>
      </c>
      <c r="O367" s="19" t="n"/>
      <c r="P367" s="19" t="inlineStr">
        <is>
          <t>ja</t>
        </is>
      </c>
      <c r="Q367" s="19" t="n"/>
      <c r="R367" s="20" t="n"/>
      <c r="S367" s="20" t="n">
        <v>250</v>
      </c>
      <c r="T367" s="19" t="inlineStr">
        <is>
          <t>VHB</t>
        </is>
      </c>
      <c r="U367" s="21">
        <f>L367*S367</f>
        <v/>
      </c>
      <c r="V367" s="15" t="inlineStr">
        <is>
          <t>nur Abholung</t>
        </is>
      </c>
      <c r="W367" s="15" t="inlineStr">
        <is>
          <t>F-459</t>
        </is>
      </c>
      <c r="X367" s="19" t="inlineStr">
        <is>
          <t>ja</t>
        </is>
      </c>
      <c r="Y367" s="19" t="n"/>
      <c r="Z367" s="19" t="inlineStr">
        <is>
          <t>verfügbar</t>
        </is>
      </c>
      <c r="AA367" s="19" t="n"/>
      <c r="AB367" s="19" t="n"/>
      <c r="AC367" s="19" t="n"/>
      <c r="AD367" s="19" t="n"/>
      <c r="AE367" s="20" t="n"/>
      <c r="AF367" s="21">
        <f>IF(K367="","",K367*AE367)</f>
        <v/>
      </c>
      <c r="AG367" s="19" t="n"/>
      <c r="AH367" s="19" t="n"/>
      <c r="AI367" s="19" t="n"/>
      <c r="AJ367" s="19" t="n"/>
      <c r="AK367" s="19" t="n"/>
      <c r="AL367" s="19" t="n"/>
      <c r="AM367" s="16" t="inlineStr">
        <is>
          <t>2 Kommoden einschließlich Treppe und Wannen – abgebildet ist eine davon. Der Inhalt gehört nicht dazu. Die Namensschilder an den Wannen sind auf dem Foto unkenntlich gemacht und werden vor der Übergabe entfernt.</t>
        </is>
      </c>
      <c r="AN367" s="22" t="n"/>
    </row>
    <row r="368" ht="30" customHeight="1">
      <c r="A368" s="15" t="inlineStr">
        <is>
          <t>NE04-10</t>
        </is>
      </c>
      <c r="B368" s="15" t="n"/>
      <c r="C368" s="15" t="n"/>
      <c r="D368" s="15" t="inlineStr">
        <is>
          <t>NE04</t>
        </is>
      </c>
      <c r="E368" s="15" t="inlineStr">
        <is>
          <t>Wickelkommode mit Türen und Fachböden</t>
        </is>
      </c>
      <c r="F368" s="16" t="inlineStr">
        <is>
          <t>Wickelkommode aus Buche-Dekor mit weißer Wickelfläche und Aufkantung, geschlossener Unterbau mit zwei Türen und drei Fachböden.</t>
        </is>
      </c>
      <c r="G368" s="15" t="inlineStr">
        <is>
          <t>Kita-Ausstattung</t>
        </is>
      </c>
      <c r="H368" s="15" t="inlineStr">
        <is>
          <t>Schlafraum 3</t>
        </is>
      </c>
      <c r="I368" s="15" t="inlineStr">
        <is>
          <t>B</t>
        </is>
      </c>
      <c r="J368" s="17" t="n">
        <v>1</v>
      </c>
      <c r="K368" s="17" t="n"/>
      <c r="L368" s="18">
        <f>J368-IF(K368="",0,K368)</f>
        <v/>
      </c>
      <c r="M368" s="15" t="inlineStr">
        <is>
          <t>Stück</t>
        </is>
      </c>
      <c r="N368" s="15" t="inlineStr">
        <is>
          <t>gut</t>
        </is>
      </c>
      <c r="O368" s="19" t="n"/>
      <c r="P368" s="19" t="inlineStr">
        <is>
          <t>ja</t>
        </is>
      </c>
      <c r="Q368" s="19" t="n"/>
      <c r="R368" s="20" t="n"/>
      <c r="S368" s="20" t="n">
        <v>180</v>
      </c>
      <c r="T368" s="19" t="inlineStr">
        <is>
          <t>VHB</t>
        </is>
      </c>
      <c r="U368" s="21">
        <f>L368*S368</f>
        <v/>
      </c>
      <c r="V368" s="15" t="inlineStr">
        <is>
          <t>nur Abholung</t>
        </is>
      </c>
      <c r="W368" s="15" t="inlineStr">
        <is>
          <t>F-460</t>
        </is>
      </c>
      <c r="X368" s="19" t="inlineStr">
        <is>
          <t>ja</t>
        </is>
      </c>
      <c r="Y368" s="19" t="n"/>
      <c r="Z368" s="19" t="inlineStr">
        <is>
          <t>verfügbar</t>
        </is>
      </c>
      <c r="AA368" s="19" t="n"/>
      <c r="AB368" s="19" t="n"/>
      <c r="AC368" s="19" t="n"/>
      <c r="AD368" s="19" t="n"/>
      <c r="AE368" s="20" t="n"/>
      <c r="AF368" s="21">
        <f>IF(K368="","",K368*AE368)</f>
        <v/>
      </c>
      <c r="AG368" s="19" t="n"/>
      <c r="AH368" s="19" t="n"/>
      <c r="AI368" s="19" t="n"/>
      <c r="AJ368" s="19" t="n"/>
      <c r="AK368" s="19" t="n"/>
      <c r="AL368" s="19" t="n"/>
      <c r="AM368" s="16" t="inlineStr">
        <is>
          <t>1 Kommode. Wickelauflage, Kisten und Inhalt gehören nicht dazu.</t>
        </is>
      </c>
      <c r="AN368" s="22" t="n"/>
    </row>
    <row r="369" ht="30" customHeight="1">
      <c r="A369" s="15" t="inlineStr">
        <is>
          <t>NE04-11</t>
        </is>
      </c>
      <c r="B369" s="15" t="n"/>
      <c r="C369" s="15" t="n"/>
      <c r="D369" s="15" t="inlineStr">
        <is>
          <t>NE04</t>
        </is>
      </c>
      <c r="E369" s="15" t="inlineStr">
        <is>
          <t>Baby Jogger City Select Kinderwagen, rot</t>
        </is>
      </c>
      <c r="F369" s="16" t="inlineStr">
        <is>
          <t>Kinderwagen Baby Jogger City Select in Rot mit Verdeck, Fünfpunktgurt, Einkaufskorb und luftbereiften Rädern. Aufdruck am Rahmen: city select by baby jogger. Der Rahmen ist an mehreren Stellen abgeschabt.</t>
        </is>
      </c>
      <c r="G369" s="15" t="inlineStr">
        <is>
          <t>Kita-Ausstattung</t>
        </is>
      </c>
      <c r="H369" s="15" t="inlineStr">
        <is>
          <t>Schlafraum 3</t>
        </is>
      </c>
      <c r="I369" s="15" t="inlineStr">
        <is>
          <t>B</t>
        </is>
      </c>
      <c r="J369" s="17" t="n">
        <v>1</v>
      </c>
      <c r="K369" s="17" t="n"/>
      <c r="L369" s="18">
        <f>J369-IF(K369="",0,K369)</f>
        <v/>
      </c>
      <c r="M369" s="15" t="inlineStr">
        <is>
          <t>Stück</t>
        </is>
      </c>
      <c r="N369" s="15" t="inlineStr">
        <is>
          <t>gebraucht</t>
        </is>
      </c>
      <c r="O369" s="19" t="n"/>
      <c r="P369" s="19" t="inlineStr">
        <is>
          <t>ja</t>
        </is>
      </c>
      <c r="Q369" s="19" t="n"/>
      <c r="R369" s="20" t="n"/>
      <c r="S369" s="20" t="n">
        <v>180</v>
      </c>
      <c r="T369" s="19" t="inlineStr">
        <is>
          <t>VHB</t>
        </is>
      </c>
      <c r="U369" s="21">
        <f>L369*S369</f>
        <v/>
      </c>
      <c r="V369" s="15" t="inlineStr">
        <is>
          <t>nur Abholung</t>
        </is>
      </c>
      <c r="W369" s="15" t="inlineStr">
        <is>
          <t>F-461</t>
        </is>
      </c>
      <c r="X369" s="19" t="inlineStr">
        <is>
          <t>ja</t>
        </is>
      </c>
      <c r="Y369" s="19" t="n"/>
      <c r="Z369" s="19" t="inlineStr">
        <is>
          <t>verfügbar</t>
        </is>
      </c>
      <c r="AA369" s="19" t="inlineStr">
        <is>
          <t>Baby Jogger</t>
        </is>
      </c>
      <c r="AB369" s="19" t="n"/>
      <c r="AC369" s="19" t="n"/>
      <c r="AD369" s="19" t="n"/>
      <c r="AE369" s="20" t="n"/>
      <c r="AF369" s="21">
        <f>IF(K369="","",K369*AE369)</f>
        <v/>
      </c>
      <c r="AG369" s="19" t="n"/>
      <c r="AH369" s="19" t="n"/>
      <c r="AI369" s="19" t="n"/>
      <c r="AJ369" s="19" t="n"/>
      <c r="AK369" s="19" t="n"/>
      <c r="AL369" s="19" t="n"/>
      <c r="AM369" s="16" t="inlineStr">
        <is>
          <t>1 Wagen. Das Gestell mit Rädern ist auf Foto F-462 zu sehen.</t>
        </is>
      </c>
      <c r="AN369" s="22" t="n"/>
    </row>
    <row r="370" ht="30" customHeight="1">
      <c r="A370" s="15" t="inlineStr">
        <is>
          <t>NE04-12</t>
        </is>
      </c>
      <c r="B370" s="15" t="n"/>
      <c r="C370" s="15" t="n"/>
      <c r="D370" s="15" t="inlineStr">
        <is>
          <t>NE04</t>
        </is>
      </c>
      <c r="E370" s="15" t="inlineStr">
        <is>
          <t>Hochflorteppich rund, rot-orange</t>
        </is>
      </c>
      <c r="F370" s="16" t="inlineStr">
        <is>
          <t>Runder Hochflorteppich in melierten Rot-, Orange- und Violetttönen.</t>
        </is>
      </c>
      <c r="G370" s="15" t="inlineStr">
        <is>
          <t>Textilien</t>
        </is>
      </c>
      <c r="H370" s="15" t="inlineStr">
        <is>
          <t>Schlafraum 3</t>
        </is>
      </c>
      <c r="I370" s="15" t="inlineStr">
        <is>
          <t>C</t>
        </is>
      </c>
      <c r="J370" s="17" t="n">
        <v>1</v>
      </c>
      <c r="K370" s="17" t="n"/>
      <c r="L370" s="18">
        <f>J370-IF(K370="",0,K370)</f>
        <v/>
      </c>
      <c r="M370" s="15" t="inlineStr">
        <is>
          <t>Stück</t>
        </is>
      </c>
      <c r="N370" s="15" t="inlineStr">
        <is>
          <t>gebraucht</t>
        </is>
      </c>
      <c r="O370" s="19" t="inlineStr">
        <is>
          <t>Ø ca. 200 cm</t>
        </is>
      </c>
      <c r="P370" s="19" t="inlineStr">
        <is>
          <t>ja</t>
        </is>
      </c>
      <c r="Q370" s="19" t="n"/>
      <c r="R370" s="20" t="n"/>
      <c r="S370" s="20" t="n">
        <v>60</v>
      </c>
      <c r="T370" s="19" t="inlineStr">
        <is>
          <t>VHB</t>
        </is>
      </c>
      <c r="U370" s="21">
        <f>L370*S370</f>
        <v/>
      </c>
      <c r="V370" s="15" t="inlineStr">
        <is>
          <t>Versand möglich</t>
        </is>
      </c>
      <c r="W370" s="15" t="inlineStr">
        <is>
          <t>F-463</t>
        </is>
      </c>
      <c r="X370" s="19" t="inlineStr">
        <is>
          <t>ja</t>
        </is>
      </c>
      <c r="Y370" s="19" t="n"/>
      <c r="Z370" s="19" t="inlineStr">
        <is>
          <t>verfügbar</t>
        </is>
      </c>
      <c r="AA370" s="19" t="n"/>
      <c r="AB370" s="19" t="n"/>
      <c r="AC370" s="19" t="n"/>
      <c r="AD370" s="19" t="n"/>
      <c r="AE370" s="20" t="n"/>
      <c r="AF370" s="21">
        <f>IF(K370="","",K370*AE370)</f>
        <v/>
      </c>
      <c r="AG370" s="19" t="n"/>
      <c r="AH370" s="19" t="n"/>
      <c r="AI370" s="19" t="n"/>
      <c r="AJ370" s="19" t="n"/>
      <c r="AK370" s="19" t="n"/>
      <c r="AL370" s="19" t="n"/>
      <c r="AM370" s="16" t="inlineStr">
        <is>
          <t>1 Teppich, Maß vom Erfassungsblatt. Der Flor ist auf Foto F-464 aus der Nähe zu sehen.</t>
        </is>
      </c>
      <c r="AN370" s="22" t="n"/>
    </row>
    <row r="371" ht="30" customHeight="1">
      <c r="A371" s="15" t="inlineStr">
        <is>
          <t>NE04-13</t>
        </is>
      </c>
      <c r="B371" s="15" t="n"/>
      <c r="C371" s="15" t="n"/>
      <c r="D371" s="15" t="inlineStr">
        <is>
          <t>NE04</t>
        </is>
      </c>
      <c r="E371" s="15" t="inlineStr">
        <is>
          <t>Windeleimer weiß mit Deckel</t>
        </is>
      </c>
      <c r="F371" s="16" t="inlineStr">
        <is>
          <t>Hoher Windeleimer aus weißem Kunststoff mit aufklappbarem Deckel, Dichtring und Fußpedal.</t>
        </is>
      </c>
      <c r="G371" s="15" t="inlineStr">
        <is>
          <t>Kita-Ausstattung</t>
        </is>
      </c>
      <c r="H371" s="15" t="inlineStr">
        <is>
          <t>Schlafraum 3</t>
        </is>
      </c>
      <c r="I371" s="15" t="inlineStr">
        <is>
          <t>C</t>
        </is>
      </c>
      <c r="J371" s="17" t="n">
        <v>2</v>
      </c>
      <c r="K371" s="17" t="n"/>
      <c r="L371" s="18">
        <f>J371-IF(K371="",0,K371)</f>
        <v/>
      </c>
      <c r="M371" s="15" t="inlineStr">
        <is>
          <t>Stück</t>
        </is>
      </c>
      <c r="N371" s="15" t="inlineStr">
        <is>
          <t>gut</t>
        </is>
      </c>
      <c r="O371" s="19" t="n"/>
      <c r="P371" s="19" t="inlineStr">
        <is>
          <t>ja</t>
        </is>
      </c>
      <c r="Q371" s="19" t="n"/>
      <c r="R371" s="20" t="n"/>
      <c r="S371" s="20" t="n">
        <v>25</v>
      </c>
      <c r="T371" s="19" t="inlineStr">
        <is>
          <t>VHB</t>
        </is>
      </c>
      <c r="U371" s="21">
        <f>L371*S371</f>
        <v/>
      </c>
      <c r="V371" s="15" t="inlineStr">
        <is>
          <t>Versand möglich</t>
        </is>
      </c>
      <c r="W371" s="15" t="inlineStr">
        <is>
          <t>F-465</t>
        </is>
      </c>
      <c r="X371" s="19" t="inlineStr">
        <is>
          <t>ja</t>
        </is>
      </c>
      <c r="Y371" s="19" t="n"/>
      <c r="Z371" s="19" t="inlineStr">
        <is>
          <t>verfügbar</t>
        </is>
      </c>
      <c r="AA371" s="19" t="n"/>
      <c r="AB371" s="19" t="n"/>
      <c r="AC371" s="19" t="n"/>
      <c r="AD371" s="19" t="n"/>
      <c r="AE371" s="20" t="n"/>
      <c r="AF371" s="21">
        <f>IF(K371="","",K371*AE371)</f>
        <v/>
      </c>
      <c r="AG371" s="19" t="n"/>
      <c r="AH371" s="19" t="n"/>
      <c r="AI371" s="19" t="n"/>
      <c r="AJ371" s="19" t="n"/>
      <c r="AK371" s="19" t="n"/>
      <c r="AL371" s="19" t="n"/>
      <c r="AM371" s="16" t="inlineStr">
        <is>
          <t>2 Eimer – abgebildet ist einer davon.</t>
        </is>
      </c>
      <c r="AN371" s="22" t="n"/>
    </row>
    <row r="372" ht="30" customHeight="1">
      <c r="A372" s="15" t="inlineStr">
        <is>
          <t>NE04-14</t>
        </is>
      </c>
      <c r="B372" s="15" t="n"/>
      <c r="C372" s="15" t="n"/>
      <c r="D372" s="15" t="inlineStr">
        <is>
          <t>NE04</t>
        </is>
      </c>
      <c r="E372" s="15" t="inlineStr">
        <is>
          <t>Wandregal in Bergform, Holz</t>
        </is>
      </c>
      <c r="F372" s="16" t="inlineStr">
        <is>
          <t>Wandregal in Form einer Bergkette aus hellem Holz mit weiß lackierten Gipfeln, durchgehender Ablageboden.</t>
        </is>
      </c>
      <c r="G372" s="15" t="inlineStr">
        <is>
          <t>Deko</t>
        </is>
      </c>
      <c r="H372" s="15" t="inlineStr">
        <is>
          <t>Schlafraum 3</t>
        </is>
      </c>
      <c r="I372" s="15" t="inlineStr">
        <is>
          <t>C</t>
        </is>
      </c>
      <c r="J372" s="17" t="n">
        <v>3</v>
      </c>
      <c r="K372" s="17" t="n"/>
      <c r="L372" s="18">
        <f>J372-IF(K372="",0,K372)</f>
        <v/>
      </c>
      <c r="M372" s="15" t="inlineStr">
        <is>
          <t>Stück</t>
        </is>
      </c>
      <c r="N372" s="15" t="inlineStr">
        <is>
          <t>gut</t>
        </is>
      </c>
      <c r="O372" s="19" t="n"/>
      <c r="P372" s="19" t="inlineStr">
        <is>
          <t>ja</t>
        </is>
      </c>
      <c r="Q372" s="19" t="n"/>
      <c r="R372" s="20" t="n"/>
      <c r="S372" s="20" t="n">
        <v>25</v>
      </c>
      <c r="T372" s="19" t="inlineStr">
        <is>
          <t>VHB</t>
        </is>
      </c>
      <c r="U372" s="21">
        <f>L372*S372</f>
        <v/>
      </c>
      <c r="V372" s="15" t="inlineStr">
        <is>
          <t>Versand möglich</t>
        </is>
      </c>
      <c r="W372" s="15" t="inlineStr">
        <is>
          <t>F-466</t>
        </is>
      </c>
      <c r="X372" s="19" t="inlineStr">
        <is>
          <t>ja</t>
        </is>
      </c>
      <c r="Y372" s="19" t="n"/>
      <c r="Z372" s="19" t="inlineStr">
        <is>
          <t>verfügbar</t>
        </is>
      </c>
      <c r="AA372" s="19" t="n"/>
      <c r="AB372" s="19" t="n"/>
      <c r="AC372" s="19" t="n"/>
      <c r="AD372" s="19" t="n"/>
      <c r="AE372" s="20" t="n"/>
      <c r="AF372" s="21">
        <f>IF(K372="","",K372*AE372)</f>
        <v/>
      </c>
      <c r="AG372" s="19" t="n"/>
      <c r="AH372" s="19" t="n"/>
      <c r="AI372" s="19" t="n"/>
      <c r="AJ372" s="19" t="n"/>
      <c r="AK372" s="19" t="n"/>
      <c r="AL372" s="19" t="n"/>
      <c r="AM372" s="16" t="inlineStr">
        <is>
          <t>3 Regale – abgebildet ist eines davon.</t>
        </is>
      </c>
      <c r="AN372" s="22" t="n"/>
    </row>
    <row r="373" ht="30" customHeight="1">
      <c r="A373" s="15" t="inlineStr">
        <is>
          <t>NE04-15</t>
        </is>
      </c>
      <c r="B373" s="15" t="n"/>
      <c r="C373" s="15" t="n"/>
      <c r="D373" s="15" t="inlineStr">
        <is>
          <t>NE04</t>
        </is>
      </c>
      <c r="E373" s="15" t="inlineStr">
        <is>
          <t>Mobile Holzbogen mit Filzkugeln</t>
        </is>
      </c>
      <c r="F373" s="16" t="inlineStr">
        <is>
          <t>Mobile mit geschwungenem Bogen aus Birkenholz, daran Filzkugeln in Rot, Grau und Weiß sowie Sterne und Häuschen aus Holz und Filz in Schwarz, Grau und Natur.</t>
        </is>
      </c>
      <c r="G373" s="15" t="inlineStr">
        <is>
          <t>Deko</t>
        </is>
      </c>
      <c r="H373" s="15" t="inlineStr">
        <is>
          <t>Schlafraum 3</t>
        </is>
      </c>
      <c r="I373" s="15" t="inlineStr">
        <is>
          <t>C</t>
        </is>
      </c>
      <c r="J373" s="17" t="n">
        <v>3</v>
      </c>
      <c r="K373" s="17" t="n"/>
      <c r="L373" s="18">
        <f>J373-IF(K373="",0,K373)</f>
        <v/>
      </c>
      <c r="M373" s="15" t="inlineStr">
        <is>
          <t>Stück</t>
        </is>
      </c>
      <c r="N373" s="15" t="inlineStr">
        <is>
          <t>gut</t>
        </is>
      </c>
      <c r="O373" s="19" t="n"/>
      <c r="P373" s="19" t="inlineStr">
        <is>
          <t>ja</t>
        </is>
      </c>
      <c r="Q373" s="19" t="n"/>
      <c r="R373" s="20" t="n"/>
      <c r="S373" s="20" t="n">
        <v>25</v>
      </c>
      <c r="T373" s="19" t="inlineStr">
        <is>
          <t>VHB</t>
        </is>
      </c>
      <c r="U373" s="21">
        <f>L373*S373</f>
        <v/>
      </c>
      <c r="V373" s="15" t="inlineStr">
        <is>
          <t>Versand möglich</t>
        </is>
      </c>
      <c r="W373" s="15" t="inlineStr">
        <is>
          <t>F-467</t>
        </is>
      </c>
      <c r="X373" s="19" t="inlineStr">
        <is>
          <t>ja</t>
        </is>
      </c>
      <c r="Y373" s="19" t="n"/>
      <c r="Z373" s="19" t="inlineStr">
        <is>
          <t>verfügbar</t>
        </is>
      </c>
      <c r="AA373" s="19" t="n"/>
      <c r="AB373" s="19" t="n"/>
      <c r="AC373" s="19" t="n"/>
      <c r="AD373" s="19" t="n"/>
      <c r="AE373" s="20" t="n"/>
      <c r="AF373" s="21">
        <f>IF(K373="","",K373*AE373)</f>
        <v/>
      </c>
      <c r="AG373" s="19" t="n"/>
      <c r="AH373" s="19" t="n"/>
      <c r="AI373" s="19" t="n"/>
      <c r="AJ373" s="19" t="n"/>
      <c r="AK373" s="19" t="n"/>
      <c r="AL373" s="19" t="n"/>
      <c r="AM373" s="16" t="inlineStr">
        <is>
          <t>3 Mobiles – abgebildet ist eines davon.</t>
        </is>
      </c>
      <c r="AN373" s="22" t="n"/>
    </row>
    <row r="374" ht="30" customHeight="1">
      <c r="A374" s="15" t="inlineStr">
        <is>
          <t>NE05-04</t>
        </is>
      </c>
      <c r="B374" s="15" t="n"/>
      <c r="C374" s="15" t="n"/>
      <c r="D374" s="15" t="inlineStr">
        <is>
          <t>NE05</t>
        </is>
      </c>
      <c r="E374" s="15" t="inlineStr">
        <is>
          <t>Vitra Panton Chair rot, Erwachsenengröße</t>
        </is>
      </c>
      <c r="F374" s="16" t="inlineStr">
        <is>
          <t>Panton Chair von Vitra, Entwurf Verner Panton: Freischwinger aus einem Stück Kunststoff, rot matt, S-förmig geschwungen. Erwachsenengröße. Aufkleber an der Unterseite: 44003000, 26.03.2019.</t>
        </is>
      </c>
      <c r="G374" s="15" t="inlineStr">
        <is>
          <t>Möbel</t>
        </is>
      </c>
      <c r="H374" s="15" t="inlineStr">
        <is>
          <t>Speisesaal</t>
        </is>
      </c>
      <c r="I374" s="15" t="inlineStr">
        <is>
          <t>A</t>
        </is>
      </c>
      <c r="J374" s="17" t="n">
        <v>1</v>
      </c>
      <c r="K374" s="17" t="n"/>
      <c r="L374" s="18">
        <f>J374-IF(K374="",0,K374)</f>
        <v/>
      </c>
      <c r="M374" s="15" t="inlineStr">
        <is>
          <t>Stück</t>
        </is>
      </c>
      <c r="N374" s="15" t="inlineStr">
        <is>
          <t>gebraucht</t>
        </is>
      </c>
      <c r="O374" s="19" t="n"/>
      <c r="P374" s="19" t="inlineStr">
        <is>
          <t>ja</t>
        </is>
      </c>
      <c r="Q374" s="19" t="n"/>
      <c r="R374" s="20" t="n"/>
      <c r="S374" s="20" t="n">
        <v>220</v>
      </c>
      <c r="T374" s="19" t="inlineStr">
        <is>
          <t>VHB</t>
        </is>
      </c>
      <c r="U374" s="21">
        <f>L374*S374</f>
        <v/>
      </c>
      <c r="V374" s="15" t="inlineStr">
        <is>
          <t>nur Abholung</t>
        </is>
      </c>
      <c r="W374" s="15" t="inlineStr">
        <is>
          <t>F-469</t>
        </is>
      </c>
      <c r="X374" s="19" t="inlineStr">
        <is>
          <t>ja</t>
        </is>
      </c>
      <c r="Y374" s="19" t="n"/>
      <c r="Z374" s="19" t="inlineStr">
        <is>
          <t>verfügbar</t>
        </is>
      </c>
      <c r="AA374" s="19" t="inlineStr">
        <is>
          <t>Vitra</t>
        </is>
      </c>
      <c r="AB374" s="19" t="n"/>
      <c r="AC374" s="19" t="n"/>
      <c r="AD374" s="19" t="n"/>
      <c r="AE374" s="20" t="n"/>
      <c r="AF374" s="21">
        <f>IF(K374="","",K374*AE374)</f>
        <v/>
      </c>
      <c r="AG374" s="19" t="n"/>
      <c r="AH374" s="19" t="n"/>
      <c r="AI374" s="19" t="n"/>
      <c r="AJ374" s="19" t="n"/>
      <c r="AK374" s="19" t="n"/>
      <c r="AL374" s="19" t="n"/>
      <c r="AM374" s="16" t="inlineStr">
        <is>
          <t>1 Stuhl. Die Seitenansicht ist auf Foto F-470 zu sehen. Panton Chairs in Kindergröße stehen unter NE05-05 (rot) und NE05-12 (weiß).</t>
        </is>
      </c>
      <c r="AN374" s="22" t="n"/>
    </row>
    <row r="375" ht="30" customHeight="1">
      <c r="A375" s="15" t="inlineStr">
        <is>
          <t>NE05-05</t>
        </is>
      </c>
      <c r="B375" s="15" t="n"/>
      <c r="C375" s="15" t="n"/>
      <c r="D375" s="15" t="inlineStr">
        <is>
          <t>NE05</t>
        </is>
      </c>
      <c r="E375" s="15" t="inlineStr">
        <is>
          <t>Vitra Panton Chair Junior rot, Kindergröße</t>
        </is>
      </c>
      <c r="F375" s="16" t="inlineStr">
        <is>
          <t>Panton Chair Junior von Vitra, Entwurf Verner Panton: Freischwinger aus einem Stück Kunststoff, rot matt, S-förmig geschwungen, in Kindergröße. Die Aufkleber an der Unterseite sind nicht mehr lesbar; der Stuhl in Erwachsenengröße aus demselben Raum (NE05-04) trägt den Vitra-Aufkleber.</t>
        </is>
      </c>
      <c r="G375" s="15" t="inlineStr">
        <is>
          <t>Kita-Ausstattung</t>
        </is>
      </c>
      <c r="H375" s="15" t="inlineStr">
        <is>
          <t>Speisesaal</t>
        </is>
      </c>
      <c r="I375" s="15" t="inlineStr">
        <is>
          <t>A</t>
        </is>
      </c>
      <c r="J375" s="17" t="n">
        <v>5</v>
      </c>
      <c r="K375" s="17" t="n"/>
      <c r="L375" s="18">
        <f>J375-IF(K375="",0,K375)</f>
        <v/>
      </c>
      <c r="M375" s="15" t="inlineStr">
        <is>
          <t>Stück</t>
        </is>
      </c>
      <c r="N375" s="15" t="inlineStr">
        <is>
          <t>gebraucht</t>
        </is>
      </c>
      <c r="O375" s="19" t="n"/>
      <c r="P375" s="19" t="inlineStr">
        <is>
          <t>ja</t>
        </is>
      </c>
      <c r="Q375" s="19" t="n"/>
      <c r="R375" s="20" t="n"/>
      <c r="S375" s="20" t="n">
        <v>150</v>
      </c>
      <c r="T375" s="19" t="inlineStr">
        <is>
          <t>VHB</t>
        </is>
      </c>
      <c r="U375" s="21">
        <f>L375*S375</f>
        <v/>
      </c>
      <c r="V375" s="15" t="inlineStr">
        <is>
          <t>nur Abholung</t>
        </is>
      </c>
      <c r="W375" s="15" t="inlineStr">
        <is>
          <t>F-471</t>
        </is>
      </c>
      <c r="X375" s="19" t="inlineStr">
        <is>
          <t>ja</t>
        </is>
      </c>
      <c r="Y375" s="19" t="n"/>
      <c r="Z375" s="19" t="inlineStr">
        <is>
          <t>verfügbar</t>
        </is>
      </c>
      <c r="AA375" s="19" t="inlineStr">
        <is>
          <t>Vitra</t>
        </is>
      </c>
      <c r="AB375" s="19" t="n"/>
      <c r="AC375" s="19" t="n"/>
      <c r="AD375" s="19" t="n"/>
      <c r="AE375" s="20" t="n"/>
      <c r="AF375" s="21">
        <f>IF(K375="","",K375*AE375)</f>
        <v/>
      </c>
      <c r="AG375" s="19" t="n"/>
      <c r="AH375" s="19" t="n"/>
      <c r="AI375" s="19" t="n"/>
      <c r="AJ375" s="19" t="n"/>
      <c r="AK375" s="19" t="n"/>
      <c r="AL375" s="19" t="n"/>
      <c r="AM375" s="16" t="inlineStr">
        <is>
          <t>5 Stühle – abgebildet ist einer davon.</t>
        </is>
      </c>
      <c r="AN375" s="22" t="n"/>
    </row>
    <row r="376" ht="30" customHeight="1">
      <c r="A376" s="15" t="inlineStr">
        <is>
          <t>NE05-06</t>
        </is>
      </c>
      <c r="B376" s="15" t="n"/>
      <c r="C376" s="15" t="n"/>
      <c r="D376" s="15" t="inlineStr">
        <is>
          <t>NE05</t>
        </is>
      </c>
      <c r="E376" s="15" t="inlineStr">
        <is>
          <t>Stokke Steps Treppenhochstuhl, schwarz</t>
        </is>
      </c>
      <c r="F376" s="16" t="inlineStr">
        <is>
          <t>Stokke Steps: mitwachsender Treppenhochstuhl, Seitenwangen und Platten schwarz, Sitz- und Fußbrett in der Höhe verstellbar, Rückenlehne mit umlaufendem Bügel. Artikelnummer 460002.</t>
        </is>
      </c>
      <c r="G376" s="15" t="inlineStr">
        <is>
          <t>Kita-Ausstattung</t>
        </is>
      </c>
      <c r="H376" s="15" t="inlineStr">
        <is>
          <t>Speisesaal</t>
        </is>
      </c>
      <c r="I376" s="15" t="inlineStr">
        <is>
          <t>B</t>
        </is>
      </c>
      <c r="J376" s="17" t="n">
        <v>7</v>
      </c>
      <c r="K376" s="17" t="n"/>
      <c r="L376" s="18">
        <f>J376-IF(K376="",0,K376)</f>
        <v/>
      </c>
      <c r="M376" s="15" t="inlineStr">
        <is>
          <t>Stück</t>
        </is>
      </c>
      <c r="N376" s="15" t="inlineStr">
        <is>
          <t>gebraucht</t>
        </is>
      </c>
      <c r="O376" s="19" t="n"/>
      <c r="P376" s="19" t="inlineStr">
        <is>
          <t>ja</t>
        </is>
      </c>
      <c r="Q376" s="19" t="n"/>
      <c r="R376" s="20" t="n"/>
      <c r="S376" s="20" t="n">
        <v>130</v>
      </c>
      <c r="T376" s="19" t="inlineStr">
        <is>
          <t>VHB</t>
        </is>
      </c>
      <c r="U376" s="21">
        <f>L376*S376</f>
        <v/>
      </c>
      <c r="V376" s="15" t="inlineStr">
        <is>
          <t>nur Abholung</t>
        </is>
      </c>
      <c r="W376" s="15" t="inlineStr">
        <is>
          <t>F-472</t>
        </is>
      </c>
      <c r="X376" s="19" t="inlineStr">
        <is>
          <t>ja</t>
        </is>
      </c>
      <c r="Y376" s="19" t="n"/>
      <c r="Z376" s="19" t="inlineStr">
        <is>
          <t>verfügbar</t>
        </is>
      </c>
      <c r="AA376" s="19" t="inlineStr">
        <is>
          <t>Stokke</t>
        </is>
      </c>
      <c r="AB376" s="19" t="n"/>
      <c r="AC376" s="19" t="n"/>
      <c r="AD376" s="19" t="n"/>
      <c r="AE376" s="20" t="n"/>
      <c r="AF376" s="21">
        <f>IF(K376="","",K376*AE376)</f>
        <v/>
      </c>
      <c r="AG376" s="19" t="n"/>
      <c r="AH376" s="19" t="n"/>
      <c r="AI376" s="19" t="n"/>
      <c r="AJ376" s="19" t="n"/>
      <c r="AK376" s="19" t="n"/>
      <c r="AL376" s="19" t="n"/>
      <c r="AM376" s="16" t="inlineStr">
        <is>
          <t>7 Stühle – abgebildet ist einer davon. Dieselbe Reihe in anderen Farben steht unter NE05-07, NE05-08 und NU05-01.</t>
        </is>
      </c>
      <c r="AN376" s="22" t="n"/>
    </row>
    <row r="377" ht="30" customHeight="1">
      <c r="A377" s="15" t="inlineStr">
        <is>
          <t>NE05-07</t>
        </is>
      </c>
      <c r="B377" s="15" t="n"/>
      <c r="C377" s="15" t="n"/>
      <c r="D377" s="15" t="inlineStr">
        <is>
          <t>NE05</t>
        </is>
      </c>
      <c r="E377" s="15" t="inlineStr">
        <is>
          <t>Stokke Steps Treppenhochstuhl, weiß mit schwarzem Gestell</t>
        </is>
      </c>
      <c r="F377" s="16" t="inlineStr">
        <is>
          <t>Stokke Steps: mitwachsender Treppenhochstuhl, Seitenwangen schwarz, Sitz- und Fußbrett sowie Rückenlehne mit Bügel in Weiß, in der Höhe verstellbar. Artikelnummer 460001.</t>
        </is>
      </c>
      <c r="G377" s="15" t="inlineStr">
        <is>
          <t>Kita-Ausstattung</t>
        </is>
      </c>
      <c r="H377" s="15" t="inlineStr">
        <is>
          <t>Speisesaal</t>
        </is>
      </c>
      <c r="I377" s="15" t="inlineStr">
        <is>
          <t>B</t>
        </is>
      </c>
      <c r="J377" s="17" t="n">
        <v>4</v>
      </c>
      <c r="K377" s="17" t="n"/>
      <c r="L377" s="18">
        <f>J377-IF(K377="",0,K377)</f>
        <v/>
      </c>
      <c r="M377" s="15" t="inlineStr">
        <is>
          <t>Stück</t>
        </is>
      </c>
      <c r="N377" s="15" t="inlineStr">
        <is>
          <t>gebraucht</t>
        </is>
      </c>
      <c r="O377" s="19" t="n"/>
      <c r="P377" s="19" t="inlineStr">
        <is>
          <t>ja</t>
        </is>
      </c>
      <c r="Q377" s="19" t="n"/>
      <c r="R377" s="20" t="n"/>
      <c r="S377" s="20" t="n">
        <v>130</v>
      </c>
      <c r="T377" s="19" t="inlineStr">
        <is>
          <t>VHB</t>
        </is>
      </c>
      <c r="U377" s="21">
        <f>L377*S377</f>
        <v/>
      </c>
      <c r="V377" s="15" t="inlineStr">
        <is>
          <t>nur Abholung</t>
        </is>
      </c>
      <c r="W377" s="15" t="inlineStr">
        <is>
          <t>F-473</t>
        </is>
      </c>
      <c r="X377" s="19" t="inlineStr">
        <is>
          <t>ja</t>
        </is>
      </c>
      <c r="Y377" s="19" t="n"/>
      <c r="Z377" s="19" t="inlineStr">
        <is>
          <t>verfügbar</t>
        </is>
      </c>
      <c r="AA377" s="19" t="inlineStr">
        <is>
          <t>Stokke</t>
        </is>
      </c>
      <c r="AB377" s="19" t="n"/>
      <c r="AC377" s="19" t="n"/>
      <c r="AD377" s="19" t="n"/>
      <c r="AE377" s="20" t="n"/>
      <c r="AF377" s="21">
        <f>IF(K377="","",K377*AE377)</f>
        <v/>
      </c>
      <c r="AG377" s="19" t="n"/>
      <c r="AH377" s="19" t="n"/>
      <c r="AI377" s="19" t="n"/>
      <c r="AJ377" s="19" t="n"/>
      <c r="AK377" s="19" t="n"/>
      <c r="AL377" s="19" t="n"/>
      <c r="AM377" s="16" t="inlineStr">
        <is>
          <t>4 Stühle – abgebildet ist einer davon. Dieselbe Reihe in anderen Farben steht unter NE05-06, NE05-08 und NU05-01.</t>
        </is>
      </c>
      <c r="AN377" s="22" t="n"/>
    </row>
    <row r="378" ht="30" customHeight="1">
      <c r="A378" s="15" t="inlineStr">
        <is>
          <t>NE05-08</t>
        </is>
      </c>
      <c r="B378" s="15" t="n"/>
      <c r="C378" s="15" t="n"/>
      <c r="D378" s="15" t="inlineStr">
        <is>
          <t>NE05</t>
        </is>
      </c>
      <c r="E378" s="15" t="inlineStr">
        <is>
          <t>Stokke Steps Treppenhochstuhl, grau mit Buchengestell</t>
        </is>
      </c>
      <c r="F378" s="16" t="inlineStr">
        <is>
          <t>Stokke Steps: mitwachsender Treppenhochstuhl, Seitenwangen aus Buche natur, Sitz- und Fußbrett sowie Rückenlehne mit Bügel in Grau, in der Höhe verstellbar. Artikelnummer 460003.</t>
        </is>
      </c>
      <c r="G378" s="15" t="inlineStr">
        <is>
          <t>Kita-Ausstattung</t>
        </is>
      </c>
      <c r="H378" s="15" t="inlineStr">
        <is>
          <t>Speisesaal</t>
        </is>
      </c>
      <c r="I378" s="15" t="inlineStr">
        <is>
          <t>B</t>
        </is>
      </c>
      <c r="J378" s="17" t="n">
        <v>4</v>
      </c>
      <c r="K378" s="17" t="n"/>
      <c r="L378" s="18">
        <f>J378-IF(K378="",0,K378)</f>
        <v/>
      </c>
      <c r="M378" s="15" t="inlineStr">
        <is>
          <t>Stück</t>
        </is>
      </c>
      <c r="N378" s="15" t="inlineStr">
        <is>
          <t>gebraucht</t>
        </is>
      </c>
      <c r="O378" s="19" t="n"/>
      <c r="P378" s="19" t="inlineStr">
        <is>
          <t>ja</t>
        </is>
      </c>
      <c r="Q378" s="19" t="n"/>
      <c r="R378" s="20" t="n"/>
      <c r="S378" s="20" t="n">
        <v>130</v>
      </c>
      <c r="T378" s="19" t="inlineStr">
        <is>
          <t>VHB</t>
        </is>
      </c>
      <c r="U378" s="21">
        <f>L378*S378</f>
        <v/>
      </c>
      <c r="V378" s="15" t="inlineStr">
        <is>
          <t>nur Abholung</t>
        </is>
      </c>
      <c r="W378" s="15" t="inlineStr">
        <is>
          <t>F-474</t>
        </is>
      </c>
      <c r="X378" s="19" t="inlineStr">
        <is>
          <t>ja</t>
        </is>
      </c>
      <c r="Y378" s="19" t="n"/>
      <c r="Z378" s="19" t="inlineStr">
        <is>
          <t>verfügbar</t>
        </is>
      </c>
      <c r="AA378" s="19" t="inlineStr">
        <is>
          <t>Stokke</t>
        </is>
      </c>
      <c r="AB378" s="19" t="n"/>
      <c r="AC378" s="19" t="n"/>
      <c r="AD378" s="19" t="n"/>
      <c r="AE378" s="20" t="n"/>
      <c r="AF378" s="21">
        <f>IF(K378="","",K378*AE378)</f>
        <v/>
      </c>
      <c r="AG378" s="19" t="n"/>
      <c r="AH378" s="19" t="n"/>
      <c r="AI378" s="19" t="n"/>
      <c r="AJ378" s="19" t="n"/>
      <c r="AK378" s="19" t="n"/>
      <c r="AL378" s="19" t="n"/>
      <c r="AM378" s="16" t="inlineStr">
        <is>
          <t>4 Stühle – abgebildet ist einer davon. Dieselbe Reihe in anderen Farben steht unter NE05-06, NE05-07 und NU05-01.</t>
        </is>
      </c>
      <c r="AN378" s="22" t="n"/>
    </row>
    <row r="379" ht="30" customHeight="1">
      <c r="A379" s="15" t="inlineStr">
        <is>
          <t>NE05-09</t>
        </is>
      </c>
      <c r="B379" s="15" t="n"/>
      <c r="C379" s="15" t="n"/>
      <c r="D379" s="15" t="inlineStr">
        <is>
          <t>NE05</t>
        </is>
      </c>
      <c r="E379" s="15" t="inlineStr">
        <is>
          <t>IKEA Ingolf Kinderhochstuhl weiß</t>
        </is>
      </c>
      <c r="F379" s="16" t="inlineStr">
        <is>
          <t>Hoher Kinderstuhl von IKEA aus Massivholz, weiß lackiert, mit Kreuzstrebe in der Lehne und Fußstütze. Etikett an der Unterseite: Ingolf, 20948, IKEA of Sweden. Die Sitzfläche ist stark verkratzt und die Farbe an den Kanten abgeplatzt.</t>
        </is>
      </c>
      <c r="G379" s="15" t="inlineStr">
        <is>
          <t>Kita-Ausstattung</t>
        </is>
      </c>
      <c r="H379" s="15" t="inlineStr">
        <is>
          <t>Speisesaal</t>
        </is>
      </c>
      <c r="I379" s="15" t="inlineStr">
        <is>
          <t>C</t>
        </is>
      </c>
      <c r="J379" s="17" t="n">
        <v>2</v>
      </c>
      <c r="K379" s="17" t="n"/>
      <c r="L379" s="18">
        <f>J379-IF(K379="",0,K379)</f>
        <v/>
      </c>
      <c r="M379" s="15" t="inlineStr">
        <is>
          <t>Stück</t>
        </is>
      </c>
      <c r="N379" s="15" t="inlineStr">
        <is>
          <t>stark gebraucht</t>
        </is>
      </c>
      <c r="O379" s="19" t="n"/>
      <c r="P379" s="19" t="inlineStr">
        <is>
          <t>ja</t>
        </is>
      </c>
      <c r="Q379" s="19" t="n"/>
      <c r="R379" s="20" t="n"/>
      <c r="S379" s="20" t="n">
        <v>35</v>
      </c>
      <c r="T379" s="19" t="inlineStr">
        <is>
          <t>VHB</t>
        </is>
      </c>
      <c r="U379" s="21">
        <f>L379*S379</f>
        <v/>
      </c>
      <c r="V379" s="15" t="inlineStr">
        <is>
          <t>nur Abholung</t>
        </is>
      </c>
      <c r="W379" s="15" t="inlineStr">
        <is>
          <t>F-475</t>
        </is>
      </c>
      <c r="X379" s="19" t="inlineStr">
        <is>
          <t>ja</t>
        </is>
      </c>
      <c r="Y379" s="19" t="n"/>
      <c r="Z379" s="19" t="inlineStr">
        <is>
          <t>verfügbar</t>
        </is>
      </c>
      <c r="AA379" s="19" t="inlineStr">
        <is>
          <t>IKEA</t>
        </is>
      </c>
      <c r="AB379" s="19" t="n"/>
      <c r="AC379" s="19" t="n"/>
      <c r="AD379" s="19" t="n"/>
      <c r="AE379" s="20" t="n"/>
      <c r="AF379" s="21">
        <f>IF(K379="","",K379*AE379)</f>
        <v/>
      </c>
      <c r="AG379" s="19" t="n"/>
      <c r="AH379" s="19" t="n"/>
      <c r="AI379" s="19" t="n"/>
      <c r="AJ379" s="19" t="n"/>
      <c r="AK379" s="19" t="n"/>
      <c r="AL379" s="19" t="n"/>
      <c r="AM379" s="16" t="inlineStr">
        <is>
          <t>2 Stühle – abgebildet ist einer davon. Das Etikett ist auf Foto F-476 zu sehen.</t>
        </is>
      </c>
      <c r="AN379" s="22" t="n"/>
    </row>
    <row r="380" ht="30" customHeight="1">
      <c r="A380" s="15" t="inlineStr">
        <is>
          <t>NE05-13</t>
        </is>
      </c>
      <c r="B380" s="15" t="n"/>
      <c r="C380" s="15" t="n"/>
      <c r="D380" s="15" t="inlineStr">
        <is>
          <t>NE05</t>
        </is>
      </c>
      <c r="E380" s="15" t="inlineStr">
        <is>
          <t>Rollwagen schwarz mit Holzplatte</t>
        </is>
      </c>
      <c r="F380" s="16" t="inlineStr">
        <is>
          <t>Rollwagen mit schwarzem Metallgestell, oberer Platte aus Multiplex und zwei schwarzen Ablageböden, auf vier Lenkrollen.</t>
        </is>
      </c>
      <c r="G380" s="15" t="inlineStr">
        <is>
          <t>Möbel</t>
        </is>
      </c>
      <c r="H380" s="15" t="inlineStr">
        <is>
          <t>Speisesaal</t>
        </is>
      </c>
      <c r="I380" s="15" t="inlineStr">
        <is>
          <t>B</t>
        </is>
      </c>
      <c r="J380" s="17" t="n">
        <v>3</v>
      </c>
      <c r="K380" s="17" t="n"/>
      <c r="L380" s="18">
        <f>J380-IF(K380="",0,K380)</f>
        <v/>
      </c>
      <c r="M380" s="15" t="inlineStr">
        <is>
          <t>Stück</t>
        </is>
      </c>
      <c r="N380" s="15" t="inlineStr">
        <is>
          <t>gebraucht</t>
        </is>
      </c>
      <c r="O380" s="19" t="n"/>
      <c r="P380" s="19" t="inlineStr">
        <is>
          <t>ja</t>
        </is>
      </c>
      <c r="Q380" s="19" t="n"/>
      <c r="R380" s="20" t="n"/>
      <c r="S380" s="20" t="n">
        <v>70</v>
      </c>
      <c r="T380" s="19" t="inlineStr">
        <is>
          <t>VHB</t>
        </is>
      </c>
      <c r="U380" s="21">
        <f>L380*S380</f>
        <v/>
      </c>
      <c r="V380" s="15" t="inlineStr">
        <is>
          <t>nur Abholung</t>
        </is>
      </c>
      <c r="W380" s="15" t="inlineStr">
        <is>
          <t>F-481</t>
        </is>
      </c>
      <c r="X380" s="19" t="inlineStr">
        <is>
          <t>ja</t>
        </is>
      </c>
      <c r="Y380" s="19" t="n"/>
      <c r="Z380" s="19" t="inlineStr">
        <is>
          <t>verfügbar</t>
        </is>
      </c>
      <c r="AA380" s="19" t="n"/>
      <c r="AB380" s="19" t="n"/>
      <c r="AC380" s="19" t="n"/>
      <c r="AD380" s="19" t="n"/>
      <c r="AE380" s="20" t="n"/>
      <c r="AF380" s="21">
        <f>IF(K380="","",K380*AE380)</f>
        <v/>
      </c>
      <c r="AG380" s="19" t="n"/>
      <c r="AH380" s="19" t="n"/>
      <c r="AI380" s="19" t="n"/>
      <c r="AJ380" s="19" t="n"/>
      <c r="AK380" s="19" t="n"/>
      <c r="AL380" s="19" t="n"/>
      <c r="AM380" s="16" t="inlineStr">
        <is>
          <t>3 Wagen – abgebildet ist einer davon. Der Inhalt gehört nicht dazu.</t>
        </is>
      </c>
      <c r="AN380" s="22" t="n"/>
    </row>
    <row r="381" ht="30" customHeight="1">
      <c r="A381" s="15" t="inlineStr">
        <is>
          <t>NE05-14</t>
        </is>
      </c>
      <c r="B381" s="15" t="n"/>
      <c r="C381" s="15" t="n"/>
      <c r="D381" s="15" t="inlineStr">
        <is>
          <t>NE05</t>
        </is>
      </c>
      <c r="E381" s="15" t="inlineStr">
        <is>
          <t>Glas-Magnettafel weiß, großformatig</t>
        </is>
      </c>
      <c r="F381" s="16" t="inlineStr">
        <is>
          <t>Große Schreib- und Magnettafel aus weiß lackiertem Glas, beschreibbar mit Whiteboard-Markern, einschließlich Magneten.</t>
        </is>
      </c>
      <c r="G381" s="15" t="inlineStr">
        <is>
          <t>Büro</t>
        </is>
      </c>
      <c r="H381" s="15" t="inlineStr">
        <is>
          <t>Speisesaal</t>
        </is>
      </c>
      <c r="I381" s="15" t="inlineStr">
        <is>
          <t>B</t>
        </is>
      </c>
      <c r="J381" s="17" t="n">
        <v>1</v>
      </c>
      <c r="K381" s="17" t="n"/>
      <c r="L381" s="18">
        <f>J381-IF(K381="",0,K381)</f>
        <v/>
      </c>
      <c r="M381" s="15" t="inlineStr">
        <is>
          <t>Stück</t>
        </is>
      </c>
      <c r="N381" s="15" t="inlineStr">
        <is>
          <t>gut</t>
        </is>
      </c>
      <c r="O381" s="19" t="n"/>
      <c r="P381" s="19" t="inlineStr">
        <is>
          <t>ja</t>
        </is>
      </c>
      <c r="Q381" s="19" t="n"/>
      <c r="R381" s="20" t="n"/>
      <c r="S381" s="20" t="n">
        <v>120</v>
      </c>
      <c r="T381" s="19" t="inlineStr">
        <is>
          <t>VHB</t>
        </is>
      </c>
      <c r="U381" s="21">
        <f>L381*S381</f>
        <v/>
      </c>
      <c r="V381" s="15" t="inlineStr">
        <is>
          <t>nur Abholung</t>
        </is>
      </c>
      <c r="W381" s="15" t="inlineStr">
        <is>
          <t>F-482</t>
        </is>
      </c>
      <c r="X381" s="19" t="inlineStr">
        <is>
          <t>ja</t>
        </is>
      </c>
      <c r="Y381" s="19" t="n"/>
      <c r="Z381" s="19" t="inlineStr">
        <is>
          <t>verfügbar</t>
        </is>
      </c>
      <c r="AA381" s="19" t="n"/>
      <c r="AB381" s="19" t="n"/>
      <c r="AC381" s="19" t="n"/>
      <c r="AD381" s="19" t="n"/>
      <c r="AE381" s="20" t="n"/>
      <c r="AF381" s="21">
        <f>IF(K381="","",K381*AE381)</f>
        <v/>
      </c>
      <c r="AG381" s="19" t="n"/>
      <c r="AH381" s="19" t="n"/>
      <c r="AI381" s="19" t="n"/>
      <c r="AJ381" s="19" t="n"/>
      <c r="AK381" s="19" t="n"/>
      <c r="AL381" s="19" t="n"/>
      <c r="AM381" s="16" t="inlineStr">
        <is>
          <t>1 Tafel einschließlich der Magnete.</t>
        </is>
      </c>
      <c r="AN381" s="22" t="n"/>
    </row>
    <row r="382" ht="30" customHeight="1">
      <c r="A382" s="15" t="inlineStr">
        <is>
          <t>NE05-15</t>
        </is>
      </c>
      <c r="B382" s="15" t="n"/>
      <c r="C382" s="15" t="n"/>
      <c r="D382" s="15" t="inlineStr">
        <is>
          <t>NE05</t>
        </is>
      </c>
      <c r="E382" s="15" t="inlineStr">
        <is>
          <t>Wandleuchte Rehkitz schwarz</t>
        </is>
      </c>
      <c r="F382" s="16" t="inlineStr">
        <is>
          <t>Wandleuchte in Form eines Rehkitzes aus schwarz lackiertem Holz, mit Kabel und Schnurschalter.</t>
        </is>
      </c>
      <c r="G382" s="15" t="inlineStr">
        <is>
          <t>Leuchten</t>
        </is>
      </c>
      <c r="H382" s="15" t="inlineStr">
        <is>
          <t>Speisesaal</t>
        </is>
      </c>
      <c r="I382" s="15" t="inlineStr">
        <is>
          <t>C</t>
        </is>
      </c>
      <c r="J382" s="17" t="n">
        <v>2</v>
      </c>
      <c r="K382" s="17" t="n"/>
      <c r="L382" s="18">
        <f>J382-IF(K382="",0,K382)</f>
        <v/>
      </c>
      <c r="M382" s="15" t="inlineStr">
        <is>
          <t>Stück</t>
        </is>
      </c>
      <c r="N382" s="15" t="inlineStr">
        <is>
          <t>gut</t>
        </is>
      </c>
      <c r="O382" s="19" t="n"/>
      <c r="P382" s="19" t="inlineStr">
        <is>
          <t>ja</t>
        </is>
      </c>
      <c r="Q382" s="19" t="n"/>
      <c r="R382" s="20" t="n"/>
      <c r="S382" s="20" t="n">
        <v>35</v>
      </c>
      <c r="T382" s="19" t="inlineStr">
        <is>
          <t>VHB</t>
        </is>
      </c>
      <c r="U382" s="21">
        <f>L382*S382</f>
        <v/>
      </c>
      <c r="V382" s="15" t="inlineStr">
        <is>
          <t>Versand möglich</t>
        </is>
      </c>
      <c r="W382" s="15" t="inlineStr">
        <is>
          <t>F-483</t>
        </is>
      </c>
      <c r="X382" s="19" t="inlineStr">
        <is>
          <t>ja</t>
        </is>
      </c>
      <c r="Y382" s="19" t="n"/>
      <c r="Z382" s="19" t="inlineStr">
        <is>
          <t>verfügbar</t>
        </is>
      </c>
      <c r="AA382" s="19" t="n"/>
      <c r="AB382" s="19" t="n"/>
      <c r="AC382" s="19" t="n"/>
      <c r="AD382" s="19" t="n"/>
      <c r="AE382" s="20" t="n"/>
      <c r="AF382" s="21">
        <f>IF(K382="","",K382*AE382)</f>
        <v/>
      </c>
      <c r="AG382" s="19" t="n"/>
      <c r="AH382" s="19" t="n"/>
      <c r="AI382" s="19" t="n"/>
      <c r="AJ382" s="19" t="n"/>
      <c r="AK382" s="19" t="n"/>
      <c r="AL382" s="19" t="n"/>
      <c r="AM382" s="16" t="inlineStr">
        <is>
          <t>2 Leuchten – abgebildet ist eine davon. Ohne Leuchtmittel.</t>
        </is>
      </c>
      <c r="AN382" s="22" t="n"/>
    </row>
    <row r="383" ht="30" customHeight="1">
      <c r="A383" s="15" t="inlineStr">
        <is>
          <t>NE05-16</t>
        </is>
      </c>
      <c r="B383" s="15" t="n"/>
      <c r="C383" s="15" t="n"/>
      <c r="D383" s="15" t="inlineStr">
        <is>
          <t>NE05</t>
        </is>
      </c>
      <c r="E383" s="15" t="inlineStr">
        <is>
          <t>Deko-Stern Holz</t>
        </is>
      </c>
      <c r="F383" s="16" t="inlineStr">
        <is>
          <t>Fünfzackiger Stern aus massivem Holz, natur, zum Stellen oder Aufhängen.</t>
        </is>
      </c>
      <c r="G383" s="15" t="inlineStr">
        <is>
          <t>Deko</t>
        </is>
      </c>
      <c r="H383" s="15" t="inlineStr">
        <is>
          <t>Speisesaal</t>
        </is>
      </c>
      <c r="I383" s="15" t="inlineStr">
        <is>
          <t>C</t>
        </is>
      </c>
      <c r="J383" s="17" t="n">
        <v>6</v>
      </c>
      <c r="K383" s="17" t="n"/>
      <c r="L383" s="18">
        <f>J383-IF(K383="",0,K383)</f>
        <v/>
      </c>
      <c r="M383" s="15" t="inlineStr">
        <is>
          <t>Stück</t>
        </is>
      </c>
      <c r="N383" s="15" t="inlineStr">
        <is>
          <t>gut</t>
        </is>
      </c>
      <c r="O383" s="19" t="n"/>
      <c r="P383" s="19" t="inlineStr">
        <is>
          <t>ja</t>
        </is>
      </c>
      <c r="Q383" s="19" t="n"/>
      <c r="R383" s="20" t="n"/>
      <c r="S383" s="20" t="n">
        <v>15</v>
      </c>
      <c r="T383" s="19" t="inlineStr">
        <is>
          <t>VHB</t>
        </is>
      </c>
      <c r="U383" s="21">
        <f>L383*S383</f>
        <v/>
      </c>
      <c r="V383" s="15" t="inlineStr">
        <is>
          <t>Versand möglich</t>
        </is>
      </c>
      <c r="W383" s="15" t="inlineStr">
        <is>
          <t>F-484</t>
        </is>
      </c>
      <c r="X383" s="19" t="inlineStr">
        <is>
          <t>ja</t>
        </is>
      </c>
      <c r="Y383" s="19" t="n"/>
      <c r="Z383" s="19" t="inlineStr">
        <is>
          <t>verfügbar</t>
        </is>
      </c>
      <c r="AA383" s="19" t="n"/>
      <c r="AB383" s="19" t="n"/>
      <c r="AC383" s="19" t="n"/>
      <c r="AD383" s="19" t="n"/>
      <c r="AE383" s="20" t="n"/>
      <c r="AF383" s="21">
        <f>IF(K383="","",K383*AE383)</f>
        <v/>
      </c>
      <c r="AG383" s="19" t="n"/>
      <c r="AH383" s="19" t="n"/>
      <c r="AI383" s="19" t="n"/>
      <c r="AJ383" s="19" t="n"/>
      <c r="AK383" s="19" t="n"/>
      <c r="AL383" s="19" t="n"/>
      <c r="AM383" s="16" t="inlineStr">
        <is>
          <t>6 Sterne – abgebildet ist einer davon.</t>
        </is>
      </c>
      <c r="AN383" s="22" t="n"/>
    </row>
    <row r="384" ht="30" customHeight="1">
      <c r="A384" s="15" t="inlineStr">
        <is>
          <t>NE05-17</t>
        </is>
      </c>
      <c r="B384" s="15" t="n"/>
      <c r="C384" s="15" t="n"/>
      <c r="D384" s="15" t="inlineStr">
        <is>
          <t>NE05</t>
        </is>
      </c>
      <c r="E384" s="15" t="inlineStr">
        <is>
          <t>Wandhaken in Stuhlform, schwarz</t>
        </is>
      </c>
      <c r="F384" s="16" t="inlineStr">
        <is>
          <t>Kleine Wandhaken in Form von Stühlen aus schwarz lackiertem Holz, in zwei verschiedenen Ausführungen.</t>
        </is>
      </c>
      <c r="G384" s="15" t="inlineStr">
        <is>
          <t>Deko</t>
        </is>
      </c>
      <c r="H384" s="15" t="inlineStr">
        <is>
          <t>Speisesaal</t>
        </is>
      </c>
      <c r="I384" s="15" t="inlineStr">
        <is>
          <t>C</t>
        </is>
      </c>
      <c r="J384" s="17" t="n">
        <v>4</v>
      </c>
      <c r="K384" s="17" t="n"/>
      <c r="L384" s="18">
        <f>J384-IF(K384="",0,K384)</f>
        <v/>
      </c>
      <c r="M384" s="15" t="inlineStr">
        <is>
          <t>Stück</t>
        </is>
      </c>
      <c r="N384" s="15" t="inlineStr">
        <is>
          <t>gut</t>
        </is>
      </c>
      <c r="O384" s="19" t="n"/>
      <c r="P384" s="19" t="inlineStr">
        <is>
          <t>ja</t>
        </is>
      </c>
      <c r="Q384" s="19" t="n"/>
      <c r="R384" s="20" t="n"/>
      <c r="S384" s="20" t="n">
        <v>20</v>
      </c>
      <c r="T384" s="19" t="inlineStr">
        <is>
          <t>VHB</t>
        </is>
      </c>
      <c r="U384" s="21">
        <f>L384*S384</f>
        <v/>
      </c>
      <c r="V384" s="15" t="inlineStr">
        <is>
          <t>Versand möglich</t>
        </is>
      </c>
      <c r="W384" s="15" t="inlineStr">
        <is>
          <t>F-485</t>
        </is>
      </c>
      <c r="X384" s="19" t="inlineStr">
        <is>
          <t>ja</t>
        </is>
      </c>
      <c r="Y384" s="19" t="n"/>
      <c r="Z384" s="19" t="inlineStr">
        <is>
          <t>verfügbar</t>
        </is>
      </c>
      <c r="AA384" s="19" t="n"/>
      <c r="AB384" s="19" t="n"/>
      <c r="AC384" s="19" t="n"/>
      <c r="AD384" s="19" t="n"/>
      <c r="AE384" s="20" t="n"/>
      <c r="AF384" s="21">
        <f>IF(K384="","",K384*AE384)</f>
        <v/>
      </c>
      <c r="AG384" s="19" t="n"/>
      <c r="AH384" s="19" t="n"/>
      <c r="AI384" s="19" t="n"/>
      <c r="AJ384" s="19" t="n"/>
      <c r="AK384" s="19" t="n"/>
      <c r="AL384" s="19" t="n"/>
      <c r="AM384" s="16" t="inlineStr">
        <is>
          <t>4 Haken, alle abgebildet.</t>
        </is>
      </c>
      <c r="AN384" s="22" t="n"/>
    </row>
    <row r="385" ht="30" customHeight="1">
      <c r="A385" s="15" t="inlineStr">
        <is>
          <t>NE05-12</t>
        </is>
      </c>
      <c r="B385" s="15" t="n"/>
      <c r="C385" s="15" t="n"/>
      <c r="D385" s="15" t="inlineStr">
        <is>
          <t>NE05</t>
        </is>
      </c>
      <c r="E385" s="15" t="inlineStr">
        <is>
          <t>Vitra Panton Chair Junior weiß, Kindergröße</t>
        </is>
      </c>
      <c r="F385" s="16" t="inlineStr">
        <is>
          <t>Panton Chair Junior von Vitra, Entwurf Verner Panton: Freischwinger aus einem Stück Kunststoff, weiß matt, S-förmig geschwungen, in Kindergröße. Die Aufkleber an der Unterseite sind nicht mehr lesbar; der Stuhl in Erwachsenengröße aus demselben Raum (NE05-04) trägt den Vitra-Aufkleber.</t>
        </is>
      </c>
      <c r="G385" s="15" t="inlineStr">
        <is>
          <t>Kita-Ausstattung</t>
        </is>
      </c>
      <c r="H385" s="15" t="inlineStr">
        <is>
          <t>Speisesaal</t>
        </is>
      </c>
      <c r="I385" s="15" t="inlineStr">
        <is>
          <t>A</t>
        </is>
      </c>
      <c r="J385" s="17" t="n">
        <v>5</v>
      </c>
      <c r="K385" s="17" t="n"/>
      <c r="L385" s="18">
        <f>J385-IF(K385="",0,K385)</f>
        <v/>
      </c>
      <c r="M385" s="15" t="inlineStr">
        <is>
          <t>Stück</t>
        </is>
      </c>
      <c r="N385" s="15" t="inlineStr">
        <is>
          <t>gebraucht</t>
        </is>
      </c>
      <c r="O385" s="19" t="n"/>
      <c r="P385" s="19" t="inlineStr">
        <is>
          <t>ja</t>
        </is>
      </c>
      <c r="Q385" s="19" t="n"/>
      <c r="R385" s="20" t="n"/>
      <c r="S385" s="20" t="n">
        <v>150</v>
      </c>
      <c r="T385" s="19" t="inlineStr">
        <is>
          <t>VHB</t>
        </is>
      </c>
      <c r="U385" s="21">
        <f>L385*S385</f>
        <v/>
      </c>
      <c r="V385" s="15" t="inlineStr">
        <is>
          <t>nur Abholung</t>
        </is>
      </c>
      <c r="W385" s="15" t="inlineStr">
        <is>
          <t>F-479</t>
        </is>
      </c>
      <c r="X385" s="19" t="inlineStr">
        <is>
          <t>ja</t>
        </is>
      </c>
      <c r="Y385" s="19" t="n"/>
      <c r="Z385" s="19" t="inlineStr">
        <is>
          <t>verfügbar</t>
        </is>
      </c>
      <c r="AA385" s="19" t="inlineStr">
        <is>
          <t>Vitra</t>
        </is>
      </c>
      <c r="AB385" s="19" t="n"/>
      <c r="AC385" s="19" t="n"/>
      <c r="AD385" s="19" t="n"/>
      <c r="AE385" s="20" t="n"/>
      <c r="AF385" s="21">
        <f>IF(K385="","",K385*AE385)</f>
        <v/>
      </c>
      <c r="AG385" s="19" t="n"/>
      <c r="AH385" s="19" t="n"/>
      <c r="AI385" s="19" t="n"/>
      <c r="AJ385" s="19" t="n"/>
      <c r="AK385" s="19" t="n"/>
      <c r="AL385" s="19" t="n"/>
      <c r="AM385" s="16" t="inlineStr">
        <is>
          <t>5 Stühle – abgebildet ist einer davon, die Seitenansicht auf Foto F-480.</t>
        </is>
      </c>
      <c r="AN385" s="22" t="n"/>
    </row>
    <row r="386" ht="30" customHeight="1">
      <c r="A386" s="15" t="inlineStr">
        <is>
          <t>NU02-25</t>
        </is>
      </c>
      <c r="B386" s="15" t="n"/>
      <c r="C386" s="15" t="n"/>
      <c r="D386" s="15" t="inlineStr">
        <is>
          <t>NU02</t>
        </is>
      </c>
      <c r="E386" s="15" t="inlineStr">
        <is>
          <t>Vitra Eames Elephant, kleine Ausführung, schwarz</t>
        </is>
      </c>
      <c r="F386" s="16" t="inlineStr">
        <is>
          <t>Eames Elephant Small von Vitra, Entwurf Charles und Ray Eames 1945: Sitz- und Spieltier in Elefantenform aus Kunststoff, kleine Ausführung, schwarz. An der Flanke das runde Vitra-Metallplättchen.</t>
        </is>
      </c>
      <c r="G386" s="15" t="inlineStr">
        <is>
          <t>Deko</t>
        </is>
      </c>
      <c r="H386" s="15" t="inlineStr">
        <is>
          <t>Gruppenraum 5</t>
        </is>
      </c>
      <c r="I386" s="15" t="inlineStr">
        <is>
          <t>A</t>
        </is>
      </c>
      <c r="J386" s="17" t="n">
        <v>1</v>
      </c>
      <c r="K386" s="17" t="n"/>
      <c r="L386" s="18">
        <f>J386-IF(K386="",0,K386)</f>
        <v/>
      </c>
      <c r="M386" s="15" t="inlineStr">
        <is>
          <t>Stück</t>
        </is>
      </c>
      <c r="N386" s="15" t="inlineStr">
        <is>
          <t>gebraucht</t>
        </is>
      </c>
      <c r="O386" s="19" t="n"/>
      <c r="P386" s="19" t="inlineStr">
        <is>
          <t>ja</t>
        </is>
      </c>
      <c r="Q386" s="19" t="n"/>
      <c r="R386" s="20" t="n"/>
      <c r="S386" s="20" t="n">
        <v>110</v>
      </c>
      <c r="T386" s="19" t="inlineStr">
        <is>
          <t>VHB</t>
        </is>
      </c>
      <c r="U386" s="21">
        <f>L386*S386</f>
        <v/>
      </c>
      <c r="V386" s="15" t="inlineStr">
        <is>
          <t>Versand möglich</t>
        </is>
      </c>
      <c r="W386" s="15" t="inlineStr">
        <is>
          <t>F-487</t>
        </is>
      </c>
      <c r="X386" s="19" t="inlineStr">
        <is>
          <t>ja</t>
        </is>
      </c>
      <c r="Y386" s="19" t="n"/>
      <c r="Z386" s="19" t="inlineStr">
        <is>
          <t>verfügbar</t>
        </is>
      </c>
      <c r="AA386" s="19" t="inlineStr">
        <is>
          <t>Vitra</t>
        </is>
      </c>
      <c r="AB386" s="19" t="n"/>
      <c r="AC386" s="19" t="n"/>
      <c r="AD386" s="19" t="n"/>
      <c r="AE386" s="20" t="n"/>
      <c r="AF386" s="21">
        <f>IF(K386="","",K386*AE386)</f>
        <v/>
      </c>
      <c r="AG386" s="19" t="n"/>
      <c r="AH386" s="19" t="n"/>
      <c r="AI386" s="19" t="n"/>
      <c r="AJ386" s="19" t="n"/>
      <c r="AK386" s="19" t="n"/>
      <c r="AL386" s="19" t="n"/>
      <c r="AM386" s="16" t="inlineStr">
        <is>
          <t>1 Elefant. Auf dem Foto steht er neben einem Exemplar der großen Ausführung (NU02-18), sodass der Größenunterschied zu sehen ist.</t>
        </is>
      </c>
      <c r="AN386" s="22" t="n"/>
    </row>
    <row r="387" ht="30" customHeight="1">
      <c r="A387" s="15" t="inlineStr">
        <is>
          <t>BE01-04</t>
        </is>
      </c>
      <c r="B387" s="15" t="n"/>
      <c r="C387" s="15" t="n"/>
      <c r="D387" s="15" t="inlineStr">
        <is>
          <t>BE01</t>
        </is>
      </c>
      <c r="E387" s="15" t="inlineStr">
        <is>
          <t>Beistelltisch rund, Drahtgestell schwarz</t>
        </is>
      </c>
      <c r="F387" s="16" t="inlineStr">
        <is>
          <t>Runder Beistelltisch mit taillentem Gestell aus schwarzen Rundstäben und aufgelegter Holzplatte in Nussbaumton.</t>
        </is>
      </c>
      <c r="G387" s="15" t="inlineStr">
        <is>
          <t>Möbel</t>
        </is>
      </c>
      <c r="H387" s="15" t="inlineStr">
        <is>
          <t>Flur 1</t>
        </is>
      </c>
      <c r="I387" s="15" t="inlineStr">
        <is>
          <t>C</t>
        </is>
      </c>
      <c r="J387" s="17" t="n">
        <v>1</v>
      </c>
      <c r="K387" s="17" t="n"/>
      <c r="L387" s="18">
        <f>J387-IF(K387="",0,K387)</f>
        <v/>
      </c>
      <c r="M387" s="15" t="inlineStr">
        <is>
          <t>Stück</t>
        </is>
      </c>
      <c r="N387" s="15" t="inlineStr">
        <is>
          <t>gut</t>
        </is>
      </c>
      <c r="O387" s="19" t="n"/>
      <c r="P387" s="19" t="inlineStr">
        <is>
          <t>ja</t>
        </is>
      </c>
      <c r="Q387" s="19" t="n"/>
      <c r="R387" s="20" t="n"/>
      <c r="S387" s="20" t="n">
        <v>45</v>
      </c>
      <c r="T387" s="19" t="inlineStr">
        <is>
          <t>VHB</t>
        </is>
      </c>
      <c r="U387" s="21">
        <f>L387*S387</f>
        <v/>
      </c>
      <c r="V387" s="15" t="inlineStr">
        <is>
          <t>nur Abholung</t>
        </is>
      </c>
      <c r="W387" s="15" t="inlineStr">
        <is>
          <t>F-489</t>
        </is>
      </c>
      <c r="X387" s="19" t="inlineStr">
        <is>
          <t>ja</t>
        </is>
      </c>
      <c r="Y387" s="19" t="n"/>
      <c r="Z387" s="19" t="inlineStr">
        <is>
          <t>verfügbar</t>
        </is>
      </c>
      <c r="AA387" s="19" t="n"/>
      <c r="AB387" s="19" t="n"/>
      <c r="AC387" s="19" t="n"/>
      <c r="AD387" s="19" t="n"/>
      <c r="AE387" s="20" t="n"/>
      <c r="AF387" s="21">
        <f>IF(K387="","",K387*AE387)</f>
        <v/>
      </c>
      <c r="AG387" s="19" t="n"/>
      <c r="AH387" s="19" t="n"/>
      <c r="AI387" s="19" t="n"/>
      <c r="AJ387" s="19" t="n"/>
      <c r="AK387" s="19" t="n"/>
      <c r="AL387" s="19" t="n"/>
      <c r="AM387" s="16" t="inlineStr">
        <is>
          <t>1 Tisch.</t>
        </is>
      </c>
      <c r="AN387" s="22" t="n"/>
    </row>
    <row r="388" ht="30" customHeight="1">
      <c r="A388" s="15" t="inlineStr">
        <is>
          <t>BE01-05</t>
        </is>
      </c>
      <c r="B388" s="15" t="n"/>
      <c r="C388" s="15" t="n"/>
      <c r="D388" s="15" t="inlineStr">
        <is>
          <t>BE01</t>
        </is>
      </c>
      <c r="E388" s="15" t="inlineStr">
        <is>
          <t>Wandhängeregal weiß, drei Fächer</t>
        </is>
      </c>
      <c r="F388" s="16" t="inlineStr">
        <is>
          <t>Weißes Wandregal mit drei offenen Fächern und seitlichen Aufhängungen, zum Einhängen an eine Schiene.</t>
        </is>
      </c>
      <c r="G388" s="15" t="inlineStr">
        <is>
          <t>Möbel</t>
        </is>
      </c>
      <c r="H388" s="15" t="inlineStr">
        <is>
          <t>Flur 1</t>
        </is>
      </c>
      <c r="I388" s="15" t="inlineStr">
        <is>
          <t>C</t>
        </is>
      </c>
      <c r="J388" s="17" t="n">
        <v>2</v>
      </c>
      <c r="K388" s="17" t="n"/>
      <c r="L388" s="18">
        <f>J388-IF(K388="",0,K388)</f>
        <v/>
      </c>
      <c r="M388" s="15" t="inlineStr">
        <is>
          <t>Stück</t>
        </is>
      </c>
      <c r="N388" s="15" t="inlineStr">
        <is>
          <t>gebraucht</t>
        </is>
      </c>
      <c r="O388" s="19" t="n"/>
      <c r="P388" s="19" t="inlineStr">
        <is>
          <t>ja</t>
        </is>
      </c>
      <c r="Q388" s="19" t="n"/>
      <c r="R388" s="20" t="n"/>
      <c r="S388" s="20" t="n">
        <v>35</v>
      </c>
      <c r="T388" s="19" t="inlineStr">
        <is>
          <t>VHB</t>
        </is>
      </c>
      <c r="U388" s="21">
        <f>L388*S388</f>
        <v/>
      </c>
      <c r="V388" s="15" t="inlineStr">
        <is>
          <t>nur Abholung</t>
        </is>
      </c>
      <c r="W388" s="15" t="inlineStr">
        <is>
          <t>F-490</t>
        </is>
      </c>
      <c r="X388" s="19" t="inlineStr">
        <is>
          <t>ja</t>
        </is>
      </c>
      <c r="Y388" s="19" t="n"/>
      <c r="Z388" s="19" t="inlineStr">
        <is>
          <t>verfügbar</t>
        </is>
      </c>
      <c r="AA388" s="19" t="n"/>
      <c r="AB388" s="19" t="n"/>
      <c r="AC388" s="19" t="n"/>
      <c r="AD388" s="19" t="n"/>
      <c r="AE388" s="20" t="n"/>
      <c r="AF388" s="21">
        <f>IF(K388="","",K388*AE388)</f>
        <v/>
      </c>
      <c r="AG388" s="19" t="n"/>
      <c r="AH388" s="19" t="n"/>
      <c r="AI388" s="19" t="n"/>
      <c r="AJ388" s="19" t="n"/>
      <c r="AK388" s="19" t="n"/>
      <c r="AL388" s="19" t="n"/>
      <c r="AM388" s="16" t="inlineStr">
        <is>
          <t>2 Regale – abgebildet ist eines davon. Die Dekoration gehört nicht dazu.</t>
        </is>
      </c>
      <c r="AN388" s="22" t="n"/>
    </row>
    <row r="389" ht="30" customHeight="1">
      <c r="A389" s="15" t="inlineStr">
        <is>
          <t>BE01-06</t>
        </is>
      </c>
      <c r="B389" s="15" t="n"/>
      <c r="C389" s="15" t="n"/>
      <c r="D389" s="15" t="inlineStr">
        <is>
          <t>BE01</t>
        </is>
      </c>
      <c r="E389" s="15" t="inlineStr">
        <is>
          <t>Wandregal in Hausform, Holz</t>
        </is>
      </c>
      <c r="F389" s="16" t="inlineStr">
        <is>
          <t>Wandelement in Hausform aus hellem Holz mit offener Front, als Bilder- oder Dekoablage.</t>
        </is>
      </c>
      <c r="G389" s="15" t="inlineStr">
        <is>
          <t>Deko</t>
        </is>
      </c>
      <c r="H389" s="15" t="inlineStr">
        <is>
          <t>Flur 1</t>
        </is>
      </c>
      <c r="I389" s="15" t="inlineStr">
        <is>
          <t>C</t>
        </is>
      </c>
      <c r="J389" s="17" t="n">
        <v>2</v>
      </c>
      <c r="K389" s="17" t="n"/>
      <c r="L389" s="18">
        <f>J389-IF(K389="",0,K389)</f>
        <v/>
      </c>
      <c r="M389" s="15" t="inlineStr">
        <is>
          <t>Stück</t>
        </is>
      </c>
      <c r="N389" s="15" t="inlineStr">
        <is>
          <t>gut</t>
        </is>
      </c>
      <c r="O389" s="19" t="n"/>
      <c r="P389" s="19" t="inlineStr">
        <is>
          <t>ja</t>
        </is>
      </c>
      <c r="Q389" s="19" t="n"/>
      <c r="R389" s="20" t="n"/>
      <c r="S389" s="20" t="n">
        <v>20</v>
      </c>
      <c r="T389" s="19" t="inlineStr">
        <is>
          <t>VHB</t>
        </is>
      </c>
      <c r="U389" s="21">
        <f>L389*S389</f>
        <v/>
      </c>
      <c r="V389" s="15" t="inlineStr">
        <is>
          <t>Versand möglich</t>
        </is>
      </c>
      <c r="W389" s="15" t="inlineStr">
        <is>
          <t>F-491</t>
        </is>
      </c>
      <c r="X389" s="19" t="inlineStr">
        <is>
          <t>ja</t>
        </is>
      </c>
      <c r="Y389" s="19" t="n"/>
      <c r="Z389" s="19" t="inlineStr">
        <is>
          <t>verfügbar</t>
        </is>
      </c>
      <c r="AA389" s="19" t="n"/>
      <c r="AB389" s="19" t="n"/>
      <c r="AC389" s="19" t="n"/>
      <c r="AD389" s="19" t="n"/>
      <c r="AE389" s="20" t="n"/>
      <c r="AF389" s="21">
        <f>IF(K389="","",K389*AE389)</f>
        <v/>
      </c>
      <c r="AG389" s="19" t="n"/>
      <c r="AH389" s="19" t="n"/>
      <c r="AI389" s="19" t="n"/>
      <c r="AJ389" s="19" t="n"/>
      <c r="AK389" s="19" t="n"/>
      <c r="AL389" s="19" t="n"/>
      <c r="AM389" s="16" t="inlineStr">
        <is>
          <t>2 Häuser in zwei Größen, beide abgebildet.</t>
        </is>
      </c>
      <c r="AN389" s="22" t="n"/>
    </row>
    <row r="390" ht="30" customHeight="1">
      <c r="A390" s="15" t="inlineStr">
        <is>
          <t>BE01-07</t>
        </is>
      </c>
      <c r="B390" s="15" t="n"/>
      <c r="C390" s="15" t="n"/>
      <c r="D390" s="15" t="inlineStr">
        <is>
          <t>BE01</t>
        </is>
      </c>
      <c r="E390" s="15" t="inlineStr">
        <is>
          <t>Wanddeko Hirschkopf mit Holzgeweih</t>
        </is>
      </c>
      <c r="F390" s="16" t="inlineStr">
        <is>
          <t>Hirschkopf als Wanddekoration: facettierter Kopf in Braun-Grau mit aufgestecktem Geweih aus hellem Holz.</t>
        </is>
      </c>
      <c r="G390" s="15" t="inlineStr">
        <is>
          <t>Deko</t>
        </is>
      </c>
      <c r="H390" s="15" t="inlineStr">
        <is>
          <t>Flur 1</t>
        </is>
      </c>
      <c r="I390" s="15" t="inlineStr">
        <is>
          <t>C</t>
        </is>
      </c>
      <c r="J390" s="17" t="n">
        <v>1</v>
      </c>
      <c r="K390" s="17" t="n"/>
      <c r="L390" s="18">
        <f>J390-IF(K390="",0,K390)</f>
        <v/>
      </c>
      <c r="M390" s="15" t="inlineStr">
        <is>
          <t>Stück</t>
        </is>
      </c>
      <c r="N390" s="15" t="inlineStr">
        <is>
          <t>gut</t>
        </is>
      </c>
      <c r="O390" s="19" t="n"/>
      <c r="P390" s="19" t="inlineStr">
        <is>
          <t>ja</t>
        </is>
      </c>
      <c r="Q390" s="19" t="n"/>
      <c r="R390" s="20" t="n"/>
      <c r="S390" s="20" t="n">
        <v>35</v>
      </c>
      <c r="T390" s="19" t="inlineStr">
        <is>
          <t>VHB</t>
        </is>
      </c>
      <c r="U390" s="21">
        <f>L390*S390</f>
        <v/>
      </c>
      <c r="V390" s="15" t="inlineStr">
        <is>
          <t>Versand möglich</t>
        </is>
      </c>
      <c r="W390" s="15" t="inlineStr">
        <is>
          <t>F-492</t>
        </is>
      </c>
      <c r="X390" s="19" t="inlineStr">
        <is>
          <t>ja</t>
        </is>
      </c>
      <c r="Y390" s="19" t="n"/>
      <c r="Z390" s="19" t="inlineStr">
        <is>
          <t>verfügbar</t>
        </is>
      </c>
      <c r="AA390" s="19" t="n"/>
      <c r="AB390" s="19" t="n"/>
      <c r="AC390" s="19" t="n"/>
      <c r="AD390" s="19" t="n"/>
      <c r="AE390" s="20" t="n"/>
      <c r="AF390" s="21">
        <f>IF(K390="","",K390*AE390)</f>
        <v/>
      </c>
      <c r="AG390" s="19" t="n"/>
      <c r="AH390" s="19" t="n"/>
      <c r="AI390" s="19" t="n"/>
      <c r="AJ390" s="19" t="n"/>
      <c r="AK390" s="19" t="n"/>
      <c r="AL390" s="19" t="n"/>
      <c r="AM390" s="16" t="inlineStr">
        <is>
          <t>1 Stück. Flache Hirschköpfe aus Sperrholz stehen unter NU04-01.</t>
        </is>
      </c>
      <c r="AN390" s="22" t="n"/>
    </row>
    <row r="391" ht="30" customHeight="1">
      <c r="A391" s="15" t="inlineStr">
        <is>
          <t>BE10-05</t>
        </is>
      </c>
      <c r="B391" s="15" t="n"/>
      <c r="C391" s="15" t="n"/>
      <c r="D391" s="15" t="inlineStr">
        <is>
          <t>BE10</t>
        </is>
      </c>
      <c r="E391" s="15" t="inlineStr">
        <is>
          <t>Schalenstuhl weiß mit Holzbeinen</t>
        </is>
      </c>
      <c r="F391" s="16" t="inlineStr">
        <is>
          <t>Stuhl mit weißer Kunststoff-Sitzschale auf konischen Beinen aus hellem Holz mit schwarzer Drahtstrebe. Kein Original: Das Etikett an der Unterseite nennt P and N Homewares Ltd, Leicester, Item No. EC101.</t>
        </is>
      </c>
      <c r="G391" s="15" t="inlineStr">
        <is>
          <t>Möbel</t>
        </is>
      </c>
      <c r="H391" s="15" t="inlineStr">
        <is>
          <t>Büro / Besprechung</t>
        </is>
      </c>
      <c r="I391" s="15" t="inlineStr">
        <is>
          <t>B</t>
        </is>
      </c>
      <c r="J391" s="17" t="n">
        <v>9</v>
      </c>
      <c r="K391" s="17" t="n"/>
      <c r="L391" s="18">
        <f>J391-IF(K391="",0,K391)</f>
        <v/>
      </c>
      <c r="M391" s="15" t="inlineStr">
        <is>
          <t>Stück</t>
        </is>
      </c>
      <c r="N391" s="15" t="inlineStr">
        <is>
          <t>gut</t>
        </is>
      </c>
      <c r="O391" s="19" t="n"/>
      <c r="P391" s="19" t="inlineStr">
        <is>
          <t>ja</t>
        </is>
      </c>
      <c r="Q391" s="19" t="n"/>
      <c r="R391" s="20" t="n"/>
      <c r="S391" s="20" t="n">
        <v>30</v>
      </c>
      <c r="T391" s="19" t="inlineStr">
        <is>
          <t>VHB</t>
        </is>
      </c>
      <c r="U391" s="21">
        <f>L391*S391</f>
        <v/>
      </c>
      <c r="V391" s="15" t="inlineStr">
        <is>
          <t>Versand möglich</t>
        </is>
      </c>
      <c r="W391" s="15" t="inlineStr">
        <is>
          <t>F-495</t>
        </is>
      </c>
      <c r="X391" s="19" t="inlineStr">
        <is>
          <t>ja</t>
        </is>
      </c>
      <c r="Y391" s="19" t="n"/>
      <c r="Z391" s="19" t="inlineStr">
        <is>
          <t>verfügbar</t>
        </is>
      </c>
      <c r="AA391" s="19" t="n"/>
      <c r="AB391" s="19" t="n"/>
      <c r="AC391" s="19" t="n"/>
      <c r="AD391" s="19" t="n"/>
      <c r="AE391" s="20" t="n"/>
      <c r="AF391" s="21">
        <f>IF(K391="","",K391*AE391)</f>
        <v/>
      </c>
      <c r="AG391" s="19" t="n"/>
      <c r="AH391" s="19" t="n"/>
      <c r="AI391" s="19" t="n"/>
      <c r="AJ391" s="19" t="n"/>
      <c r="AK391" s="19" t="n"/>
      <c r="AL391" s="19" t="n"/>
      <c r="AM391" s="16" t="inlineStr">
        <is>
          <t>9 Stühle – abgebildet ist einer davon. Das Etikett ist auf Foto F-496 zu sehen.</t>
        </is>
      </c>
      <c r="AN391" s="22" t="n"/>
    </row>
    <row r="392" ht="30" customHeight="1">
      <c r="A392" s="15" t="inlineStr">
        <is>
          <t>BE10-06</t>
        </is>
      </c>
      <c r="B392" s="15" t="n"/>
      <c r="C392" s="15" t="n"/>
      <c r="D392" s="15" t="inlineStr">
        <is>
          <t>BE10</t>
        </is>
      </c>
      <c r="E392" s="15" t="inlineStr">
        <is>
          <t>Acrylbild abstrakt, schwarz-weiß-beige, großformatig</t>
        </is>
      </c>
      <c r="F392" s="16" t="inlineStr">
        <is>
          <t>Acryl auf Leinwand im Querformat: breite Pinselzüge und Spachtelflächen in Schwarz, Weiß, Grau und Beige. Eigenarbeit einer Privatperson, nicht signiert.</t>
        </is>
      </c>
      <c r="G392" s="15" t="inlineStr">
        <is>
          <t>Kunst</t>
        </is>
      </c>
      <c r="H392" s="15" t="inlineStr">
        <is>
          <t>Büro / Besprechung</t>
        </is>
      </c>
      <c r="I392" s="15" t="inlineStr">
        <is>
          <t>B</t>
        </is>
      </c>
      <c r="J392" s="17" t="n">
        <v>1</v>
      </c>
      <c r="K392" s="17" t="n"/>
      <c r="L392" s="18">
        <f>J392-IF(K392="",0,K392)</f>
        <v/>
      </c>
      <c r="M392" s="15" t="inlineStr">
        <is>
          <t>Stück</t>
        </is>
      </c>
      <c r="N392" s="15" t="inlineStr">
        <is>
          <t>gut</t>
        </is>
      </c>
      <c r="O392" s="19" t="n"/>
      <c r="P392" s="19" t="inlineStr">
        <is>
          <t>ja</t>
        </is>
      </c>
      <c r="Q392" s="19" t="n"/>
      <c r="R392" s="20" t="n"/>
      <c r="S392" s="20" t="n">
        <v>180</v>
      </c>
      <c r="T392" s="19" t="inlineStr">
        <is>
          <t>VHB</t>
        </is>
      </c>
      <c r="U392" s="21">
        <f>L392*S392</f>
        <v/>
      </c>
      <c r="V392" s="15" t="inlineStr">
        <is>
          <t>nur Abholung</t>
        </is>
      </c>
      <c r="W392" s="15" t="inlineStr">
        <is>
          <t>F-497</t>
        </is>
      </c>
      <c r="X392" s="19" t="inlineStr">
        <is>
          <t>ja</t>
        </is>
      </c>
      <c r="Y392" s="19" t="n"/>
      <c r="Z392" s="19" t="inlineStr">
        <is>
          <t>verfügbar</t>
        </is>
      </c>
      <c r="AA392" s="19" t="n"/>
      <c r="AB392" s="19" t="n"/>
      <c r="AC392" s="19" t="n"/>
      <c r="AD392" s="19" t="n"/>
      <c r="AE392" s="20" t="n"/>
      <c r="AF392" s="21">
        <f>IF(K392="","",K392*AE392)</f>
        <v/>
      </c>
      <c r="AG392" s="19" t="n"/>
      <c r="AH392" s="19" t="n"/>
      <c r="AI392" s="19" t="n"/>
      <c r="AJ392" s="19" t="n"/>
      <c r="AK392" s="19" t="n"/>
      <c r="AL392" s="19" t="n"/>
      <c r="AM392" s="16" t="inlineStr">
        <is>
          <t>1 Bild auf Keilrahmen, ungerahmt.</t>
        </is>
      </c>
      <c r="AN392" s="22" t="n"/>
    </row>
    <row r="393" ht="30" customHeight="1">
      <c r="A393" s="15" t="inlineStr">
        <is>
          <t>BE10-07</t>
        </is>
      </c>
      <c r="B393" s="15" t="n"/>
      <c r="C393" s="15" t="n"/>
      <c r="D393" s="15" t="inlineStr">
        <is>
          <t>BE10</t>
        </is>
      </c>
      <c r="E393" s="15" t="inlineStr">
        <is>
          <t>Flipchart fahrbar mit Papierrolle</t>
        </is>
      </c>
      <c r="F393" s="16" t="inlineStr">
        <is>
          <t>Flipchart auf einem Standfuß mit weißer Säule, mit eingehängter Papierrolle. Aufdruck am unteren Rand der Rolle: Staufen.</t>
        </is>
      </c>
      <c r="G393" s="15" t="inlineStr">
        <is>
          <t>Büro</t>
        </is>
      </c>
      <c r="H393" s="15" t="inlineStr">
        <is>
          <t>Büro / Besprechung</t>
        </is>
      </c>
      <c r="I393" s="15" t="inlineStr">
        <is>
          <t>C</t>
        </is>
      </c>
      <c r="J393" s="17" t="n">
        <v>1</v>
      </c>
      <c r="K393" s="17" t="n"/>
      <c r="L393" s="18">
        <f>J393-IF(K393="",0,K393)</f>
        <v/>
      </c>
      <c r="M393" s="15" t="inlineStr">
        <is>
          <t>Stück</t>
        </is>
      </c>
      <c r="N393" s="15" t="inlineStr">
        <is>
          <t>gut</t>
        </is>
      </c>
      <c r="O393" s="19" t="n"/>
      <c r="P393" s="19" t="inlineStr">
        <is>
          <t>ja</t>
        </is>
      </c>
      <c r="Q393" s="19" t="n"/>
      <c r="R393" s="20" t="n"/>
      <c r="S393" s="20" t="n">
        <v>90</v>
      </c>
      <c r="T393" s="19" t="inlineStr">
        <is>
          <t>VHB</t>
        </is>
      </c>
      <c r="U393" s="21">
        <f>L393*S393</f>
        <v/>
      </c>
      <c r="V393" s="15" t="inlineStr">
        <is>
          <t>nur Abholung</t>
        </is>
      </c>
      <c r="W393" s="15" t="inlineStr">
        <is>
          <t>F-499</t>
        </is>
      </c>
      <c r="X393" s="19" t="inlineStr">
        <is>
          <t>ja</t>
        </is>
      </c>
      <c r="Y393" s="19" t="n"/>
      <c r="Z393" s="19" t="inlineStr">
        <is>
          <t>verfügbar</t>
        </is>
      </c>
      <c r="AA393" s="19" t="n"/>
      <c r="AB393" s="19" t="n"/>
      <c r="AC393" s="19" t="n"/>
      <c r="AD393" s="19" t="n"/>
      <c r="AE393" s="20" t="n"/>
      <c r="AF393" s="21">
        <f>IF(K393="","",K393*AE393)</f>
        <v/>
      </c>
      <c r="AG393" s="19" t="n"/>
      <c r="AH393" s="19" t="n"/>
      <c r="AI393" s="19" t="n"/>
      <c r="AJ393" s="19" t="n"/>
      <c r="AK393" s="19" t="n"/>
      <c r="AL393" s="19" t="n"/>
      <c r="AM393" s="16" t="inlineStr">
        <is>
          <t>1 Flipchart einschließlich der angefangenen Papierrolle.</t>
        </is>
      </c>
      <c r="AN393" s="22" t="n"/>
    </row>
    <row r="394" ht="30" customHeight="1">
      <c r="A394" s="15" t="inlineStr">
        <is>
          <t>BE10-08</t>
        </is>
      </c>
      <c r="B394" s="15" t="n"/>
      <c r="C394" s="15" t="n"/>
      <c r="D394" s="15" t="inlineStr">
        <is>
          <t>BE10</t>
        </is>
      </c>
      <c r="E394" s="15" t="inlineStr">
        <is>
          <t>Eckschreibtisch weiß</t>
        </is>
      </c>
      <c r="F394" s="16" t="inlineStr">
        <is>
          <t>Eckschreibtisch mit weißer Platte und ausgeschnittener Vorderkante auf weißem Metallgestell mit Säulenfüßen.</t>
        </is>
      </c>
      <c r="G394" s="15" t="inlineStr">
        <is>
          <t>Büro</t>
        </is>
      </c>
      <c r="H394" s="15" t="inlineStr">
        <is>
          <t>Büro / Besprechung</t>
        </is>
      </c>
      <c r="I394" s="15" t="inlineStr">
        <is>
          <t>B</t>
        </is>
      </c>
      <c r="J394" s="17" t="n">
        <v>1</v>
      </c>
      <c r="K394" s="17" t="n"/>
      <c r="L394" s="18">
        <f>J394-IF(K394="",0,K394)</f>
        <v/>
      </c>
      <c r="M394" s="15" t="inlineStr">
        <is>
          <t>Stück</t>
        </is>
      </c>
      <c r="N394" s="15" t="inlineStr">
        <is>
          <t>gebraucht</t>
        </is>
      </c>
      <c r="O394" s="19" t="n"/>
      <c r="P394" s="19" t="inlineStr">
        <is>
          <t>ja</t>
        </is>
      </c>
      <c r="Q394" s="19" t="n"/>
      <c r="R394" s="20" t="n"/>
      <c r="S394" s="20" t="n">
        <v>150</v>
      </c>
      <c r="T394" s="19" t="inlineStr">
        <is>
          <t>VHB</t>
        </is>
      </c>
      <c r="U394" s="21">
        <f>L394*S394</f>
        <v/>
      </c>
      <c r="V394" s="15" t="inlineStr">
        <is>
          <t>nur Abholung</t>
        </is>
      </c>
      <c r="W394" s="15" t="inlineStr">
        <is>
          <t>F-500</t>
        </is>
      </c>
      <c r="X394" s="19" t="inlineStr">
        <is>
          <t>ja</t>
        </is>
      </c>
      <c r="Y394" s="19" t="n"/>
      <c r="Z394" s="19" t="inlineStr">
        <is>
          <t>verfügbar</t>
        </is>
      </c>
      <c r="AA394" s="19" t="n"/>
      <c r="AB394" s="19" t="n"/>
      <c r="AC394" s="19" t="n"/>
      <c r="AD394" s="19" t="n"/>
      <c r="AE394" s="20" t="n"/>
      <c r="AF394" s="21">
        <f>IF(K394="","",K394*AE394)</f>
        <v/>
      </c>
      <c r="AG394" s="19" t="n"/>
      <c r="AH394" s="19" t="n"/>
      <c r="AI394" s="19" t="n"/>
      <c r="AJ394" s="19" t="n"/>
      <c r="AK394" s="19" t="n"/>
      <c r="AL394" s="19" t="n"/>
      <c r="AM394" s="16" t="inlineStr">
        <is>
          <t>1 Tisch. Rechner, Bildschirm, Tastatur, Schreibunterlage und das übrige Zubehör gehören nicht dazu. Das Post-it ist auf Foto F-501 zu lesen.</t>
        </is>
      </c>
      <c r="AN394" s="22" t="n"/>
    </row>
  </sheetData>
  <autoFilter ref="A2:AN394"/>
  <mergeCells count="7">
    <mergeCell ref="AI1:AL1"/>
    <mergeCell ref="V1:AD1"/>
    <mergeCell ref="S1:U1"/>
    <mergeCell ref="Q1:R1"/>
    <mergeCell ref="A1:P1"/>
    <mergeCell ref="AE1:AH1"/>
    <mergeCell ref="AM1:AN1"/>
  </mergeCells>
  <conditionalFormatting sqref="Z3:Z394">
    <cfRule type="cellIs" priority="1" operator="equal" dxfId="0">
      <formula>"reserviert"</formula>
    </cfRule>
    <cfRule type="cellIs" priority="2" operator="equal" dxfId="1">
      <formula>"teilverkauft"</formula>
    </cfRule>
    <cfRule type="cellIs" priority="3" operator="equal" dxfId="2">
      <formula>"verkauft"</formula>
    </cfRule>
  </conditionalFormatting>
  <conditionalFormatting sqref="I3:I394">
    <cfRule type="cellIs" priority="4" operator="equal" dxfId="3">
      <formula>"A"</formula>
    </cfRule>
  </conditionalFormatting>
  <conditionalFormatting sqref="P3:P394">
    <cfRule type="cellIs" priority="5" operator="equal" dxfId="4">
      <formula>"entfällt"</formula>
    </cfRule>
  </conditionalFormatting>
  <dataValidations count="12">
    <dataValidation sqref="I3:I803" showDropDown="0" showInputMessage="0" showErrorMessage="0" allowBlank="1" type="list">
      <formula1>"A,B,C"</formula1>
    </dataValidation>
    <dataValidation sqref="P3:P803" showDropDown="0" showInputMessage="0" showErrorMessage="0" allowBlank="1" type="list">
      <formula1>"ja,entfällt"</formula1>
    </dataValidation>
    <dataValidation sqref="X3:X803" showDropDown="0" showInputMessage="0" showErrorMessage="0" allowBlank="1" type="list">
      <formula1>"ja,nein"</formula1>
    </dataValidation>
    <dataValidation sqref="Y3:Y803" showDropDown="0" showInputMessage="0" showErrorMessage="0" allowBlank="1" type="list">
      <formula1>"ja,nein"</formula1>
    </dataValidation>
    <dataValidation sqref="M3:M803" showDropDown="0" showInputMessage="0" showErrorMessage="0" allowBlank="1" type="list">
      <formula1>"Stück,Karton,Set,Palette,Konvolut"</formula1>
    </dataValidation>
    <dataValidation sqref="N3:N803" showDropDown="0" showInputMessage="0" showErrorMessage="0" allowBlank="1" type="list">
      <formula1>"neuwertig,gut,gebraucht,stark gebraucht,defekt"</formula1>
    </dataValidation>
    <dataValidation sqref="T3:T803" showDropDown="0" showInputMessage="0" showErrorMessage="0" allowBlank="1" type="list">
      <formula1>"Fix,VHB"</formula1>
    </dataValidation>
    <dataValidation sqref="V3:V803" showDropDown="0" showInputMessage="0" showErrorMessage="0" allowBlank="1" type="list">
      <formula1>"nur Abholung,Versand möglich,Spedition"</formula1>
    </dataValidation>
    <dataValidation sqref="Z3:Z803" showDropDown="0" showInputMessage="0" showErrorMessage="0" allowBlank="1" type="list">
      <formula1>"verfügbar,reserviert,teilverkauft,verkauft,gespendet,entsorgt"</formula1>
    </dataValidation>
    <dataValidation sqref="AC3:AC803" showDropDown="0" showInputMessage="0" showErrorMessage="0" allowBlank="1" type="list">
      <formula1>"Webkatalog,Kleinanzeigen,eBay,Direkt,Händler,Verkaufstag"</formula1>
    </dataValidation>
    <dataValidation sqref="AJ3:AJ803" showDropDown="0" showInputMessage="0" showErrorMessage="0" allowBlank="1" type="list">
      <formula1>"offen,bezahlt,teilbezahlt"</formula1>
    </dataValidation>
    <dataValidation sqref="AK3:AK803" showDropDown="0" showInputMessage="0" showErrorMessage="0" allowBlank="1" type="list">
      <formula1>"Überweisung,bar,PayPal"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98"/>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3" t="inlineStr">
        <is>
          <t>Verkaufsübersicht – rechnet automatisch aus dem Artikelstamm</t>
        </is>
      </c>
    </row>
    <row r="2">
      <c r="A2" s="24" t="inlineStr">
        <is>
          <t>Hier wird nichts eingetragen. Wer im Artikelstamm einen Verkauf erfasst, sieht ihn sofort hier.</t>
        </is>
      </c>
    </row>
    <row r="4">
      <c r="A4" s="25" t="inlineStr">
        <is>
          <t>Bestand</t>
        </is>
      </c>
    </row>
    <row r="5">
      <c r="A5" s="26" t="inlineStr">
        <is>
          <t>Artikelpositionen gesamt</t>
        </is>
      </c>
      <c r="B5" s="27">
        <f>COUNTA(Artikelstamm!$A$3:$A$394)</f>
        <v/>
      </c>
    </row>
    <row r="6">
      <c r="A6" s="26" t="inlineStr">
        <is>
          <t>davon verfügbar</t>
        </is>
      </c>
      <c r="B6" s="27">
        <f>COUNTIF(Artikelstamm!$Z$3:$Z$394,"verfügbar")</f>
        <v/>
      </c>
    </row>
    <row r="7">
      <c r="A7" s="26" t="inlineStr">
        <is>
          <t>davon reserviert</t>
        </is>
      </c>
      <c r="B7" s="27">
        <f>COUNTIF(Artikelstamm!$Z$3:$Z$394,"reserviert")</f>
        <v/>
      </c>
    </row>
    <row r="8">
      <c r="A8" s="26" t="inlineStr">
        <is>
          <t>davon teilverkauft</t>
        </is>
      </c>
      <c r="B8" s="27">
        <f>COUNTIF(Artikelstamm!$Z$3:$Z$394,"teilverkauft")</f>
        <v/>
      </c>
    </row>
    <row r="9">
      <c r="A9" s="26" t="inlineStr">
        <is>
          <t>davon verkauft</t>
        </is>
      </c>
      <c r="B9" s="27">
        <f>COUNTIF(Artikelstamm!$Z$3:$Z$394,"verkauft")</f>
        <v/>
      </c>
    </row>
    <row r="10">
      <c r="A10" s="26" t="inlineStr">
        <is>
          <t>Einheiten noch im Bestand</t>
        </is>
      </c>
      <c r="B10" s="27">
        <f>SUM(Artikelstamm!$L$3:$L$394)</f>
        <v/>
      </c>
    </row>
    <row r="11">
      <c r="A11" s="28" t="inlineStr">
        <is>
          <t>Restbestand zu Wunschpreisen (netto)</t>
        </is>
      </c>
      <c r="B11" s="29">
        <f>SUM(Artikelstamm!$U$3:$U$394)</f>
        <v/>
      </c>
    </row>
    <row r="12">
      <c r="A12" s="25" t="inlineStr">
        <is>
          <t>Erlöse</t>
        </is>
      </c>
    </row>
    <row r="13">
      <c r="A13" s="26" t="inlineStr">
        <is>
          <t>Verkaufte Einheiten</t>
        </is>
      </c>
      <c r="B13" s="27">
        <f>SUM(Artikelstamm!$K$3:$K$394)</f>
        <v/>
      </c>
    </row>
    <row r="14">
      <c r="A14" s="26" t="inlineStr">
        <is>
          <t>Umsatz netto</t>
        </is>
      </c>
      <c r="B14" s="30">
        <f>SUMPRODUCT(Artikelstamm!$K$3:$K$394,Artikelstamm!$AE$3:$AE$394)</f>
        <v/>
      </c>
    </row>
    <row r="15">
      <c r="A15" s="26" t="inlineStr">
        <is>
          <t>zzgl. Umsatzsteuer 19 %</t>
        </is>
      </c>
      <c r="B15" s="30">
        <f>B14*0.19</f>
        <v/>
      </c>
    </row>
    <row r="16">
      <c r="A16" s="28" t="inlineStr">
        <is>
          <t>Umsatz brutto</t>
        </is>
      </c>
      <c r="B16" s="29">
        <f>B14+B15</f>
        <v/>
      </c>
    </row>
    <row r="17">
      <c r="A17" s="26" t="inlineStr">
        <is>
          <t>davon bereits bezahlt (netto)</t>
        </is>
      </c>
      <c r="B17" s="30">
        <f>SUMPRODUCT((Artikelstamm!$AJ$3:$AJ$394="bezahlt")*Artikelstamm!$K$3:$K$394*Artikelstamm!$AE$3:$AE$394)</f>
        <v/>
      </c>
    </row>
    <row r="18">
      <c r="A18" s="26" t="inlineStr">
        <is>
          <t>noch offen (netto)</t>
        </is>
      </c>
      <c r="B18" s="30">
        <f>B14-B17</f>
        <v/>
      </c>
    </row>
    <row r="20">
      <c r="A20" s="25" t="inlineStr">
        <is>
          <t>To-do</t>
        </is>
      </c>
    </row>
    <row r="21">
      <c r="A21" s="28" t="inlineStr">
        <is>
          <t>Rechnungen noch zu schreiben</t>
        </is>
      </c>
      <c r="B21" s="31">
        <f>COUNTIFS(Artikelstamm!$Z$3:$Z$394,"*verkauft",Artikelstamm!$AI$3:$AI$394,"")</f>
        <v/>
      </c>
    </row>
    <row r="22">
      <c r="A22" s="28" t="inlineStr">
        <is>
          <t>Rechnungen offen (unbezahlt)</t>
        </is>
      </c>
      <c r="B22" s="31">
        <f>COUNTIFS(Artikelstamm!$Z$3:$Z$394,"*verkauft",Artikelstamm!$AJ$3:$AJ$394,"offen")</f>
        <v/>
      </c>
    </row>
    <row r="23">
      <c r="A23" s="26" t="inlineStr">
        <is>
          <t>Reservierungen ohne Abholtermin</t>
        </is>
      </c>
      <c r="B23" s="27">
        <f>COUNTIFS(Artikelstamm!$Z$3:$Z$394,"reserviert",Artikelstamm!$AL$3:$AL$394,"")</f>
        <v/>
      </c>
    </row>
    <row r="24">
      <c r="A24" s="26" t="inlineStr">
        <is>
          <t>Artikel ohne Preis</t>
        </is>
      </c>
      <c r="B24" s="27">
        <f>COUNTIFS(Artikelstamm!$S$3:$S$394,"")</f>
        <v/>
      </c>
    </row>
    <row r="25">
      <c r="A25" s="26" t="inlineStr">
        <is>
          <t>Artikel ohne Maßangabe</t>
        </is>
      </c>
      <c r="B25" s="27">
        <f>COUNTIFS(Artikelstamm!$O$3:$O$394,"")</f>
        <v/>
      </c>
    </row>
    <row r="28">
      <c r="A28" s="25" t="inlineStr">
        <is>
          <t>Nach Wertklasse</t>
        </is>
      </c>
    </row>
    <row r="29">
      <c r="A29" s="32" t="inlineStr">
        <is>
          <t>Wertklasse</t>
        </is>
      </c>
      <c r="B29" s="32" t="inlineStr">
        <is>
          <t>Positionen</t>
        </is>
      </c>
      <c r="C29" s="32" t="inlineStr">
        <is>
          <t>Umsatz netto</t>
        </is>
      </c>
      <c r="D29" s="32" t="inlineStr">
        <is>
          <t>Restwert netto</t>
        </is>
      </c>
    </row>
    <row r="30">
      <c r="A30" s="26" t="inlineStr">
        <is>
          <t>A</t>
        </is>
      </c>
      <c r="B30" s="33">
        <f>COUNTIF(Artikelstamm!$I$3:$I$394,$A30)</f>
        <v/>
      </c>
      <c r="C30" s="34">
        <f>SUMPRODUCT((Artikelstamm!$I$3:$I$394=$A30)*Artikelstamm!$K$3:$K$394*Artikelstamm!$AE$3:$AE$394)</f>
        <v/>
      </c>
      <c r="D30" s="34">
        <f>SUMIF(Artikelstamm!$I$3:$I$394,$A30,Artikelstamm!$U$3:$U$394)</f>
        <v/>
      </c>
    </row>
    <row r="31">
      <c r="A31" s="26" t="inlineStr">
        <is>
          <t>B</t>
        </is>
      </c>
      <c r="B31" s="33">
        <f>COUNTIF(Artikelstamm!$I$3:$I$394,$A31)</f>
        <v/>
      </c>
      <c r="C31" s="34">
        <f>SUMPRODUCT((Artikelstamm!$I$3:$I$394=$A31)*Artikelstamm!$K$3:$K$394*Artikelstamm!$AE$3:$AE$394)</f>
        <v/>
      </c>
      <c r="D31" s="34">
        <f>SUMIF(Artikelstamm!$I$3:$I$394,$A31,Artikelstamm!$U$3:$U$394)</f>
        <v/>
      </c>
    </row>
    <row r="32">
      <c r="A32" s="26" t="inlineStr">
        <is>
          <t>C</t>
        </is>
      </c>
      <c r="B32" s="33">
        <f>COUNTIF(Artikelstamm!$I$3:$I$394,$A32)</f>
        <v/>
      </c>
      <c r="C32" s="34">
        <f>SUMPRODUCT((Artikelstamm!$I$3:$I$394=$A32)*Artikelstamm!$K$3:$K$394*Artikelstamm!$AE$3:$AE$394)</f>
        <v/>
      </c>
      <c r="D32" s="34">
        <f>SUMIF(Artikelstamm!$I$3:$I$394,$A32,Artikelstamm!$U$3:$U$394)</f>
        <v/>
      </c>
    </row>
    <row r="33">
      <c r="A33" s="28" t="inlineStr">
        <is>
          <t>Summe</t>
        </is>
      </c>
      <c r="B33" s="35">
        <f>SUM(B30:B32)</f>
        <v/>
      </c>
      <c r="C33" s="36">
        <f>SUM(C30:C32)</f>
        <v/>
      </c>
      <c r="D33" s="36">
        <f>SUM(D30:D32)</f>
        <v/>
      </c>
    </row>
    <row r="35">
      <c r="A35" s="25" t="inlineStr">
        <is>
          <t>Nach Kategorie</t>
        </is>
      </c>
    </row>
    <row r="36">
      <c r="A36" s="32" t="inlineStr">
        <is>
          <t>Kategorie</t>
        </is>
      </c>
      <c r="B36" s="32" t="inlineStr">
        <is>
          <t>Positionen</t>
        </is>
      </c>
      <c r="C36" s="32" t="inlineStr">
        <is>
          <t>Umsatz netto</t>
        </is>
      </c>
      <c r="D36" s="32" t="inlineStr">
        <is>
          <t>Restwert netto</t>
        </is>
      </c>
    </row>
    <row r="37">
      <c r="A37" s="26" t="inlineStr">
        <is>
          <t>Büro</t>
        </is>
      </c>
      <c r="B37" s="33">
        <f>COUNTIF(Artikelstamm!$G$3:$G$394,$A37)</f>
        <v/>
      </c>
      <c r="C37" s="34">
        <f>SUMPRODUCT((Artikelstamm!$G$3:$G$394=$A37)*Artikelstamm!$K$3:$K$394*Artikelstamm!$AE$3:$AE$394)</f>
        <v/>
      </c>
      <c r="D37" s="34">
        <f>SUMIF(Artikelstamm!$G$3:$G$394,$A37,Artikelstamm!$U$3:$U$394)</f>
        <v/>
      </c>
    </row>
    <row r="38">
      <c r="A38" s="26" t="inlineStr">
        <is>
          <t>Deko</t>
        </is>
      </c>
      <c r="B38" s="33">
        <f>COUNTIF(Artikelstamm!$G$3:$G$394,$A38)</f>
        <v/>
      </c>
      <c r="C38" s="34">
        <f>SUMPRODUCT((Artikelstamm!$G$3:$G$394=$A38)*Artikelstamm!$K$3:$K$394*Artikelstamm!$AE$3:$AE$394)</f>
        <v/>
      </c>
      <c r="D38" s="34">
        <f>SUMIF(Artikelstamm!$G$3:$G$394,$A38,Artikelstamm!$U$3:$U$394)</f>
        <v/>
      </c>
    </row>
    <row r="39">
      <c r="A39" s="26" t="inlineStr">
        <is>
          <t>Designmöbel</t>
        </is>
      </c>
      <c r="B39" s="33">
        <f>COUNTIF(Artikelstamm!$G$3:$G$394,$A39)</f>
        <v/>
      </c>
      <c r="C39" s="34">
        <f>SUMPRODUCT((Artikelstamm!$G$3:$G$394=$A39)*Artikelstamm!$K$3:$K$394*Artikelstamm!$AE$3:$AE$394)</f>
        <v/>
      </c>
      <c r="D39" s="34">
        <f>SUMIF(Artikelstamm!$G$3:$G$394,$A39,Artikelstamm!$U$3:$U$394)</f>
        <v/>
      </c>
    </row>
    <row r="40">
      <c r="A40" s="26" t="inlineStr">
        <is>
          <t>Garten</t>
        </is>
      </c>
      <c r="B40" s="33">
        <f>COUNTIF(Artikelstamm!$G$3:$G$394,$A40)</f>
        <v/>
      </c>
      <c r="C40" s="34">
        <f>SUMPRODUCT((Artikelstamm!$G$3:$G$394=$A40)*Artikelstamm!$K$3:$K$394*Artikelstamm!$AE$3:$AE$394)</f>
        <v/>
      </c>
      <c r="D40" s="34">
        <f>SUMIF(Artikelstamm!$G$3:$G$394,$A40,Artikelstamm!$U$3:$U$394)</f>
        <v/>
      </c>
    </row>
    <row r="41">
      <c r="A41" s="26" t="inlineStr">
        <is>
          <t>Kita-Ausstattung</t>
        </is>
      </c>
      <c r="B41" s="33">
        <f>COUNTIF(Artikelstamm!$G$3:$G$394,$A41)</f>
        <v/>
      </c>
      <c r="C41" s="34">
        <f>SUMPRODUCT((Artikelstamm!$G$3:$G$394=$A41)*Artikelstamm!$K$3:$K$394*Artikelstamm!$AE$3:$AE$394)</f>
        <v/>
      </c>
      <c r="D41" s="34">
        <f>SUMIF(Artikelstamm!$G$3:$G$394,$A41,Artikelstamm!$U$3:$U$394)</f>
        <v/>
      </c>
    </row>
    <row r="42">
      <c r="A42" s="26" t="inlineStr">
        <is>
          <t>Kunst</t>
        </is>
      </c>
      <c r="B42" s="33">
        <f>COUNTIF(Artikelstamm!$G$3:$G$394,$A42)</f>
        <v/>
      </c>
      <c r="C42" s="34">
        <f>SUMPRODUCT((Artikelstamm!$G$3:$G$394=$A42)*Artikelstamm!$K$3:$K$394*Artikelstamm!$AE$3:$AE$394)</f>
        <v/>
      </c>
      <c r="D42" s="34">
        <f>SUMIF(Artikelstamm!$G$3:$G$394,$A42,Artikelstamm!$U$3:$U$394)</f>
        <v/>
      </c>
    </row>
    <row r="43">
      <c r="A43" s="26" t="inlineStr">
        <is>
          <t>Leuchten</t>
        </is>
      </c>
      <c r="B43" s="33">
        <f>COUNTIF(Artikelstamm!$G$3:$G$394,$A43)</f>
        <v/>
      </c>
      <c r="C43" s="34">
        <f>SUMPRODUCT((Artikelstamm!$G$3:$G$394=$A43)*Artikelstamm!$K$3:$K$394*Artikelstamm!$AE$3:$AE$394)</f>
        <v/>
      </c>
      <c r="D43" s="34">
        <f>SUMIF(Artikelstamm!$G$3:$G$394,$A43,Artikelstamm!$U$3:$U$394)</f>
        <v/>
      </c>
    </row>
    <row r="44">
      <c r="A44" s="26" t="inlineStr">
        <is>
          <t>Möbel</t>
        </is>
      </c>
      <c r="B44" s="33">
        <f>COUNTIF(Artikelstamm!$G$3:$G$394,$A44)</f>
        <v/>
      </c>
      <c r="C44" s="34">
        <f>SUMPRODUCT((Artikelstamm!$G$3:$G$394=$A44)*Artikelstamm!$K$3:$K$394*Artikelstamm!$AE$3:$AE$394)</f>
        <v/>
      </c>
      <c r="D44" s="34">
        <f>SUMIF(Artikelstamm!$G$3:$G$394,$A44,Artikelstamm!$U$3:$U$394)</f>
        <v/>
      </c>
    </row>
    <row r="45">
      <c r="A45" s="26" t="inlineStr">
        <is>
          <t>Pflanzen</t>
        </is>
      </c>
      <c r="B45" s="33">
        <f>COUNTIF(Artikelstamm!$G$3:$G$394,$A45)</f>
        <v/>
      </c>
      <c r="C45" s="34">
        <f>SUMPRODUCT((Artikelstamm!$G$3:$G$394=$A45)*Artikelstamm!$K$3:$K$394*Artikelstamm!$AE$3:$AE$394)</f>
        <v/>
      </c>
      <c r="D45" s="34">
        <f>SUMIF(Artikelstamm!$G$3:$G$394,$A45,Artikelstamm!$U$3:$U$394)</f>
        <v/>
      </c>
    </row>
    <row r="46">
      <c r="A46" s="26" t="inlineStr">
        <is>
          <t>Sonstiges</t>
        </is>
      </c>
      <c r="B46" s="33">
        <f>COUNTIF(Artikelstamm!$G$3:$G$394,$A46)</f>
        <v/>
      </c>
      <c r="C46" s="34">
        <f>SUMPRODUCT((Artikelstamm!$G$3:$G$394=$A46)*Artikelstamm!$K$3:$K$394*Artikelstamm!$AE$3:$AE$394)</f>
        <v/>
      </c>
      <c r="D46" s="34">
        <f>SUMIF(Artikelstamm!$G$3:$G$394,$A46,Artikelstamm!$U$3:$U$394)</f>
        <v/>
      </c>
    </row>
    <row r="47">
      <c r="A47" s="26" t="inlineStr">
        <is>
          <t>Technik</t>
        </is>
      </c>
      <c r="B47" s="33">
        <f>COUNTIF(Artikelstamm!$G$3:$G$394,$A47)</f>
        <v/>
      </c>
      <c r="C47" s="34">
        <f>SUMPRODUCT((Artikelstamm!$G$3:$G$394=$A47)*Artikelstamm!$K$3:$K$394*Artikelstamm!$AE$3:$AE$394)</f>
        <v/>
      </c>
      <c r="D47" s="34">
        <f>SUMIF(Artikelstamm!$G$3:$G$394,$A47,Artikelstamm!$U$3:$U$394)</f>
        <v/>
      </c>
    </row>
    <row r="48">
      <c r="A48" s="26" t="inlineStr">
        <is>
          <t>Textilien</t>
        </is>
      </c>
      <c r="B48" s="33">
        <f>COUNTIF(Artikelstamm!$G$3:$G$394,$A48)</f>
        <v/>
      </c>
      <c r="C48" s="34">
        <f>SUMPRODUCT((Artikelstamm!$G$3:$G$394=$A48)*Artikelstamm!$K$3:$K$394*Artikelstamm!$AE$3:$AE$394)</f>
        <v/>
      </c>
      <c r="D48" s="34">
        <f>SUMIF(Artikelstamm!$G$3:$G$394,$A48,Artikelstamm!$U$3:$U$394)</f>
        <v/>
      </c>
    </row>
    <row r="49">
      <c r="A49" s="26" t="inlineStr">
        <is>
          <t>Uhren</t>
        </is>
      </c>
      <c r="B49" s="33">
        <f>COUNTIF(Artikelstamm!$G$3:$G$394,$A49)</f>
        <v/>
      </c>
      <c r="C49" s="34">
        <f>SUMPRODUCT((Artikelstamm!$G$3:$G$394=$A49)*Artikelstamm!$K$3:$K$394*Artikelstamm!$AE$3:$AE$394)</f>
        <v/>
      </c>
      <c r="D49" s="34">
        <f>SUMIF(Artikelstamm!$G$3:$G$394,$A49,Artikelstamm!$U$3:$U$394)</f>
        <v/>
      </c>
    </row>
    <row r="50">
      <c r="A50" s="26" t="inlineStr">
        <is>
          <t>Verbrauchsmaterial</t>
        </is>
      </c>
      <c r="B50" s="33">
        <f>COUNTIF(Artikelstamm!$G$3:$G$394,$A50)</f>
        <v/>
      </c>
      <c r="C50" s="34">
        <f>SUMPRODUCT((Artikelstamm!$G$3:$G$394=$A50)*Artikelstamm!$K$3:$K$394*Artikelstamm!$AE$3:$AE$394)</f>
        <v/>
      </c>
      <c r="D50" s="34">
        <f>SUMIF(Artikelstamm!$G$3:$G$394,$A50,Artikelstamm!$U$3:$U$394)</f>
        <v/>
      </c>
    </row>
    <row r="51">
      <c r="A51" s="28" t="inlineStr">
        <is>
          <t>Summe</t>
        </is>
      </c>
      <c r="B51" s="35">
        <f>SUM(B37:B50)</f>
        <v/>
      </c>
      <c r="C51" s="36">
        <f>SUM(C37:C50)</f>
        <v/>
      </c>
      <c r="D51" s="36">
        <f>SUM(D37:D50)</f>
        <v/>
      </c>
    </row>
    <row r="53">
      <c r="A53" s="25" t="inlineStr">
        <is>
          <t>Nach Raum</t>
        </is>
      </c>
    </row>
    <row r="54">
      <c r="A54" s="32" t="inlineStr">
        <is>
          <t>Raum</t>
        </is>
      </c>
      <c r="B54" s="32" t="inlineStr">
        <is>
          <t>Positionen</t>
        </is>
      </c>
      <c r="C54" s="32" t="inlineStr">
        <is>
          <t>Umsatz netto</t>
        </is>
      </c>
      <c r="D54" s="32" t="inlineStr">
        <is>
          <t>Restwert netto</t>
        </is>
      </c>
    </row>
    <row r="55">
      <c r="A55" s="26" t="inlineStr">
        <is>
          <t>Atelier</t>
        </is>
      </c>
      <c r="B55" s="33">
        <f>COUNTIF(Artikelstamm!$H$3:$H$394,$A55)</f>
        <v/>
      </c>
      <c r="C55" s="34">
        <f>SUMPRODUCT((Artikelstamm!$H$3:$H$394=$A55)*Artikelstamm!$K$3:$K$394*Artikelstamm!$AE$3:$AE$394)</f>
        <v/>
      </c>
      <c r="D55" s="34">
        <f>SUMIF(Artikelstamm!$H$3:$H$394,$A55,Artikelstamm!$U$3:$U$394)</f>
        <v/>
      </c>
    </row>
    <row r="56">
      <c r="A56" s="26" t="inlineStr">
        <is>
          <t>Büro</t>
        </is>
      </c>
      <c r="B56" s="33">
        <f>COUNTIF(Artikelstamm!$H$3:$H$394,$A56)</f>
        <v/>
      </c>
      <c r="C56" s="34">
        <f>SUMPRODUCT((Artikelstamm!$H$3:$H$394=$A56)*Artikelstamm!$K$3:$K$394*Artikelstamm!$AE$3:$AE$394)</f>
        <v/>
      </c>
      <c r="D56" s="34">
        <f>SUMIF(Artikelstamm!$H$3:$H$394,$A56,Artikelstamm!$U$3:$U$394)</f>
        <v/>
      </c>
    </row>
    <row r="57">
      <c r="A57" s="26" t="inlineStr">
        <is>
          <t>Büro / Besprechung</t>
        </is>
      </c>
      <c r="B57" s="33">
        <f>COUNTIF(Artikelstamm!$H$3:$H$394,$A57)</f>
        <v/>
      </c>
      <c r="C57" s="34">
        <f>SUMPRODUCT((Artikelstamm!$H$3:$H$394=$A57)*Artikelstamm!$K$3:$K$394*Artikelstamm!$AE$3:$AE$394)</f>
        <v/>
      </c>
      <c r="D57" s="34">
        <f>SUMIF(Artikelstamm!$H$3:$H$394,$A57,Artikelstamm!$U$3:$U$394)</f>
        <v/>
      </c>
    </row>
    <row r="58">
      <c r="A58" s="26" t="inlineStr">
        <is>
          <t>Dachterrasse</t>
        </is>
      </c>
      <c r="B58" s="33">
        <f>COUNTIF(Artikelstamm!$H$3:$H$394,$A58)</f>
        <v/>
      </c>
      <c r="C58" s="34">
        <f>SUMPRODUCT((Artikelstamm!$H$3:$H$394=$A58)*Artikelstamm!$K$3:$K$394*Artikelstamm!$AE$3:$AE$394)</f>
        <v/>
      </c>
      <c r="D58" s="34">
        <f>SUMIF(Artikelstamm!$H$3:$H$394,$A58,Artikelstamm!$U$3:$U$394)</f>
        <v/>
      </c>
    </row>
    <row r="59">
      <c r="A59" s="26" t="inlineStr">
        <is>
          <t>Flur</t>
        </is>
      </c>
      <c r="B59" s="33">
        <f>COUNTIF(Artikelstamm!$H$3:$H$394,$A59)</f>
        <v/>
      </c>
      <c r="C59" s="34">
        <f>SUMPRODUCT((Artikelstamm!$H$3:$H$394=$A59)*Artikelstamm!$K$3:$K$394*Artikelstamm!$AE$3:$AE$394)</f>
        <v/>
      </c>
      <c r="D59" s="34">
        <f>SUMIF(Artikelstamm!$H$3:$H$394,$A59,Artikelstamm!$U$3:$U$394)</f>
        <v/>
      </c>
    </row>
    <row r="60">
      <c r="A60" s="26" t="inlineStr">
        <is>
          <t>Flur 1</t>
        </is>
      </c>
      <c r="B60" s="33">
        <f>COUNTIF(Artikelstamm!$H$3:$H$394,$A60)</f>
        <v/>
      </c>
      <c r="C60" s="34">
        <f>SUMPRODUCT((Artikelstamm!$H$3:$H$394=$A60)*Artikelstamm!$K$3:$K$394*Artikelstamm!$AE$3:$AE$394)</f>
        <v/>
      </c>
      <c r="D60" s="34">
        <f>SUMIF(Artikelstamm!$H$3:$H$394,$A60,Artikelstamm!$U$3:$U$394)</f>
        <v/>
      </c>
    </row>
    <row r="61">
      <c r="A61" s="26" t="inlineStr">
        <is>
          <t>Flur 2</t>
        </is>
      </c>
      <c r="B61" s="33">
        <f>COUNTIF(Artikelstamm!$H$3:$H$394,$A61)</f>
        <v/>
      </c>
      <c r="C61" s="34">
        <f>SUMPRODUCT((Artikelstamm!$H$3:$H$394=$A61)*Artikelstamm!$K$3:$K$394*Artikelstamm!$AE$3:$AE$394)</f>
        <v/>
      </c>
      <c r="D61" s="34">
        <f>SUMIF(Artikelstamm!$H$3:$H$394,$A61,Artikelstamm!$U$3:$U$394)</f>
        <v/>
      </c>
    </row>
    <row r="62">
      <c r="A62" s="26" t="inlineStr">
        <is>
          <t>Flur 3</t>
        </is>
      </c>
      <c r="B62" s="33">
        <f>COUNTIF(Artikelstamm!$H$3:$H$394,$A62)</f>
        <v/>
      </c>
      <c r="C62" s="34">
        <f>SUMPRODUCT((Artikelstamm!$H$3:$H$394=$A62)*Artikelstamm!$K$3:$K$394*Artikelstamm!$AE$3:$AE$394)</f>
        <v/>
      </c>
      <c r="D62" s="34">
        <f>SUMIF(Artikelstamm!$H$3:$H$394,$A62,Artikelstamm!$U$3:$U$394)</f>
        <v/>
      </c>
    </row>
    <row r="63">
      <c r="A63" s="26" t="inlineStr">
        <is>
          <t>Galerie</t>
        </is>
      </c>
      <c r="B63" s="33">
        <f>COUNTIF(Artikelstamm!$H$3:$H$394,$A63)</f>
        <v/>
      </c>
      <c r="C63" s="34">
        <f>SUMPRODUCT((Artikelstamm!$H$3:$H$394=$A63)*Artikelstamm!$K$3:$K$394*Artikelstamm!$AE$3:$AE$394)</f>
        <v/>
      </c>
      <c r="D63" s="34">
        <f>SUMIF(Artikelstamm!$H$3:$H$394,$A63,Artikelstamm!$U$3:$U$394)</f>
        <v/>
      </c>
    </row>
    <row r="64">
      <c r="A64" s="26" t="inlineStr">
        <is>
          <t>Garage</t>
        </is>
      </c>
      <c r="B64" s="33">
        <f>COUNTIF(Artikelstamm!$H$3:$H$394,$A64)</f>
        <v/>
      </c>
      <c r="C64" s="34">
        <f>SUMPRODUCT((Artikelstamm!$H$3:$H$394=$A64)*Artikelstamm!$K$3:$K$394*Artikelstamm!$AE$3:$AE$394)</f>
        <v/>
      </c>
      <c r="D64" s="34">
        <f>SUMIF(Artikelstamm!$H$3:$H$394,$A64,Artikelstamm!$U$3:$U$394)</f>
        <v/>
      </c>
    </row>
    <row r="65">
      <c r="A65" s="26" t="inlineStr">
        <is>
          <t>Gartenanlage</t>
        </is>
      </c>
      <c r="B65" s="33">
        <f>COUNTIF(Artikelstamm!$H$3:$H$394,$A65)</f>
        <v/>
      </c>
      <c r="C65" s="34">
        <f>SUMPRODUCT((Artikelstamm!$H$3:$H$394=$A65)*Artikelstamm!$K$3:$K$394*Artikelstamm!$AE$3:$AE$394)</f>
        <v/>
      </c>
      <c r="D65" s="34">
        <f>SUMIF(Artikelstamm!$H$3:$H$394,$A65,Artikelstamm!$U$3:$U$394)</f>
        <v/>
      </c>
    </row>
    <row r="66">
      <c r="A66" s="26" t="inlineStr">
        <is>
          <t>Gruppenraum</t>
        </is>
      </c>
      <c r="B66" s="33">
        <f>COUNTIF(Artikelstamm!$H$3:$H$394,$A66)</f>
        <v/>
      </c>
      <c r="C66" s="34">
        <f>SUMPRODUCT((Artikelstamm!$H$3:$H$394=$A66)*Artikelstamm!$K$3:$K$394*Artikelstamm!$AE$3:$AE$394)</f>
        <v/>
      </c>
      <c r="D66" s="34">
        <f>SUMIF(Artikelstamm!$H$3:$H$394,$A66,Artikelstamm!$U$3:$U$394)</f>
        <v/>
      </c>
    </row>
    <row r="67">
      <c r="A67" s="26" t="inlineStr">
        <is>
          <t>Gruppenraum 2</t>
        </is>
      </c>
      <c r="B67" s="33">
        <f>COUNTIF(Artikelstamm!$H$3:$H$394,$A67)</f>
        <v/>
      </c>
      <c r="C67" s="34">
        <f>SUMPRODUCT((Artikelstamm!$H$3:$H$394=$A67)*Artikelstamm!$K$3:$K$394*Artikelstamm!$AE$3:$AE$394)</f>
        <v/>
      </c>
      <c r="D67" s="34">
        <f>SUMIF(Artikelstamm!$H$3:$H$394,$A67,Artikelstamm!$U$3:$U$394)</f>
        <v/>
      </c>
    </row>
    <row r="68">
      <c r="A68" s="26" t="inlineStr">
        <is>
          <t>Gruppenraum 4</t>
        </is>
      </c>
      <c r="B68" s="33">
        <f>COUNTIF(Artikelstamm!$H$3:$H$394,$A68)</f>
        <v/>
      </c>
      <c r="C68" s="34">
        <f>SUMPRODUCT((Artikelstamm!$H$3:$H$394=$A68)*Artikelstamm!$K$3:$K$394*Artikelstamm!$AE$3:$AE$394)</f>
        <v/>
      </c>
      <c r="D68" s="34">
        <f>SUMIF(Artikelstamm!$H$3:$H$394,$A68,Artikelstamm!$U$3:$U$394)</f>
        <v/>
      </c>
    </row>
    <row r="69">
      <c r="A69" s="26" t="inlineStr">
        <is>
          <t>Gruppenraum 5</t>
        </is>
      </c>
      <c r="B69" s="33">
        <f>COUNTIF(Artikelstamm!$H$3:$H$394,$A69)</f>
        <v/>
      </c>
      <c r="C69" s="34">
        <f>SUMPRODUCT((Artikelstamm!$H$3:$H$394=$A69)*Artikelstamm!$K$3:$K$394*Artikelstamm!$AE$3:$AE$394)</f>
        <v/>
      </c>
      <c r="D69" s="34">
        <f>SUMIF(Artikelstamm!$H$3:$H$394,$A69,Artikelstamm!$U$3:$U$394)</f>
        <v/>
      </c>
    </row>
    <row r="70">
      <c r="A70" s="26" t="inlineStr">
        <is>
          <t>Klassenzimmer</t>
        </is>
      </c>
      <c r="B70" s="33">
        <f>COUNTIF(Artikelstamm!$H$3:$H$394,$A70)</f>
        <v/>
      </c>
      <c r="C70" s="34">
        <f>SUMPRODUCT((Artikelstamm!$H$3:$H$394=$A70)*Artikelstamm!$K$3:$K$394*Artikelstamm!$AE$3:$AE$394)</f>
        <v/>
      </c>
      <c r="D70" s="34">
        <f>SUMIF(Artikelstamm!$H$3:$H$394,$A70,Artikelstamm!$U$3:$U$394)</f>
        <v/>
      </c>
    </row>
    <row r="71">
      <c r="A71" s="26" t="inlineStr">
        <is>
          <t>Küche</t>
        </is>
      </c>
      <c r="B71" s="33">
        <f>COUNTIF(Artikelstamm!$H$3:$H$394,$A71)</f>
        <v/>
      </c>
      <c r="C71" s="34">
        <f>SUMPRODUCT((Artikelstamm!$H$3:$H$394=$A71)*Artikelstamm!$K$3:$K$394*Artikelstamm!$AE$3:$AE$394)</f>
        <v/>
      </c>
      <c r="D71" s="34">
        <f>SUMIF(Artikelstamm!$H$3:$H$394,$A71,Artikelstamm!$U$3:$U$394)</f>
        <v/>
      </c>
    </row>
    <row r="72">
      <c r="A72" s="26" t="inlineStr">
        <is>
          <t>Küche / Essen</t>
        </is>
      </c>
      <c r="B72" s="33">
        <f>COUNTIF(Artikelstamm!$H$3:$H$394,$A72)</f>
        <v/>
      </c>
      <c r="C72" s="34">
        <f>SUMPRODUCT((Artikelstamm!$H$3:$H$394=$A72)*Artikelstamm!$K$3:$K$394*Artikelstamm!$AE$3:$AE$394)</f>
        <v/>
      </c>
      <c r="D72" s="34">
        <f>SUMIF(Artikelstamm!$H$3:$H$394,$A72,Artikelstamm!$U$3:$U$394)</f>
        <v/>
      </c>
    </row>
    <row r="73">
      <c r="A73" s="26" t="inlineStr">
        <is>
          <t>Material / Turnraum</t>
        </is>
      </c>
      <c r="B73" s="33">
        <f>COUNTIF(Artikelstamm!$H$3:$H$394,$A73)</f>
        <v/>
      </c>
      <c r="C73" s="34">
        <f>SUMPRODUCT((Artikelstamm!$H$3:$H$394=$A73)*Artikelstamm!$K$3:$K$394*Artikelstamm!$AE$3:$AE$394)</f>
        <v/>
      </c>
      <c r="D73" s="34">
        <f>SUMIF(Artikelstamm!$H$3:$H$394,$A73,Artikelstamm!$U$3:$U$394)</f>
        <v/>
      </c>
    </row>
    <row r="74">
      <c r="A74" s="26" t="inlineStr">
        <is>
          <t>Personal</t>
        </is>
      </c>
      <c r="B74" s="33">
        <f>COUNTIF(Artikelstamm!$H$3:$H$394,$A74)</f>
        <v/>
      </c>
      <c r="C74" s="34">
        <f>SUMPRODUCT((Artikelstamm!$H$3:$H$394=$A74)*Artikelstamm!$K$3:$K$394*Artikelstamm!$AE$3:$AE$394)</f>
        <v/>
      </c>
      <c r="D74" s="34">
        <f>SUMIF(Artikelstamm!$H$3:$H$394,$A74,Artikelstamm!$U$3:$U$394)</f>
        <v/>
      </c>
    </row>
    <row r="75">
      <c r="A75" s="26" t="inlineStr">
        <is>
          <t>Ruhe- / Schlafraum</t>
        </is>
      </c>
      <c r="B75" s="33">
        <f>COUNTIF(Artikelstamm!$H$3:$H$394,$A75)</f>
        <v/>
      </c>
      <c r="C75" s="34">
        <f>SUMPRODUCT((Artikelstamm!$H$3:$H$394=$A75)*Artikelstamm!$K$3:$K$394*Artikelstamm!$AE$3:$AE$394)</f>
        <v/>
      </c>
      <c r="D75" s="34">
        <f>SUMIF(Artikelstamm!$H$3:$H$394,$A75,Artikelstamm!$U$3:$U$394)</f>
        <v/>
      </c>
    </row>
    <row r="76">
      <c r="A76" s="26" t="inlineStr">
        <is>
          <t>Schlafraum</t>
        </is>
      </c>
      <c r="B76" s="33">
        <f>COUNTIF(Artikelstamm!$H$3:$H$394,$A76)</f>
        <v/>
      </c>
      <c r="C76" s="34">
        <f>SUMPRODUCT((Artikelstamm!$H$3:$H$394=$A76)*Artikelstamm!$K$3:$K$394*Artikelstamm!$AE$3:$AE$394)</f>
        <v/>
      </c>
      <c r="D76" s="34">
        <f>SUMIF(Artikelstamm!$H$3:$H$394,$A76,Artikelstamm!$U$3:$U$394)</f>
        <v/>
      </c>
    </row>
    <row r="77">
      <c r="A77" s="26" t="inlineStr">
        <is>
          <t>Schlafraum 2</t>
        </is>
      </c>
      <c r="B77" s="33">
        <f>COUNTIF(Artikelstamm!$H$3:$H$394,$A77)</f>
        <v/>
      </c>
      <c r="C77" s="34">
        <f>SUMPRODUCT((Artikelstamm!$H$3:$H$394=$A77)*Artikelstamm!$K$3:$K$394*Artikelstamm!$AE$3:$AE$394)</f>
        <v/>
      </c>
      <c r="D77" s="34">
        <f>SUMIF(Artikelstamm!$H$3:$H$394,$A77,Artikelstamm!$U$3:$U$394)</f>
        <v/>
      </c>
    </row>
    <row r="78">
      <c r="A78" s="26" t="inlineStr">
        <is>
          <t>Schlafraum 3</t>
        </is>
      </c>
      <c r="B78" s="33">
        <f>COUNTIF(Artikelstamm!$H$3:$H$394,$A78)</f>
        <v/>
      </c>
      <c r="C78" s="34">
        <f>SUMPRODUCT((Artikelstamm!$H$3:$H$394=$A78)*Artikelstamm!$K$3:$K$394*Artikelstamm!$AE$3:$AE$394)</f>
        <v/>
      </c>
      <c r="D78" s="34">
        <f>SUMIF(Artikelstamm!$H$3:$H$394,$A78,Artikelstamm!$U$3:$U$394)</f>
        <v/>
      </c>
    </row>
    <row r="79">
      <c r="A79" s="26" t="inlineStr">
        <is>
          <t>Schlafraum 4</t>
        </is>
      </c>
      <c r="B79" s="33">
        <f>COUNTIF(Artikelstamm!$H$3:$H$394,$A79)</f>
        <v/>
      </c>
      <c r="C79" s="34">
        <f>SUMPRODUCT((Artikelstamm!$H$3:$H$394=$A79)*Artikelstamm!$K$3:$K$394*Artikelstamm!$AE$3:$AE$394)</f>
        <v/>
      </c>
      <c r="D79" s="34">
        <f>SUMIF(Artikelstamm!$H$3:$H$394,$A79,Artikelstamm!$U$3:$U$394)</f>
        <v/>
      </c>
    </row>
    <row r="80">
      <c r="A80" s="26" t="inlineStr">
        <is>
          <t>Schlafraum 5</t>
        </is>
      </c>
      <c r="B80" s="33">
        <f>COUNTIF(Artikelstamm!$H$3:$H$394,$A80)</f>
        <v/>
      </c>
      <c r="C80" s="34">
        <f>SUMPRODUCT((Artikelstamm!$H$3:$H$394=$A80)*Artikelstamm!$K$3:$K$394*Artikelstamm!$AE$3:$AE$394)</f>
        <v/>
      </c>
      <c r="D80" s="34">
        <f>SUMIF(Artikelstamm!$H$3:$H$394,$A80,Artikelstamm!$U$3:$U$394)</f>
        <v/>
      </c>
    </row>
    <row r="81">
      <c r="A81" s="26" t="inlineStr">
        <is>
          <t>Speisesaal</t>
        </is>
      </c>
      <c r="B81" s="33">
        <f>COUNTIF(Artikelstamm!$H$3:$H$394,$A81)</f>
        <v/>
      </c>
      <c r="C81" s="34">
        <f>SUMPRODUCT((Artikelstamm!$H$3:$H$394=$A81)*Artikelstamm!$K$3:$K$394*Artikelstamm!$AE$3:$AE$394)</f>
        <v/>
      </c>
      <c r="D81" s="34">
        <f>SUMIF(Artikelstamm!$H$3:$H$394,$A81,Artikelstamm!$U$3:$U$394)</f>
        <v/>
      </c>
    </row>
    <row r="82">
      <c r="A82" s="26" t="inlineStr">
        <is>
          <t>Terrasse</t>
        </is>
      </c>
      <c r="B82" s="33">
        <f>COUNTIF(Artikelstamm!$H$3:$H$394,$A82)</f>
        <v/>
      </c>
      <c r="C82" s="34">
        <f>SUMPRODUCT((Artikelstamm!$H$3:$H$394=$A82)*Artikelstamm!$K$3:$K$394*Artikelstamm!$AE$3:$AE$394)</f>
        <v/>
      </c>
      <c r="D82" s="34">
        <f>SUMIF(Artikelstamm!$H$3:$H$394,$A82,Artikelstamm!$U$3:$U$394)</f>
        <v/>
      </c>
    </row>
    <row r="83">
      <c r="A83" s="26" t="inlineStr">
        <is>
          <t>Treppenraum 1</t>
        </is>
      </c>
      <c r="B83" s="33">
        <f>COUNTIF(Artikelstamm!$H$3:$H$394,$A83)</f>
        <v/>
      </c>
      <c r="C83" s="34">
        <f>SUMPRODUCT((Artikelstamm!$H$3:$H$394=$A83)*Artikelstamm!$K$3:$K$394*Artikelstamm!$AE$3:$AE$394)</f>
        <v/>
      </c>
      <c r="D83" s="34">
        <f>SUMIF(Artikelstamm!$H$3:$H$394,$A83,Artikelstamm!$U$3:$U$394)</f>
        <v/>
      </c>
    </row>
    <row r="84">
      <c r="A84" s="26" t="inlineStr">
        <is>
          <t>Turnraum</t>
        </is>
      </c>
      <c r="B84" s="33">
        <f>COUNTIF(Artikelstamm!$H$3:$H$394,$A84)</f>
        <v/>
      </c>
      <c r="C84" s="34">
        <f>SUMPRODUCT((Artikelstamm!$H$3:$H$394=$A84)*Artikelstamm!$K$3:$K$394*Artikelstamm!$AE$3:$AE$394)</f>
        <v/>
      </c>
      <c r="D84" s="34">
        <f>SUMIF(Artikelstamm!$H$3:$H$394,$A84,Artikelstamm!$U$3:$U$394)</f>
        <v/>
      </c>
    </row>
    <row r="85">
      <c r="A85" s="26" t="inlineStr">
        <is>
          <t>WC</t>
        </is>
      </c>
      <c r="B85" s="33">
        <f>COUNTIF(Artikelstamm!$H$3:$H$394,$A85)</f>
        <v/>
      </c>
      <c r="C85" s="34">
        <f>SUMPRODUCT((Artikelstamm!$H$3:$H$394=$A85)*Artikelstamm!$K$3:$K$394*Artikelstamm!$AE$3:$AE$394)</f>
        <v/>
      </c>
      <c r="D85" s="34">
        <f>SUMIF(Artikelstamm!$H$3:$H$394,$A85,Artikelstamm!$U$3:$U$394)</f>
        <v/>
      </c>
    </row>
    <row r="86">
      <c r="A86" s="26" t="inlineStr">
        <is>
          <t>WC Personal</t>
        </is>
      </c>
      <c r="B86" s="33">
        <f>COUNTIF(Artikelstamm!$H$3:$H$394,$A86)</f>
        <v/>
      </c>
      <c r="C86" s="34">
        <f>SUMPRODUCT((Artikelstamm!$H$3:$H$394=$A86)*Artikelstamm!$K$3:$K$394*Artikelstamm!$AE$3:$AE$394)</f>
        <v/>
      </c>
      <c r="D86" s="34">
        <f>SUMIF(Artikelstamm!$H$3:$H$394,$A86,Artikelstamm!$U$3:$U$394)</f>
        <v/>
      </c>
    </row>
    <row r="87">
      <c r="A87" s="26" t="inlineStr">
        <is>
          <t>Werkraum</t>
        </is>
      </c>
      <c r="B87" s="33">
        <f>COUNTIF(Artikelstamm!$H$3:$H$394,$A87)</f>
        <v/>
      </c>
      <c r="C87" s="34">
        <f>SUMPRODUCT((Artikelstamm!$H$3:$H$394=$A87)*Artikelstamm!$K$3:$K$394*Artikelstamm!$AE$3:$AE$394)</f>
        <v/>
      </c>
      <c r="D87" s="34">
        <f>SUMIF(Artikelstamm!$H$3:$H$394,$A87,Artikelstamm!$U$3:$U$394)</f>
        <v/>
      </c>
    </row>
    <row r="88">
      <c r="A88" s="28" t="inlineStr">
        <is>
          <t>Summe</t>
        </is>
      </c>
      <c r="B88" s="35">
        <f>SUM(B55:B87)</f>
        <v/>
      </c>
      <c r="C88" s="36">
        <f>SUM(C55:C87)</f>
        <v/>
      </c>
      <c r="D88" s="36">
        <f>SUM(D55:D87)</f>
        <v/>
      </c>
    </row>
    <row r="90">
      <c r="A90" s="25" t="inlineStr">
        <is>
          <t>Nach Verkaufskanal</t>
        </is>
      </c>
    </row>
    <row r="91">
      <c r="A91" s="32" t="inlineStr">
        <is>
          <t>Verkaufskanal</t>
        </is>
      </c>
      <c r="B91" s="32" t="inlineStr">
        <is>
          <t>Positionen</t>
        </is>
      </c>
      <c r="C91" s="32" t="inlineStr">
        <is>
          <t>Umsatz netto</t>
        </is>
      </c>
    </row>
    <row r="92">
      <c r="A92" s="26" t="inlineStr">
        <is>
          <t>Klinik</t>
        </is>
      </c>
      <c r="B92" s="33">
        <f>COUNTIF(Artikelstamm!$AC$3:$AC$394,$A92)</f>
        <v/>
      </c>
      <c r="C92" s="34">
        <f>SUMPRODUCT((Artikelstamm!$AC$3:$AC$394=$A92)*Artikelstamm!$K$3:$K$394*Artikelstamm!$AE$3:$AE$394)</f>
        <v/>
      </c>
    </row>
    <row r="93">
      <c r="A93" s="26" t="inlineStr">
        <is>
          <t>Kleinanzeigen</t>
        </is>
      </c>
      <c r="B93" s="33">
        <f>COUNTIF(Artikelstamm!$AC$3:$AC$394,$A93)</f>
        <v/>
      </c>
      <c r="C93" s="34">
        <f>SUMPRODUCT((Artikelstamm!$AC$3:$AC$394=$A93)*Artikelstamm!$K$3:$K$394*Artikelstamm!$AE$3:$AE$394)</f>
        <v/>
      </c>
    </row>
    <row r="94">
      <c r="A94" s="26" t="inlineStr">
        <is>
          <t>eBay</t>
        </is>
      </c>
      <c r="B94" s="33">
        <f>COUNTIF(Artikelstamm!$AC$3:$AC$394,$A94)</f>
        <v/>
      </c>
      <c r="C94" s="34">
        <f>SUMPRODUCT((Artikelstamm!$AC$3:$AC$394=$A94)*Artikelstamm!$K$3:$K$394*Artikelstamm!$AE$3:$AE$394)</f>
        <v/>
      </c>
    </row>
    <row r="95">
      <c r="A95" s="26" t="inlineStr">
        <is>
          <t>Direkt</t>
        </is>
      </c>
      <c r="B95" s="33">
        <f>COUNTIF(Artikelstamm!$AC$3:$AC$394,$A95)</f>
        <v/>
      </c>
      <c r="C95" s="34">
        <f>SUMPRODUCT((Artikelstamm!$AC$3:$AC$394=$A95)*Artikelstamm!$K$3:$K$394*Artikelstamm!$AE$3:$AE$394)</f>
        <v/>
      </c>
    </row>
    <row r="96">
      <c r="A96" s="26" t="inlineStr">
        <is>
          <t>Händler</t>
        </is>
      </c>
      <c r="B96" s="33">
        <f>COUNTIF(Artikelstamm!$AC$3:$AC$394,$A96)</f>
        <v/>
      </c>
      <c r="C96" s="34">
        <f>SUMPRODUCT((Artikelstamm!$AC$3:$AC$394=$A96)*Artikelstamm!$K$3:$K$394*Artikelstamm!$AE$3:$AE$394)</f>
        <v/>
      </c>
    </row>
    <row r="97">
      <c r="A97" s="26" t="inlineStr">
        <is>
          <t>Verkaufstag</t>
        </is>
      </c>
      <c r="B97" s="33">
        <f>COUNTIF(Artikelstamm!$AC$3:$AC$394,$A97)</f>
        <v/>
      </c>
      <c r="C97" s="34">
        <f>SUMPRODUCT((Artikelstamm!$AC$3:$AC$394=$A97)*Artikelstamm!$K$3:$K$394*Artikelstamm!$AE$3:$AE$394)</f>
        <v/>
      </c>
    </row>
    <row r="98">
      <c r="A98" s="28" t="inlineStr">
        <is>
          <t>Summe</t>
        </is>
      </c>
      <c r="B98" s="35">
        <f>SUM(B92:B97)</f>
        <v/>
      </c>
      <c r="C98" s="36">
        <f>SUM(C92:C97)</f>
        <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L45"/>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38" customWidth="1" min="3" max="3"/>
    <col width="26" customWidth="1" min="4" max="4"/>
    <col width="14" customWidth="1" min="5" max="5"/>
    <col width="13" customWidth="1" min="6" max="6"/>
    <col width="13" customWidth="1" min="7" max="7"/>
    <col width="13" customWidth="1" min="8" max="8"/>
    <col width="13" customWidth="1" min="9" max="9"/>
    <col width="18" customWidth="1" min="10" max="10"/>
    <col width="14" customWidth="1" min="11" max="11"/>
    <col width="13" customWidth="1" min="12" max="12"/>
  </cols>
  <sheetData>
    <row r="1">
      <c r="A1" s="37" t="inlineStr">
        <is>
          <t>Rechnungen – Abtippliste für DATEV Auftragswesen</t>
        </is>
      </c>
    </row>
    <row r="2" ht="34" customHeight="1">
      <c r="A2" s="38" t="inlineStr">
        <is>
          <t>Die Spalten stehen in der Reihenfolge der DATEV-Erfassungsmaske. Ausdrucken, abarbeiten, die DATEV-Rechnungsnummer hier und im Artikelstamm eintragen. USt und Brutto rechnen sich selbst. Die Rechnung selbst wird ausschließlich in DATEV erstellt – es gibt bewusst kein zweites Rechnungsdokument.</t>
        </is>
      </c>
    </row>
    <row r="4" ht="30" customHeight="1">
      <c r="A4" s="39" t="inlineStr">
        <is>
          <t>lfd.</t>
        </is>
      </c>
      <c r="B4" s="39" t="inlineStr">
        <is>
          <t>Käufer / Firma</t>
        </is>
      </c>
      <c r="C4" s="39" t="inlineStr">
        <is>
          <t>Anschrift</t>
        </is>
      </c>
      <c r="D4" s="39" t="inlineStr">
        <is>
          <t>Artikel (ArtNr)</t>
        </is>
      </c>
      <c r="E4" s="39" t="inlineStr">
        <is>
          <t>Leistungsdatum</t>
        </is>
      </c>
      <c r="F4" s="39" t="inlineStr">
        <is>
          <t>Netto</t>
        </is>
      </c>
      <c r="G4" s="39" t="inlineStr">
        <is>
          <t>USt 19 %</t>
        </is>
      </c>
      <c r="H4" s="39" t="inlineStr">
        <is>
          <t>Brutto</t>
        </is>
      </c>
      <c r="I4" s="39" t="inlineStr">
        <is>
          <t>Zahlart</t>
        </is>
      </c>
      <c r="J4" s="39" t="inlineStr">
        <is>
          <t>DATEV-Rechnungsnr</t>
        </is>
      </c>
      <c r="K4" s="39" t="inlineStr">
        <is>
          <t>geschrieben am</t>
        </is>
      </c>
      <c r="L4" s="39" t="inlineStr">
        <is>
          <t>bezahlt am</t>
        </is>
      </c>
    </row>
    <row r="5">
      <c r="A5" s="40" t="n">
        <v>1</v>
      </c>
      <c r="B5" s="41" t="n"/>
      <c r="C5" s="41" t="n"/>
      <c r="D5" s="41" t="n"/>
      <c r="E5" s="41" t="n"/>
      <c r="F5" s="42" t="n"/>
      <c r="G5" s="43">
        <f>IF(F5="","",F5*0.19)</f>
        <v/>
      </c>
      <c r="H5" s="43">
        <f>IF(F5="","",F5+G5)</f>
        <v/>
      </c>
      <c r="I5" s="41" t="n"/>
      <c r="J5" s="41" t="n"/>
      <c r="K5" s="41" t="n"/>
      <c r="L5" s="41" t="n"/>
    </row>
    <row r="6">
      <c r="A6" s="40" t="n">
        <v>2</v>
      </c>
      <c r="B6" s="41" t="n"/>
      <c r="C6" s="41" t="n"/>
      <c r="D6" s="41" t="n"/>
      <c r="E6" s="41" t="n"/>
      <c r="F6" s="42" t="n"/>
      <c r="G6" s="43">
        <f>IF(F6="","",F6*0.19)</f>
        <v/>
      </c>
      <c r="H6" s="43">
        <f>IF(F6="","",F6+G6)</f>
        <v/>
      </c>
      <c r="I6" s="41" t="n"/>
      <c r="J6" s="41" t="n"/>
      <c r="K6" s="41" t="n"/>
      <c r="L6" s="41" t="n"/>
    </row>
    <row r="7">
      <c r="A7" s="40" t="n">
        <v>3</v>
      </c>
      <c r="B7" s="41" t="n"/>
      <c r="C7" s="41" t="n"/>
      <c r="D7" s="41" t="n"/>
      <c r="E7" s="41" t="n"/>
      <c r="F7" s="42" t="n"/>
      <c r="G7" s="43">
        <f>IF(F7="","",F7*0.19)</f>
        <v/>
      </c>
      <c r="H7" s="43">
        <f>IF(F7="","",F7+G7)</f>
        <v/>
      </c>
      <c r="I7" s="41" t="n"/>
      <c r="J7" s="41" t="n"/>
      <c r="K7" s="41" t="n"/>
      <c r="L7" s="41" t="n"/>
    </row>
    <row r="8">
      <c r="A8" s="40" t="n">
        <v>4</v>
      </c>
      <c r="B8" s="41" t="n"/>
      <c r="C8" s="41" t="n"/>
      <c r="D8" s="41" t="n"/>
      <c r="E8" s="41" t="n"/>
      <c r="F8" s="42" t="n"/>
      <c r="G8" s="43">
        <f>IF(F8="","",F8*0.19)</f>
        <v/>
      </c>
      <c r="H8" s="43">
        <f>IF(F8="","",F8+G8)</f>
        <v/>
      </c>
      <c r="I8" s="41" t="n"/>
      <c r="J8" s="41" t="n"/>
      <c r="K8" s="41" t="n"/>
      <c r="L8" s="41" t="n"/>
    </row>
    <row r="9">
      <c r="A9" s="40" t="n">
        <v>5</v>
      </c>
      <c r="B9" s="41" t="n"/>
      <c r="C9" s="41" t="n"/>
      <c r="D9" s="41" t="n"/>
      <c r="E9" s="41" t="n"/>
      <c r="F9" s="42" t="n"/>
      <c r="G9" s="43">
        <f>IF(F9="","",F9*0.19)</f>
        <v/>
      </c>
      <c r="H9" s="43">
        <f>IF(F9="","",F9+G9)</f>
        <v/>
      </c>
      <c r="I9" s="41" t="n"/>
      <c r="J9" s="41" t="n"/>
      <c r="K9" s="41" t="n"/>
      <c r="L9" s="41" t="n"/>
    </row>
    <row r="10">
      <c r="A10" s="40" t="n">
        <v>6</v>
      </c>
      <c r="B10" s="41" t="n"/>
      <c r="C10" s="41" t="n"/>
      <c r="D10" s="41" t="n"/>
      <c r="E10" s="41" t="n"/>
      <c r="F10" s="42" t="n"/>
      <c r="G10" s="43">
        <f>IF(F10="","",F10*0.19)</f>
        <v/>
      </c>
      <c r="H10" s="43">
        <f>IF(F10="","",F10+G10)</f>
        <v/>
      </c>
      <c r="I10" s="41" t="n"/>
      <c r="J10" s="41" t="n"/>
      <c r="K10" s="41" t="n"/>
      <c r="L10" s="41" t="n"/>
    </row>
    <row r="11">
      <c r="A11" s="40" t="n">
        <v>7</v>
      </c>
      <c r="B11" s="41" t="n"/>
      <c r="C11" s="41" t="n"/>
      <c r="D11" s="41" t="n"/>
      <c r="E11" s="41" t="n"/>
      <c r="F11" s="42" t="n"/>
      <c r="G11" s="43">
        <f>IF(F11="","",F11*0.19)</f>
        <v/>
      </c>
      <c r="H11" s="43">
        <f>IF(F11="","",F11+G11)</f>
        <v/>
      </c>
      <c r="I11" s="41" t="n"/>
      <c r="J11" s="41" t="n"/>
      <c r="K11" s="41" t="n"/>
      <c r="L11" s="41" t="n"/>
    </row>
    <row r="12">
      <c r="A12" s="40" t="n">
        <v>8</v>
      </c>
      <c r="B12" s="41" t="n"/>
      <c r="C12" s="41" t="n"/>
      <c r="D12" s="41" t="n"/>
      <c r="E12" s="41" t="n"/>
      <c r="F12" s="42" t="n"/>
      <c r="G12" s="43">
        <f>IF(F12="","",F12*0.19)</f>
        <v/>
      </c>
      <c r="H12" s="43">
        <f>IF(F12="","",F12+G12)</f>
        <v/>
      </c>
      <c r="I12" s="41" t="n"/>
      <c r="J12" s="41" t="n"/>
      <c r="K12" s="41" t="n"/>
      <c r="L12" s="41" t="n"/>
    </row>
    <row r="13">
      <c r="A13" s="40" t="n">
        <v>9</v>
      </c>
      <c r="B13" s="41" t="n"/>
      <c r="C13" s="41" t="n"/>
      <c r="D13" s="41" t="n"/>
      <c r="E13" s="41" t="n"/>
      <c r="F13" s="42" t="n"/>
      <c r="G13" s="43">
        <f>IF(F13="","",F13*0.19)</f>
        <v/>
      </c>
      <c r="H13" s="43">
        <f>IF(F13="","",F13+G13)</f>
        <v/>
      </c>
      <c r="I13" s="41" t="n"/>
      <c r="J13" s="41" t="n"/>
      <c r="K13" s="41" t="n"/>
      <c r="L13" s="41" t="n"/>
    </row>
    <row r="14">
      <c r="A14" s="40" t="n">
        <v>10</v>
      </c>
      <c r="B14" s="41" t="n"/>
      <c r="C14" s="41" t="n"/>
      <c r="D14" s="41" t="n"/>
      <c r="E14" s="41" t="n"/>
      <c r="F14" s="42" t="n"/>
      <c r="G14" s="43">
        <f>IF(F14="","",F14*0.19)</f>
        <v/>
      </c>
      <c r="H14" s="43">
        <f>IF(F14="","",F14+G14)</f>
        <v/>
      </c>
      <c r="I14" s="41" t="n"/>
      <c r="J14" s="41" t="n"/>
      <c r="K14" s="41" t="n"/>
      <c r="L14" s="41" t="n"/>
    </row>
    <row r="15">
      <c r="A15" s="40" t="n">
        <v>11</v>
      </c>
      <c r="B15" s="41" t="n"/>
      <c r="C15" s="41" t="n"/>
      <c r="D15" s="41" t="n"/>
      <c r="E15" s="41" t="n"/>
      <c r="F15" s="42" t="n"/>
      <c r="G15" s="43">
        <f>IF(F15="","",F15*0.19)</f>
        <v/>
      </c>
      <c r="H15" s="43">
        <f>IF(F15="","",F15+G15)</f>
        <v/>
      </c>
      <c r="I15" s="41" t="n"/>
      <c r="J15" s="41" t="n"/>
      <c r="K15" s="41" t="n"/>
      <c r="L15" s="41" t="n"/>
    </row>
    <row r="16">
      <c r="A16" s="40" t="n">
        <v>12</v>
      </c>
      <c r="B16" s="41" t="n"/>
      <c r="C16" s="41" t="n"/>
      <c r="D16" s="41" t="n"/>
      <c r="E16" s="41" t="n"/>
      <c r="F16" s="42" t="n"/>
      <c r="G16" s="43">
        <f>IF(F16="","",F16*0.19)</f>
        <v/>
      </c>
      <c r="H16" s="43">
        <f>IF(F16="","",F16+G16)</f>
        <v/>
      </c>
      <c r="I16" s="41" t="n"/>
      <c r="J16" s="41" t="n"/>
      <c r="K16" s="41" t="n"/>
      <c r="L16" s="41" t="n"/>
    </row>
    <row r="17">
      <c r="A17" s="40" t="n">
        <v>13</v>
      </c>
      <c r="B17" s="41" t="n"/>
      <c r="C17" s="41" t="n"/>
      <c r="D17" s="41" t="n"/>
      <c r="E17" s="41" t="n"/>
      <c r="F17" s="42" t="n"/>
      <c r="G17" s="43">
        <f>IF(F17="","",F17*0.19)</f>
        <v/>
      </c>
      <c r="H17" s="43">
        <f>IF(F17="","",F17+G17)</f>
        <v/>
      </c>
      <c r="I17" s="41" t="n"/>
      <c r="J17" s="41" t="n"/>
      <c r="K17" s="41" t="n"/>
      <c r="L17" s="41" t="n"/>
    </row>
    <row r="18">
      <c r="A18" s="40" t="n">
        <v>14</v>
      </c>
      <c r="B18" s="41" t="n"/>
      <c r="C18" s="41" t="n"/>
      <c r="D18" s="41" t="n"/>
      <c r="E18" s="41" t="n"/>
      <c r="F18" s="42" t="n"/>
      <c r="G18" s="43">
        <f>IF(F18="","",F18*0.19)</f>
        <v/>
      </c>
      <c r="H18" s="43">
        <f>IF(F18="","",F18+G18)</f>
        <v/>
      </c>
      <c r="I18" s="41" t="n"/>
      <c r="J18" s="41" t="n"/>
      <c r="K18" s="41" t="n"/>
      <c r="L18" s="41" t="n"/>
    </row>
    <row r="19">
      <c r="A19" s="40" t="n">
        <v>15</v>
      </c>
      <c r="B19" s="41" t="n"/>
      <c r="C19" s="41" t="n"/>
      <c r="D19" s="41" t="n"/>
      <c r="E19" s="41" t="n"/>
      <c r="F19" s="42" t="n"/>
      <c r="G19" s="43">
        <f>IF(F19="","",F19*0.19)</f>
        <v/>
      </c>
      <c r="H19" s="43">
        <f>IF(F19="","",F19+G19)</f>
        <v/>
      </c>
      <c r="I19" s="41" t="n"/>
      <c r="J19" s="41" t="n"/>
      <c r="K19" s="41" t="n"/>
      <c r="L19" s="41" t="n"/>
    </row>
    <row r="20">
      <c r="A20" s="40" t="n">
        <v>16</v>
      </c>
      <c r="B20" s="41" t="n"/>
      <c r="C20" s="41" t="n"/>
      <c r="D20" s="41" t="n"/>
      <c r="E20" s="41" t="n"/>
      <c r="F20" s="42" t="n"/>
      <c r="G20" s="43">
        <f>IF(F20="","",F20*0.19)</f>
        <v/>
      </c>
      <c r="H20" s="43">
        <f>IF(F20="","",F20+G20)</f>
        <v/>
      </c>
      <c r="I20" s="41" t="n"/>
      <c r="J20" s="41" t="n"/>
      <c r="K20" s="41" t="n"/>
      <c r="L20" s="41" t="n"/>
    </row>
    <row r="21">
      <c r="A21" s="40" t="n">
        <v>17</v>
      </c>
      <c r="B21" s="41" t="n"/>
      <c r="C21" s="41" t="n"/>
      <c r="D21" s="41" t="n"/>
      <c r="E21" s="41" t="n"/>
      <c r="F21" s="42" t="n"/>
      <c r="G21" s="43">
        <f>IF(F21="","",F21*0.19)</f>
        <v/>
      </c>
      <c r="H21" s="43">
        <f>IF(F21="","",F21+G21)</f>
        <v/>
      </c>
      <c r="I21" s="41" t="n"/>
      <c r="J21" s="41" t="n"/>
      <c r="K21" s="41" t="n"/>
      <c r="L21" s="41" t="n"/>
    </row>
    <row r="22">
      <c r="A22" s="40" t="n">
        <v>18</v>
      </c>
      <c r="B22" s="41" t="n"/>
      <c r="C22" s="41" t="n"/>
      <c r="D22" s="41" t="n"/>
      <c r="E22" s="41" t="n"/>
      <c r="F22" s="42" t="n"/>
      <c r="G22" s="43">
        <f>IF(F22="","",F22*0.19)</f>
        <v/>
      </c>
      <c r="H22" s="43">
        <f>IF(F22="","",F22+G22)</f>
        <v/>
      </c>
      <c r="I22" s="41" t="n"/>
      <c r="J22" s="41" t="n"/>
      <c r="K22" s="41" t="n"/>
      <c r="L22" s="41" t="n"/>
    </row>
    <row r="23">
      <c r="A23" s="40" t="n">
        <v>19</v>
      </c>
      <c r="B23" s="41" t="n"/>
      <c r="C23" s="41" t="n"/>
      <c r="D23" s="41" t="n"/>
      <c r="E23" s="41" t="n"/>
      <c r="F23" s="42" t="n"/>
      <c r="G23" s="43">
        <f>IF(F23="","",F23*0.19)</f>
        <v/>
      </c>
      <c r="H23" s="43">
        <f>IF(F23="","",F23+G23)</f>
        <v/>
      </c>
      <c r="I23" s="41" t="n"/>
      <c r="J23" s="41" t="n"/>
      <c r="K23" s="41" t="n"/>
      <c r="L23" s="41" t="n"/>
    </row>
    <row r="24">
      <c r="A24" s="40" t="n">
        <v>20</v>
      </c>
      <c r="B24" s="41" t="n"/>
      <c r="C24" s="41" t="n"/>
      <c r="D24" s="41" t="n"/>
      <c r="E24" s="41" t="n"/>
      <c r="F24" s="42" t="n"/>
      <c r="G24" s="43">
        <f>IF(F24="","",F24*0.19)</f>
        <v/>
      </c>
      <c r="H24" s="43">
        <f>IF(F24="","",F24+G24)</f>
        <v/>
      </c>
      <c r="I24" s="41" t="n"/>
      <c r="J24" s="41" t="n"/>
      <c r="K24" s="41" t="n"/>
      <c r="L24" s="41" t="n"/>
    </row>
    <row r="25">
      <c r="A25" s="40" t="n">
        <v>21</v>
      </c>
      <c r="B25" s="41" t="n"/>
      <c r="C25" s="41" t="n"/>
      <c r="D25" s="41" t="n"/>
      <c r="E25" s="41" t="n"/>
      <c r="F25" s="42" t="n"/>
      <c r="G25" s="43">
        <f>IF(F25="","",F25*0.19)</f>
        <v/>
      </c>
      <c r="H25" s="43">
        <f>IF(F25="","",F25+G25)</f>
        <v/>
      </c>
      <c r="I25" s="41" t="n"/>
      <c r="J25" s="41" t="n"/>
      <c r="K25" s="41" t="n"/>
      <c r="L25" s="41" t="n"/>
    </row>
    <row r="26">
      <c r="A26" s="40" t="n">
        <v>22</v>
      </c>
      <c r="B26" s="41" t="n"/>
      <c r="C26" s="41" t="n"/>
      <c r="D26" s="41" t="n"/>
      <c r="E26" s="41" t="n"/>
      <c r="F26" s="42" t="n"/>
      <c r="G26" s="43">
        <f>IF(F26="","",F26*0.19)</f>
        <v/>
      </c>
      <c r="H26" s="43">
        <f>IF(F26="","",F26+G26)</f>
        <v/>
      </c>
      <c r="I26" s="41" t="n"/>
      <c r="J26" s="41" t="n"/>
      <c r="K26" s="41" t="n"/>
      <c r="L26" s="41" t="n"/>
    </row>
    <row r="27">
      <c r="A27" s="40" t="n">
        <v>23</v>
      </c>
      <c r="B27" s="41" t="n"/>
      <c r="C27" s="41" t="n"/>
      <c r="D27" s="41" t="n"/>
      <c r="E27" s="41" t="n"/>
      <c r="F27" s="42" t="n"/>
      <c r="G27" s="43">
        <f>IF(F27="","",F27*0.19)</f>
        <v/>
      </c>
      <c r="H27" s="43">
        <f>IF(F27="","",F27+G27)</f>
        <v/>
      </c>
      <c r="I27" s="41" t="n"/>
      <c r="J27" s="41" t="n"/>
      <c r="K27" s="41" t="n"/>
      <c r="L27" s="41" t="n"/>
    </row>
    <row r="28">
      <c r="A28" s="40" t="n">
        <v>24</v>
      </c>
      <c r="B28" s="41" t="n"/>
      <c r="C28" s="41" t="n"/>
      <c r="D28" s="41" t="n"/>
      <c r="E28" s="41" t="n"/>
      <c r="F28" s="42" t="n"/>
      <c r="G28" s="43">
        <f>IF(F28="","",F28*0.19)</f>
        <v/>
      </c>
      <c r="H28" s="43">
        <f>IF(F28="","",F28+G28)</f>
        <v/>
      </c>
      <c r="I28" s="41" t="n"/>
      <c r="J28" s="41" t="n"/>
      <c r="K28" s="41" t="n"/>
      <c r="L28" s="41" t="n"/>
    </row>
    <row r="29">
      <c r="A29" s="40" t="n">
        <v>25</v>
      </c>
      <c r="B29" s="41" t="n"/>
      <c r="C29" s="41" t="n"/>
      <c r="D29" s="41" t="n"/>
      <c r="E29" s="41" t="n"/>
      <c r="F29" s="42" t="n"/>
      <c r="G29" s="43">
        <f>IF(F29="","",F29*0.19)</f>
        <v/>
      </c>
      <c r="H29" s="43">
        <f>IF(F29="","",F29+G29)</f>
        <v/>
      </c>
      <c r="I29" s="41" t="n"/>
      <c r="J29" s="41" t="n"/>
      <c r="K29" s="41" t="n"/>
      <c r="L29" s="41" t="n"/>
    </row>
    <row r="30">
      <c r="A30" s="40" t="n">
        <v>26</v>
      </c>
      <c r="B30" s="41" t="n"/>
      <c r="C30" s="41" t="n"/>
      <c r="D30" s="41" t="n"/>
      <c r="E30" s="41" t="n"/>
      <c r="F30" s="42" t="n"/>
      <c r="G30" s="43">
        <f>IF(F30="","",F30*0.19)</f>
        <v/>
      </c>
      <c r="H30" s="43">
        <f>IF(F30="","",F30+G30)</f>
        <v/>
      </c>
      <c r="I30" s="41" t="n"/>
      <c r="J30" s="41" t="n"/>
      <c r="K30" s="41" t="n"/>
      <c r="L30" s="41" t="n"/>
    </row>
    <row r="31">
      <c r="A31" s="40" t="n">
        <v>27</v>
      </c>
      <c r="B31" s="41" t="n"/>
      <c r="C31" s="41" t="n"/>
      <c r="D31" s="41" t="n"/>
      <c r="E31" s="41" t="n"/>
      <c r="F31" s="42" t="n"/>
      <c r="G31" s="43">
        <f>IF(F31="","",F31*0.19)</f>
        <v/>
      </c>
      <c r="H31" s="43">
        <f>IF(F31="","",F31+G31)</f>
        <v/>
      </c>
      <c r="I31" s="41" t="n"/>
      <c r="J31" s="41" t="n"/>
      <c r="K31" s="41" t="n"/>
      <c r="L31" s="41" t="n"/>
    </row>
    <row r="32">
      <c r="A32" s="40" t="n">
        <v>28</v>
      </c>
      <c r="B32" s="41" t="n"/>
      <c r="C32" s="41" t="n"/>
      <c r="D32" s="41" t="n"/>
      <c r="E32" s="41" t="n"/>
      <c r="F32" s="42" t="n"/>
      <c r="G32" s="43">
        <f>IF(F32="","",F32*0.19)</f>
        <v/>
      </c>
      <c r="H32" s="43">
        <f>IF(F32="","",F32+G32)</f>
        <v/>
      </c>
      <c r="I32" s="41" t="n"/>
      <c r="J32" s="41" t="n"/>
      <c r="K32" s="41" t="n"/>
      <c r="L32" s="41" t="n"/>
    </row>
    <row r="33">
      <c r="A33" s="40" t="n">
        <v>29</v>
      </c>
      <c r="B33" s="41" t="n"/>
      <c r="C33" s="41" t="n"/>
      <c r="D33" s="41" t="n"/>
      <c r="E33" s="41" t="n"/>
      <c r="F33" s="42" t="n"/>
      <c r="G33" s="43">
        <f>IF(F33="","",F33*0.19)</f>
        <v/>
      </c>
      <c r="H33" s="43">
        <f>IF(F33="","",F33+G33)</f>
        <v/>
      </c>
      <c r="I33" s="41" t="n"/>
      <c r="J33" s="41" t="n"/>
      <c r="K33" s="41" t="n"/>
      <c r="L33" s="41" t="n"/>
    </row>
    <row r="34">
      <c r="A34" s="40" t="n">
        <v>30</v>
      </c>
      <c r="B34" s="41" t="n"/>
      <c r="C34" s="41" t="n"/>
      <c r="D34" s="41" t="n"/>
      <c r="E34" s="41" t="n"/>
      <c r="F34" s="42" t="n"/>
      <c r="G34" s="43">
        <f>IF(F34="","",F34*0.19)</f>
        <v/>
      </c>
      <c r="H34" s="43">
        <f>IF(F34="","",F34+G34)</f>
        <v/>
      </c>
      <c r="I34" s="41" t="n"/>
      <c r="J34" s="41" t="n"/>
      <c r="K34" s="41" t="n"/>
      <c r="L34" s="41" t="n"/>
    </row>
    <row r="35">
      <c r="A35" s="40" t="n">
        <v>31</v>
      </c>
      <c r="B35" s="41" t="n"/>
      <c r="C35" s="41" t="n"/>
      <c r="D35" s="41" t="n"/>
      <c r="E35" s="41" t="n"/>
      <c r="F35" s="42" t="n"/>
      <c r="G35" s="43">
        <f>IF(F35="","",F35*0.19)</f>
        <v/>
      </c>
      <c r="H35" s="43">
        <f>IF(F35="","",F35+G35)</f>
        <v/>
      </c>
      <c r="I35" s="41" t="n"/>
      <c r="J35" s="41" t="n"/>
      <c r="K35" s="41" t="n"/>
      <c r="L35" s="41" t="n"/>
    </row>
    <row r="36">
      <c r="A36" s="40" t="n">
        <v>32</v>
      </c>
      <c r="B36" s="41" t="n"/>
      <c r="C36" s="41" t="n"/>
      <c r="D36" s="41" t="n"/>
      <c r="E36" s="41" t="n"/>
      <c r="F36" s="42" t="n"/>
      <c r="G36" s="43">
        <f>IF(F36="","",F36*0.19)</f>
        <v/>
      </c>
      <c r="H36" s="43">
        <f>IF(F36="","",F36+G36)</f>
        <v/>
      </c>
      <c r="I36" s="41" t="n"/>
      <c r="J36" s="41" t="n"/>
      <c r="K36" s="41" t="n"/>
      <c r="L36" s="41" t="n"/>
    </row>
    <row r="37">
      <c r="A37" s="40" t="n">
        <v>33</v>
      </c>
      <c r="B37" s="41" t="n"/>
      <c r="C37" s="41" t="n"/>
      <c r="D37" s="41" t="n"/>
      <c r="E37" s="41" t="n"/>
      <c r="F37" s="42" t="n"/>
      <c r="G37" s="43">
        <f>IF(F37="","",F37*0.19)</f>
        <v/>
      </c>
      <c r="H37" s="43">
        <f>IF(F37="","",F37+G37)</f>
        <v/>
      </c>
      <c r="I37" s="41" t="n"/>
      <c r="J37" s="41" t="n"/>
      <c r="K37" s="41" t="n"/>
      <c r="L37" s="41" t="n"/>
    </row>
    <row r="38">
      <c r="A38" s="40" t="n">
        <v>34</v>
      </c>
      <c r="B38" s="41" t="n"/>
      <c r="C38" s="41" t="n"/>
      <c r="D38" s="41" t="n"/>
      <c r="E38" s="41" t="n"/>
      <c r="F38" s="42" t="n"/>
      <c r="G38" s="43">
        <f>IF(F38="","",F38*0.19)</f>
        <v/>
      </c>
      <c r="H38" s="43">
        <f>IF(F38="","",F38+G38)</f>
        <v/>
      </c>
      <c r="I38" s="41" t="n"/>
      <c r="J38" s="41" t="n"/>
      <c r="K38" s="41" t="n"/>
      <c r="L38" s="41" t="n"/>
    </row>
    <row r="39">
      <c r="A39" s="40" t="n">
        <v>35</v>
      </c>
      <c r="B39" s="41" t="n"/>
      <c r="C39" s="41" t="n"/>
      <c r="D39" s="41" t="n"/>
      <c r="E39" s="41" t="n"/>
      <c r="F39" s="42" t="n"/>
      <c r="G39" s="43">
        <f>IF(F39="","",F39*0.19)</f>
        <v/>
      </c>
      <c r="H39" s="43">
        <f>IF(F39="","",F39+G39)</f>
        <v/>
      </c>
      <c r="I39" s="41" t="n"/>
      <c r="J39" s="41" t="n"/>
      <c r="K39" s="41" t="n"/>
      <c r="L39" s="41" t="n"/>
    </row>
    <row r="40">
      <c r="A40" s="40" t="n">
        <v>36</v>
      </c>
      <c r="B40" s="41" t="n"/>
      <c r="C40" s="41" t="n"/>
      <c r="D40" s="41" t="n"/>
      <c r="E40" s="41" t="n"/>
      <c r="F40" s="42" t="n"/>
      <c r="G40" s="43">
        <f>IF(F40="","",F40*0.19)</f>
        <v/>
      </c>
      <c r="H40" s="43">
        <f>IF(F40="","",F40+G40)</f>
        <v/>
      </c>
      <c r="I40" s="41" t="n"/>
      <c r="J40" s="41" t="n"/>
      <c r="K40" s="41" t="n"/>
      <c r="L40" s="41" t="n"/>
    </row>
    <row r="41">
      <c r="A41" s="40" t="n">
        <v>37</v>
      </c>
      <c r="B41" s="41" t="n"/>
      <c r="C41" s="41" t="n"/>
      <c r="D41" s="41" t="n"/>
      <c r="E41" s="41" t="n"/>
      <c r="F41" s="42" t="n"/>
      <c r="G41" s="43">
        <f>IF(F41="","",F41*0.19)</f>
        <v/>
      </c>
      <c r="H41" s="43">
        <f>IF(F41="","",F41+G41)</f>
        <v/>
      </c>
      <c r="I41" s="41" t="n"/>
      <c r="J41" s="41" t="n"/>
      <c r="K41" s="41" t="n"/>
      <c r="L41" s="41" t="n"/>
    </row>
    <row r="42">
      <c r="A42" s="40" t="n">
        <v>38</v>
      </c>
      <c r="B42" s="41" t="n"/>
      <c r="C42" s="41" t="n"/>
      <c r="D42" s="41" t="n"/>
      <c r="E42" s="41" t="n"/>
      <c r="F42" s="42" t="n"/>
      <c r="G42" s="43">
        <f>IF(F42="","",F42*0.19)</f>
        <v/>
      </c>
      <c r="H42" s="43">
        <f>IF(F42="","",F42+G42)</f>
        <v/>
      </c>
      <c r="I42" s="41" t="n"/>
      <c r="J42" s="41" t="n"/>
      <c r="K42" s="41" t="n"/>
      <c r="L42" s="41" t="n"/>
    </row>
    <row r="43">
      <c r="A43" s="40" t="n">
        <v>39</v>
      </c>
      <c r="B43" s="41" t="n"/>
      <c r="C43" s="41" t="n"/>
      <c r="D43" s="41" t="n"/>
      <c r="E43" s="41" t="n"/>
      <c r="F43" s="42" t="n"/>
      <c r="G43" s="43">
        <f>IF(F43="","",F43*0.19)</f>
        <v/>
      </c>
      <c r="H43" s="43">
        <f>IF(F43="","",F43+G43)</f>
        <v/>
      </c>
      <c r="I43" s="41" t="n"/>
      <c r="J43" s="41" t="n"/>
      <c r="K43" s="41" t="n"/>
      <c r="L43" s="41" t="n"/>
    </row>
    <row r="44">
      <c r="A44" s="40" t="n">
        <v>40</v>
      </c>
      <c r="B44" s="41" t="n"/>
      <c r="C44" s="41" t="n"/>
      <c r="D44" s="41" t="n"/>
      <c r="E44" s="41" t="n"/>
      <c r="F44" s="42" t="n"/>
      <c r="G44" s="43">
        <f>IF(F44="","",F44*0.19)</f>
        <v/>
      </c>
      <c r="H44" s="43">
        <f>IF(F44="","",F44+G44)</f>
        <v/>
      </c>
      <c r="I44" s="41" t="n"/>
      <c r="J44" s="41" t="n"/>
      <c r="K44" s="41" t="n"/>
      <c r="L44" s="41" t="n"/>
    </row>
    <row r="45">
      <c r="E45" s="44" t="inlineStr">
        <is>
          <t>Summe</t>
        </is>
      </c>
      <c r="F45" s="45">
        <f>SUM(F5:F44)</f>
        <v/>
      </c>
      <c r="G45" s="45">
        <f>SUM(G5:G44)</f>
        <v/>
      </c>
      <c r="H45" s="45">
        <f>SUM(H5:H44)</f>
        <v/>
      </c>
    </row>
  </sheetData>
  <mergeCells count="1">
    <mergeCell ref="A2:L2"/>
  </mergeCell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37" t="inlineStr">
        <is>
          <t>Kassenbuch Barverkäufe</t>
        </is>
      </c>
    </row>
    <row r="2" ht="32" customHeight="1">
      <c r="A2" s="38"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39" t="inlineStr">
        <is>
          <t>Datum</t>
        </is>
      </c>
      <c r="B4" s="39" t="inlineStr">
        <is>
          <t>Beleg-Nr</t>
        </is>
      </c>
      <c r="C4" s="39" t="inlineStr">
        <is>
          <t>Vorgang / Käufer</t>
        </is>
      </c>
      <c r="D4" s="39" t="inlineStr">
        <is>
          <t>Einnahme brutto</t>
        </is>
      </c>
      <c r="E4" s="39" t="inlineStr">
        <is>
          <t>davon USt 19 %</t>
        </is>
      </c>
      <c r="F4" s="39" t="inlineStr">
        <is>
          <t>netto</t>
        </is>
      </c>
      <c r="G4" s="39" t="inlineStr">
        <is>
          <t>Ausgabe brutto</t>
        </is>
      </c>
      <c r="H4" s="39" t="inlineStr">
        <is>
          <t>Kassenbestand</t>
        </is>
      </c>
    </row>
    <row r="5">
      <c r="C5" t="inlineStr">
        <is>
          <t>Anfangsbestand Kasse</t>
        </is>
      </c>
      <c r="H5" s="46" t="n">
        <v>0</v>
      </c>
    </row>
    <row r="6">
      <c r="A6" s="41" t="n"/>
      <c r="B6" s="41" t="n"/>
      <c r="C6" s="41" t="n"/>
      <c r="D6" s="42" t="n"/>
      <c r="E6" s="43">
        <f>IF(D6="","",D6-D6/1.19)</f>
        <v/>
      </c>
      <c r="F6" s="43">
        <f>IF(D6="","",D6/1.19)</f>
        <v/>
      </c>
      <c r="G6" s="42" t="n"/>
      <c r="H6" s="43">
        <f>H5+IF(D6="",0,D6)-IF(G6="",0,G6)</f>
        <v/>
      </c>
    </row>
    <row r="7">
      <c r="A7" s="41" t="n"/>
      <c r="B7" s="41" t="n"/>
      <c r="C7" s="41" t="n"/>
      <c r="D7" s="42" t="n"/>
      <c r="E7" s="43">
        <f>IF(D7="","",D7-D7/1.19)</f>
        <v/>
      </c>
      <c r="F7" s="43">
        <f>IF(D7="","",D7/1.19)</f>
        <v/>
      </c>
      <c r="G7" s="42" t="n"/>
      <c r="H7" s="43">
        <f>H6+IF(D7="",0,D7)-IF(G7="",0,G7)</f>
        <v/>
      </c>
    </row>
    <row r="8">
      <c r="A8" s="41" t="n"/>
      <c r="B8" s="41" t="n"/>
      <c r="C8" s="41" t="n"/>
      <c r="D8" s="42" t="n"/>
      <c r="E8" s="43">
        <f>IF(D8="","",D8-D8/1.19)</f>
        <v/>
      </c>
      <c r="F8" s="43">
        <f>IF(D8="","",D8/1.19)</f>
        <v/>
      </c>
      <c r="G8" s="42" t="n"/>
      <c r="H8" s="43">
        <f>H7+IF(D8="",0,D8)-IF(G8="",0,G8)</f>
        <v/>
      </c>
    </row>
    <row r="9">
      <c r="A9" s="41" t="n"/>
      <c r="B9" s="41" t="n"/>
      <c r="C9" s="41" t="n"/>
      <c r="D9" s="42" t="n"/>
      <c r="E9" s="43">
        <f>IF(D9="","",D9-D9/1.19)</f>
        <v/>
      </c>
      <c r="F9" s="43">
        <f>IF(D9="","",D9/1.19)</f>
        <v/>
      </c>
      <c r="G9" s="42" t="n"/>
      <c r="H9" s="43">
        <f>H8+IF(D9="",0,D9)-IF(G9="",0,G9)</f>
        <v/>
      </c>
    </row>
    <row r="10">
      <c r="A10" s="41" t="n"/>
      <c r="B10" s="41" t="n"/>
      <c r="C10" s="41" t="n"/>
      <c r="D10" s="42" t="n"/>
      <c r="E10" s="43">
        <f>IF(D10="","",D10-D10/1.19)</f>
        <v/>
      </c>
      <c r="F10" s="43">
        <f>IF(D10="","",D10/1.19)</f>
        <v/>
      </c>
      <c r="G10" s="42" t="n"/>
      <c r="H10" s="43">
        <f>H9+IF(D10="",0,D10)-IF(G10="",0,G10)</f>
        <v/>
      </c>
    </row>
    <row r="11">
      <c r="A11" s="41" t="n"/>
      <c r="B11" s="41" t="n"/>
      <c r="C11" s="41" t="n"/>
      <c r="D11" s="42" t="n"/>
      <c r="E11" s="43">
        <f>IF(D11="","",D11-D11/1.19)</f>
        <v/>
      </c>
      <c r="F11" s="43">
        <f>IF(D11="","",D11/1.19)</f>
        <v/>
      </c>
      <c r="G11" s="42" t="n"/>
      <c r="H11" s="43">
        <f>H10+IF(D11="",0,D11)-IF(G11="",0,G11)</f>
        <v/>
      </c>
    </row>
    <row r="12">
      <c r="A12" s="41" t="n"/>
      <c r="B12" s="41" t="n"/>
      <c r="C12" s="41" t="n"/>
      <c r="D12" s="42" t="n"/>
      <c r="E12" s="43">
        <f>IF(D12="","",D12-D12/1.19)</f>
        <v/>
      </c>
      <c r="F12" s="43">
        <f>IF(D12="","",D12/1.19)</f>
        <v/>
      </c>
      <c r="G12" s="42" t="n"/>
      <c r="H12" s="43">
        <f>H11+IF(D12="",0,D12)-IF(G12="",0,G12)</f>
        <v/>
      </c>
    </row>
    <row r="13">
      <c r="A13" s="41" t="n"/>
      <c r="B13" s="41" t="n"/>
      <c r="C13" s="41" t="n"/>
      <c r="D13" s="42" t="n"/>
      <c r="E13" s="43">
        <f>IF(D13="","",D13-D13/1.19)</f>
        <v/>
      </c>
      <c r="F13" s="43">
        <f>IF(D13="","",D13/1.19)</f>
        <v/>
      </c>
      <c r="G13" s="42" t="n"/>
      <c r="H13" s="43">
        <f>H12+IF(D13="",0,D13)-IF(G13="",0,G13)</f>
        <v/>
      </c>
    </row>
    <row r="14">
      <c r="A14" s="41" t="n"/>
      <c r="B14" s="41" t="n"/>
      <c r="C14" s="41" t="n"/>
      <c r="D14" s="42" t="n"/>
      <c r="E14" s="43">
        <f>IF(D14="","",D14-D14/1.19)</f>
        <v/>
      </c>
      <c r="F14" s="43">
        <f>IF(D14="","",D14/1.19)</f>
        <v/>
      </c>
      <c r="G14" s="42" t="n"/>
      <c r="H14" s="43">
        <f>H13+IF(D14="",0,D14)-IF(G14="",0,G14)</f>
        <v/>
      </c>
    </row>
    <row r="15">
      <c r="A15" s="41" t="n"/>
      <c r="B15" s="41" t="n"/>
      <c r="C15" s="41" t="n"/>
      <c r="D15" s="42" t="n"/>
      <c r="E15" s="43">
        <f>IF(D15="","",D15-D15/1.19)</f>
        <v/>
      </c>
      <c r="F15" s="43">
        <f>IF(D15="","",D15/1.19)</f>
        <v/>
      </c>
      <c r="G15" s="42" t="n"/>
      <c r="H15" s="43">
        <f>H14+IF(D15="",0,D15)-IF(G15="",0,G15)</f>
        <v/>
      </c>
    </row>
    <row r="16">
      <c r="A16" s="41" t="n"/>
      <c r="B16" s="41" t="n"/>
      <c r="C16" s="41" t="n"/>
      <c r="D16" s="42" t="n"/>
      <c r="E16" s="43">
        <f>IF(D16="","",D16-D16/1.19)</f>
        <v/>
      </c>
      <c r="F16" s="43">
        <f>IF(D16="","",D16/1.19)</f>
        <v/>
      </c>
      <c r="G16" s="42" t="n"/>
      <c r="H16" s="43">
        <f>H15+IF(D16="",0,D16)-IF(G16="",0,G16)</f>
        <v/>
      </c>
    </row>
    <row r="17">
      <c r="A17" s="41" t="n"/>
      <c r="B17" s="41" t="n"/>
      <c r="C17" s="41" t="n"/>
      <c r="D17" s="42" t="n"/>
      <c r="E17" s="43">
        <f>IF(D17="","",D17-D17/1.19)</f>
        <v/>
      </c>
      <c r="F17" s="43">
        <f>IF(D17="","",D17/1.19)</f>
        <v/>
      </c>
      <c r="G17" s="42" t="n"/>
      <c r="H17" s="43">
        <f>H16+IF(D17="",0,D17)-IF(G17="",0,G17)</f>
        <v/>
      </c>
    </row>
    <row r="18">
      <c r="A18" s="41" t="n"/>
      <c r="B18" s="41" t="n"/>
      <c r="C18" s="41" t="n"/>
      <c r="D18" s="42" t="n"/>
      <c r="E18" s="43">
        <f>IF(D18="","",D18-D18/1.19)</f>
        <v/>
      </c>
      <c r="F18" s="43">
        <f>IF(D18="","",D18/1.19)</f>
        <v/>
      </c>
      <c r="G18" s="42" t="n"/>
      <c r="H18" s="43">
        <f>H17+IF(D18="",0,D18)-IF(G18="",0,G18)</f>
        <v/>
      </c>
    </row>
    <row r="19">
      <c r="A19" s="41" t="n"/>
      <c r="B19" s="41" t="n"/>
      <c r="C19" s="41" t="n"/>
      <c r="D19" s="42" t="n"/>
      <c r="E19" s="43">
        <f>IF(D19="","",D19-D19/1.19)</f>
        <v/>
      </c>
      <c r="F19" s="43">
        <f>IF(D19="","",D19/1.19)</f>
        <v/>
      </c>
      <c r="G19" s="42" t="n"/>
      <c r="H19" s="43">
        <f>H18+IF(D19="",0,D19)-IF(G19="",0,G19)</f>
        <v/>
      </c>
    </row>
    <row r="20">
      <c r="A20" s="41" t="n"/>
      <c r="B20" s="41" t="n"/>
      <c r="C20" s="41" t="n"/>
      <c r="D20" s="42" t="n"/>
      <c r="E20" s="43">
        <f>IF(D20="","",D20-D20/1.19)</f>
        <v/>
      </c>
      <c r="F20" s="43">
        <f>IF(D20="","",D20/1.19)</f>
        <v/>
      </c>
      <c r="G20" s="42" t="n"/>
      <c r="H20" s="43">
        <f>H19+IF(D20="",0,D20)-IF(G20="",0,G20)</f>
        <v/>
      </c>
    </row>
    <row r="21">
      <c r="A21" s="41" t="n"/>
      <c r="B21" s="41" t="n"/>
      <c r="C21" s="41" t="n"/>
      <c r="D21" s="42" t="n"/>
      <c r="E21" s="43">
        <f>IF(D21="","",D21-D21/1.19)</f>
        <v/>
      </c>
      <c r="F21" s="43">
        <f>IF(D21="","",D21/1.19)</f>
        <v/>
      </c>
      <c r="G21" s="42" t="n"/>
      <c r="H21" s="43">
        <f>H20+IF(D21="",0,D21)-IF(G21="",0,G21)</f>
        <v/>
      </c>
    </row>
    <row r="22">
      <c r="A22" s="41" t="n"/>
      <c r="B22" s="41" t="n"/>
      <c r="C22" s="41" t="n"/>
      <c r="D22" s="42" t="n"/>
      <c r="E22" s="43">
        <f>IF(D22="","",D22-D22/1.19)</f>
        <v/>
      </c>
      <c r="F22" s="43">
        <f>IF(D22="","",D22/1.19)</f>
        <v/>
      </c>
      <c r="G22" s="42" t="n"/>
      <c r="H22" s="43">
        <f>H21+IF(D22="",0,D22)-IF(G22="",0,G22)</f>
        <v/>
      </c>
    </row>
    <row r="23">
      <c r="A23" s="41" t="n"/>
      <c r="B23" s="41" t="n"/>
      <c r="C23" s="41" t="n"/>
      <c r="D23" s="42" t="n"/>
      <c r="E23" s="43">
        <f>IF(D23="","",D23-D23/1.19)</f>
        <v/>
      </c>
      <c r="F23" s="43">
        <f>IF(D23="","",D23/1.19)</f>
        <v/>
      </c>
      <c r="G23" s="42" t="n"/>
      <c r="H23" s="43">
        <f>H22+IF(D23="",0,D23)-IF(G23="",0,G23)</f>
        <v/>
      </c>
    </row>
    <row r="24">
      <c r="A24" s="41" t="n"/>
      <c r="B24" s="41" t="n"/>
      <c r="C24" s="41" t="n"/>
      <c r="D24" s="42" t="n"/>
      <c r="E24" s="43">
        <f>IF(D24="","",D24-D24/1.19)</f>
        <v/>
      </c>
      <c r="F24" s="43">
        <f>IF(D24="","",D24/1.19)</f>
        <v/>
      </c>
      <c r="G24" s="42" t="n"/>
      <c r="H24" s="43">
        <f>H23+IF(D24="",0,D24)-IF(G24="",0,G24)</f>
        <v/>
      </c>
    </row>
    <row r="25">
      <c r="A25" s="41" t="n"/>
      <c r="B25" s="41" t="n"/>
      <c r="C25" s="41" t="n"/>
      <c r="D25" s="42" t="n"/>
      <c r="E25" s="43">
        <f>IF(D25="","",D25-D25/1.19)</f>
        <v/>
      </c>
      <c r="F25" s="43">
        <f>IF(D25="","",D25/1.19)</f>
        <v/>
      </c>
      <c r="G25" s="42" t="n"/>
      <c r="H25" s="43">
        <f>H24+IF(D25="",0,D25)-IF(G25="",0,G25)</f>
        <v/>
      </c>
    </row>
    <row r="26">
      <c r="A26" s="41" t="n"/>
      <c r="B26" s="41" t="n"/>
      <c r="C26" s="41" t="n"/>
      <c r="D26" s="42" t="n"/>
      <c r="E26" s="43">
        <f>IF(D26="","",D26-D26/1.19)</f>
        <v/>
      </c>
      <c r="F26" s="43">
        <f>IF(D26="","",D26/1.19)</f>
        <v/>
      </c>
      <c r="G26" s="42" t="n"/>
      <c r="H26" s="43">
        <f>H25+IF(D26="",0,D26)-IF(G26="",0,G26)</f>
        <v/>
      </c>
    </row>
    <row r="27">
      <c r="A27" s="41" t="n"/>
      <c r="B27" s="41" t="n"/>
      <c r="C27" s="41" t="n"/>
      <c r="D27" s="42" t="n"/>
      <c r="E27" s="43">
        <f>IF(D27="","",D27-D27/1.19)</f>
        <v/>
      </c>
      <c r="F27" s="43">
        <f>IF(D27="","",D27/1.19)</f>
        <v/>
      </c>
      <c r="G27" s="42" t="n"/>
      <c r="H27" s="43">
        <f>H26+IF(D27="",0,D27)-IF(G27="",0,G27)</f>
        <v/>
      </c>
    </row>
    <row r="28">
      <c r="A28" s="41" t="n"/>
      <c r="B28" s="41" t="n"/>
      <c r="C28" s="41" t="n"/>
      <c r="D28" s="42" t="n"/>
      <c r="E28" s="43">
        <f>IF(D28="","",D28-D28/1.19)</f>
        <v/>
      </c>
      <c r="F28" s="43">
        <f>IF(D28="","",D28/1.19)</f>
        <v/>
      </c>
      <c r="G28" s="42" t="n"/>
      <c r="H28" s="43">
        <f>H27+IF(D28="",0,D28)-IF(G28="",0,G28)</f>
        <v/>
      </c>
    </row>
    <row r="29">
      <c r="A29" s="41" t="n"/>
      <c r="B29" s="41" t="n"/>
      <c r="C29" s="41" t="n"/>
      <c r="D29" s="42" t="n"/>
      <c r="E29" s="43">
        <f>IF(D29="","",D29-D29/1.19)</f>
        <v/>
      </c>
      <c r="F29" s="43">
        <f>IF(D29="","",D29/1.19)</f>
        <v/>
      </c>
      <c r="G29" s="42" t="n"/>
      <c r="H29" s="43">
        <f>H28+IF(D29="",0,D29)-IF(G29="",0,G29)</f>
        <v/>
      </c>
    </row>
    <row r="30">
      <c r="A30" s="41" t="n"/>
      <c r="B30" s="41" t="n"/>
      <c r="C30" s="41" t="n"/>
      <c r="D30" s="42" t="n"/>
      <c r="E30" s="43">
        <f>IF(D30="","",D30-D30/1.19)</f>
        <v/>
      </c>
      <c r="F30" s="43">
        <f>IF(D30="","",D30/1.19)</f>
        <v/>
      </c>
      <c r="G30" s="42" t="n"/>
      <c r="H30" s="43">
        <f>H29+IF(D30="",0,D30)-IF(G30="",0,G30)</f>
        <v/>
      </c>
    </row>
    <row r="31">
      <c r="A31" s="41" t="n"/>
      <c r="B31" s="41" t="n"/>
      <c r="C31" s="41" t="n"/>
      <c r="D31" s="42" t="n"/>
      <c r="E31" s="43">
        <f>IF(D31="","",D31-D31/1.19)</f>
        <v/>
      </c>
      <c r="F31" s="43">
        <f>IF(D31="","",D31/1.19)</f>
        <v/>
      </c>
      <c r="G31" s="42" t="n"/>
      <c r="H31" s="43">
        <f>H30+IF(D31="",0,D31)-IF(G31="",0,G31)</f>
        <v/>
      </c>
    </row>
    <row r="32">
      <c r="A32" s="41" t="n"/>
      <c r="B32" s="41" t="n"/>
      <c r="C32" s="41" t="n"/>
      <c r="D32" s="42" t="n"/>
      <c r="E32" s="43">
        <f>IF(D32="","",D32-D32/1.19)</f>
        <v/>
      </c>
      <c r="F32" s="43">
        <f>IF(D32="","",D32/1.19)</f>
        <v/>
      </c>
      <c r="G32" s="42" t="n"/>
      <c r="H32" s="43">
        <f>H31+IF(D32="",0,D32)-IF(G32="",0,G32)</f>
        <v/>
      </c>
    </row>
    <row r="33">
      <c r="A33" s="41" t="n"/>
      <c r="B33" s="41" t="n"/>
      <c r="C33" s="41" t="n"/>
      <c r="D33" s="42" t="n"/>
      <c r="E33" s="43">
        <f>IF(D33="","",D33-D33/1.19)</f>
        <v/>
      </c>
      <c r="F33" s="43">
        <f>IF(D33="","",D33/1.19)</f>
        <v/>
      </c>
      <c r="G33" s="42" t="n"/>
      <c r="H33" s="43">
        <f>H32+IF(D33="",0,D33)-IF(G33="",0,G33)</f>
        <v/>
      </c>
    </row>
    <row r="34">
      <c r="A34" s="41" t="n"/>
      <c r="B34" s="41" t="n"/>
      <c r="C34" s="41" t="n"/>
      <c r="D34" s="42" t="n"/>
      <c r="E34" s="43">
        <f>IF(D34="","",D34-D34/1.19)</f>
        <v/>
      </c>
      <c r="F34" s="43">
        <f>IF(D34="","",D34/1.19)</f>
        <v/>
      </c>
      <c r="G34" s="42" t="n"/>
      <c r="H34" s="43">
        <f>H33+IF(D34="",0,D34)-IF(G34="",0,G34)</f>
        <v/>
      </c>
    </row>
    <row r="35">
      <c r="A35" s="41" t="n"/>
      <c r="B35" s="41" t="n"/>
      <c r="C35" s="41" t="n"/>
      <c r="D35" s="42" t="n"/>
      <c r="E35" s="43">
        <f>IF(D35="","",D35-D35/1.19)</f>
        <v/>
      </c>
      <c r="F35" s="43">
        <f>IF(D35="","",D35/1.19)</f>
        <v/>
      </c>
      <c r="G35" s="42" t="n"/>
      <c r="H35" s="43">
        <f>H34+IF(D35="",0,D35)-IF(G35="",0,G35)</f>
        <v/>
      </c>
    </row>
    <row r="36">
      <c r="A36" s="41" t="n"/>
      <c r="B36" s="41" t="n"/>
      <c r="C36" s="41" t="n"/>
      <c r="D36" s="42" t="n"/>
      <c r="E36" s="43">
        <f>IF(D36="","",D36-D36/1.19)</f>
        <v/>
      </c>
      <c r="F36" s="43">
        <f>IF(D36="","",D36/1.19)</f>
        <v/>
      </c>
      <c r="G36" s="42" t="n"/>
      <c r="H36" s="43">
        <f>H35+IF(D36="",0,D36)-IF(G36="",0,G36)</f>
        <v/>
      </c>
    </row>
    <row r="37">
      <c r="A37" s="41" t="n"/>
      <c r="B37" s="41" t="n"/>
      <c r="C37" s="41" t="n"/>
      <c r="D37" s="42" t="n"/>
      <c r="E37" s="43">
        <f>IF(D37="","",D37-D37/1.19)</f>
        <v/>
      </c>
      <c r="F37" s="43">
        <f>IF(D37="","",D37/1.19)</f>
        <v/>
      </c>
      <c r="G37" s="42" t="n"/>
      <c r="H37" s="43">
        <f>H36+IF(D37="",0,D37)-IF(G37="",0,G37)</f>
        <v/>
      </c>
    </row>
    <row r="38">
      <c r="A38" s="41" t="n"/>
      <c r="B38" s="41" t="n"/>
      <c r="C38" s="41" t="n"/>
      <c r="D38" s="42" t="n"/>
      <c r="E38" s="43">
        <f>IF(D38="","",D38-D38/1.19)</f>
        <v/>
      </c>
      <c r="F38" s="43">
        <f>IF(D38="","",D38/1.19)</f>
        <v/>
      </c>
      <c r="G38" s="42" t="n"/>
      <c r="H38" s="43">
        <f>H37+IF(D38="",0,D38)-IF(G38="",0,G38)</f>
        <v/>
      </c>
    </row>
    <row r="39">
      <c r="A39" s="41" t="n"/>
      <c r="B39" s="41" t="n"/>
      <c r="C39" s="41" t="n"/>
      <c r="D39" s="42" t="n"/>
      <c r="E39" s="43">
        <f>IF(D39="","",D39-D39/1.19)</f>
        <v/>
      </c>
      <c r="F39" s="43">
        <f>IF(D39="","",D39/1.19)</f>
        <v/>
      </c>
      <c r="G39" s="42" t="n"/>
      <c r="H39" s="43">
        <f>H38+IF(D39="",0,D39)-IF(G39="",0,G39)</f>
        <v/>
      </c>
    </row>
    <row r="40">
      <c r="A40" s="41" t="n"/>
      <c r="B40" s="41" t="n"/>
      <c r="C40" s="41" t="n"/>
      <c r="D40" s="42" t="n"/>
      <c r="E40" s="43">
        <f>IF(D40="","",D40-D40/1.19)</f>
        <v/>
      </c>
      <c r="F40" s="43">
        <f>IF(D40="","",D40/1.19)</f>
        <v/>
      </c>
      <c r="G40" s="42" t="n"/>
      <c r="H40" s="43">
        <f>H39+IF(D40="",0,D40)-IF(G40="",0,G40)</f>
        <v/>
      </c>
    </row>
    <row r="41">
      <c r="A41" s="41" t="n"/>
      <c r="B41" s="41" t="n"/>
      <c r="C41" s="41" t="n"/>
      <c r="D41" s="42" t="n"/>
      <c r="E41" s="43">
        <f>IF(D41="","",D41-D41/1.19)</f>
        <v/>
      </c>
      <c r="F41" s="43">
        <f>IF(D41="","",D41/1.19)</f>
        <v/>
      </c>
      <c r="G41" s="42" t="n"/>
      <c r="H41" s="43">
        <f>H40+IF(D41="",0,D41)-IF(G41="",0,G41)</f>
        <v/>
      </c>
    </row>
    <row r="42">
      <c r="A42" s="41" t="n"/>
      <c r="B42" s="41" t="n"/>
      <c r="C42" s="41" t="n"/>
      <c r="D42" s="42" t="n"/>
      <c r="E42" s="43">
        <f>IF(D42="","",D42-D42/1.19)</f>
        <v/>
      </c>
      <c r="F42" s="43">
        <f>IF(D42="","",D42/1.19)</f>
        <v/>
      </c>
      <c r="G42" s="42" t="n"/>
      <c r="H42" s="43">
        <f>H41+IF(D42="",0,D42)-IF(G42="",0,G42)</f>
        <v/>
      </c>
    </row>
    <row r="43">
      <c r="A43" s="41" t="n"/>
      <c r="B43" s="41" t="n"/>
      <c r="C43" s="41" t="n"/>
      <c r="D43" s="42" t="n"/>
      <c r="E43" s="43">
        <f>IF(D43="","",D43-D43/1.19)</f>
        <v/>
      </c>
      <c r="F43" s="43">
        <f>IF(D43="","",D43/1.19)</f>
        <v/>
      </c>
      <c r="G43" s="42" t="n"/>
      <c r="H43" s="43">
        <f>H42+IF(D43="",0,D43)-IF(G43="",0,G43)</f>
        <v/>
      </c>
    </row>
    <row r="44">
      <c r="A44" s="41" t="n"/>
      <c r="B44" s="41" t="n"/>
      <c r="C44" s="41" t="n"/>
      <c r="D44" s="42" t="n"/>
      <c r="E44" s="43">
        <f>IF(D44="","",D44-D44/1.19)</f>
        <v/>
      </c>
      <c r="F44" s="43">
        <f>IF(D44="","",D44/1.19)</f>
        <v/>
      </c>
      <c r="G44" s="42" t="n"/>
      <c r="H44" s="43">
        <f>H43+IF(D44="",0,D44)-IF(G44="",0,G44)</f>
        <v/>
      </c>
    </row>
    <row r="45">
      <c r="A45" s="41" t="n"/>
      <c r="B45" s="41" t="n"/>
      <c r="C45" s="41" t="n"/>
      <c r="D45" s="42" t="n"/>
      <c r="E45" s="43">
        <f>IF(D45="","",D45-D45/1.19)</f>
        <v/>
      </c>
      <c r="F45" s="43">
        <f>IF(D45="","",D45/1.19)</f>
        <v/>
      </c>
      <c r="G45" s="42" t="n"/>
      <c r="H45" s="43">
        <f>H44+IF(D45="",0,D45)-IF(G45="",0,G45)</f>
        <v/>
      </c>
    </row>
    <row r="46">
      <c r="A46" s="41" t="n"/>
      <c r="B46" s="41" t="n"/>
      <c r="C46" s="41" t="n"/>
      <c r="D46" s="42" t="n"/>
      <c r="E46" s="43">
        <f>IF(D46="","",D46-D46/1.19)</f>
        <v/>
      </c>
      <c r="F46" s="43">
        <f>IF(D46="","",D46/1.19)</f>
        <v/>
      </c>
      <c r="G46" s="42" t="n"/>
      <c r="H46" s="43">
        <f>H45+IF(D46="",0,D46)-IF(G46="",0,G46)</f>
        <v/>
      </c>
    </row>
    <row r="47">
      <c r="A47" s="41" t="n"/>
      <c r="B47" s="41" t="n"/>
      <c r="C47" s="41" t="n"/>
      <c r="D47" s="42" t="n"/>
      <c r="E47" s="43">
        <f>IF(D47="","",D47-D47/1.19)</f>
        <v/>
      </c>
      <c r="F47" s="43">
        <f>IF(D47="","",D47/1.19)</f>
        <v/>
      </c>
      <c r="G47" s="42" t="n"/>
      <c r="H47" s="43">
        <f>H46+IF(D47="",0,D47)-IF(G47="",0,G47)</f>
        <v/>
      </c>
    </row>
    <row r="48">
      <c r="A48" s="41" t="n"/>
      <c r="B48" s="41" t="n"/>
      <c r="C48" s="41" t="n"/>
      <c r="D48" s="42" t="n"/>
      <c r="E48" s="43">
        <f>IF(D48="","",D48-D48/1.19)</f>
        <v/>
      </c>
      <c r="F48" s="43">
        <f>IF(D48="","",D48/1.19)</f>
        <v/>
      </c>
      <c r="G48" s="42" t="n"/>
      <c r="H48" s="43">
        <f>H47+IF(D48="",0,D48)-IF(G48="",0,G48)</f>
        <v/>
      </c>
    </row>
    <row r="49">
      <c r="A49" s="41" t="n"/>
      <c r="B49" s="41" t="n"/>
      <c r="C49" s="41" t="n"/>
      <c r="D49" s="42" t="n"/>
      <c r="E49" s="43">
        <f>IF(D49="","",D49-D49/1.19)</f>
        <v/>
      </c>
      <c r="F49" s="43">
        <f>IF(D49="","",D49/1.19)</f>
        <v/>
      </c>
      <c r="G49" s="42" t="n"/>
      <c r="H49" s="43">
        <f>H48+IF(D49="",0,D49)-IF(G49="",0,G49)</f>
        <v/>
      </c>
    </row>
    <row r="50">
      <c r="A50" s="41" t="n"/>
      <c r="B50" s="41" t="n"/>
      <c r="C50" s="41" t="n"/>
      <c r="D50" s="42" t="n"/>
      <c r="E50" s="43">
        <f>IF(D50="","",D50-D50/1.19)</f>
        <v/>
      </c>
      <c r="F50" s="43">
        <f>IF(D50="","",D50/1.19)</f>
        <v/>
      </c>
      <c r="G50" s="42" t="n"/>
      <c r="H50" s="43">
        <f>H49+IF(D50="",0,D50)-IF(G50="",0,G50)</f>
        <v/>
      </c>
    </row>
    <row r="51">
      <c r="A51" s="41" t="n"/>
      <c r="B51" s="41" t="n"/>
      <c r="C51" s="41" t="n"/>
      <c r="D51" s="42" t="n"/>
      <c r="E51" s="43">
        <f>IF(D51="","",D51-D51/1.19)</f>
        <v/>
      </c>
      <c r="F51" s="43">
        <f>IF(D51="","",D51/1.19)</f>
        <v/>
      </c>
      <c r="G51" s="42" t="n"/>
      <c r="H51" s="43">
        <f>H50+IF(D51="",0,D51)-IF(G51="",0,G51)</f>
        <v/>
      </c>
    </row>
    <row r="52">
      <c r="A52" s="41" t="n"/>
      <c r="B52" s="41" t="n"/>
      <c r="C52" s="41" t="n"/>
      <c r="D52" s="42" t="n"/>
      <c r="E52" s="43">
        <f>IF(D52="","",D52-D52/1.19)</f>
        <v/>
      </c>
      <c r="F52" s="43">
        <f>IF(D52="","",D52/1.19)</f>
        <v/>
      </c>
      <c r="G52" s="42" t="n"/>
      <c r="H52" s="43">
        <f>H51+IF(D52="",0,D52)-IF(G52="",0,G52)</f>
        <v/>
      </c>
    </row>
    <row r="53">
      <c r="A53" s="41" t="n"/>
      <c r="B53" s="41" t="n"/>
      <c r="C53" s="41" t="n"/>
      <c r="D53" s="42" t="n"/>
      <c r="E53" s="43">
        <f>IF(D53="","",D53-D53/1.19)</f>
        <v/>
      </c>
      <c r="F53" s="43">
        <f>IF(D53="","",D53/1.19)</f>
        <v/>
      </c>
      <c r="G53" s="42" t="n"/>
      <c r="H53" s="43">
        <f>H52+IF(D53="",0,D53)-IF(G53="",0,G53)</f>
        <v/>
      </c>
    </row>
    <row r="54">
      <c r="A54" s="41" t="n"/>
      <c r="B54" s="41" t="n"/>
      <c r="C54" s="41" t="n"/>
      <c r="D54" s="42" t="n"/>
      <c r="E54" s="43">
        <f>IF(D54="","",D54-D54/1.19)</f>
        <v/>
      </c>
      <c r="F54" s="43">
        <f>IF(D54="","",D54/1.19)</f>
        <v/>
      </c>
      <c r="G54" s="42" t="n"/>
      <c r="H54" s="43">
        <f>H53+IF(D54="",0,D54)-IF(G54="",0,G54)</f>
        <v/>
      </c>
    </row>
    <row r="55">
      <c r="A55" s="41" t="n"/>
      <c r="B55" s="41" t="n"/>
      <c r="C55" s="41" t="n"/>
      <c r="D55" s="42" t="n"/>
      <c r="E55" s="43">
        <f>IF(D55="","",D55-D55/1.19)</f>
        <v/>
      </c>
      <c r="F55" s="43">
        <f>IF(D55="","",D55/1.19)</f>
        <v/>
      </c>
      <c r="G55" s="42" t="n"/>
      <c r="H55" s="43">
        <f>H54+IF(D55="",0,D55)-IF(G55="",0,G55)</f>
        <v/>
      </c>
    </row>
  </sheetData>
  <mergeCells count="1">
    <mergeCell ref="A2:H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7" t="inlineStr">
        <is>
          <t>Design und Stammdaten</t>
        </is>
      </c>
      <c r="B1" s="2" t="n"/>
      <c r="C1" s="2" t="n"/>
    </row>
    <row r="2" ht="30" customHeight="1">
      <c r="A2" s="38" t="inlineStr">
        <is>
          <t>Hier ändern – nicht in den anderen Blättern. Farben als HEX ohne Raute (z. B. C8102E). Die Werte werden beim Rückeinlesen übernommen und gelten dann für Angebot, Katalog und Webkatalog.</t>
        </is>
      </c>
    </row>
    <row r="4">
      <c r="A4" s="48" t="inlineStr">
        <is>
          <t>Schlüssel</t>
        </is>
      </c>
      <c r="B4" s="49" t="inlineStr">
        <is>
          <t>Wert</t>
        </is>
      </c>
      <c r="C4" s="48" t="inlineStr">
        <is>
          <t>Hinweis</t>
        </is>
      </c>
    </row>
    <row r="5">
      <c r="A5" s="50" t="inlineStr">
        <is>
          <t>Firma</t>
        </is>
      </c>
      <c r="B5" s="41" t="inlineStr">
        <is>
          <t>Kikripp GmbH</t>
        </is>
      </c>
      <c r="C5" s="51" t="inlineStr">
        <is>
          <t>Vollständige Firmierung, erscheint in Kopf und Fuß aller Dokumente</t>
        </is>
      </c>
    </row>
    <row r="6">
      <c r="A6" s="50" t="inlineStr">
        <is>
          <t>Strasse</t>
        </is>
      </c>
      <c r="B6" s="41" t="inlineStr">
        <is>
          <t>Hermann-Schwer-Str. 1</t>
        </is>
      </c>
      <c r="C6" s="51" t="inlineStr"/>
    </row>
    <row r="7">
      <c r="A7" s="50" t="inlineStr">
        <is>
          <t>PLZ_Ort</t>
        </is>
      </c>
      <c r="B7" s="41" t="inlineStr">
        <is>
          <t>78048 Villingen-Schwenningen</t>
        </is>
      </c>
      <c r="C7" s="51" t="inlineStr"/>
    </row>
    <row r="8">
      <c r="A8" s="50" t="inlineStr">
        <is>
          <t>Ansprechpartner</t>
        </is>
      </c>
      <c r="B8" s="41" t="inlineStr">
        <is>
          <t>Jenny Preisigke</t>
        </is>
      </c>
      <c r="C8" s="51" t="inlineStr"/>
    </row>
    <row r="9">
      <c r="A9" s="50" t="inlineStr">
        <is>
          <t>Telefon</t>
        </is>
      </c>
      <c r="B9" s="41" t="inlineStr">
        <is>
          <t>07725 5179702</t>
        </is>
      </c>
      <c r="C9" s="51" t="inlineStr">
        <is>
          <t>Schreibweise bitte prüfen</t>
        </is>
      </c>
    </row>
    <row r="10">
      <c r="A10" s="50" t="inlineStr">
        <is>
          <t>Email</t>
        </is>
      </c>
      <c r="B10" s="41" t="inlineStr">
        <is>
          <t>jennyp@kikripp.de</t>
        </is>
      </c>
      <c r="C10" s="51" t="inlineStr"/>
    </row>
    <row r="11">
      <c r="A11" s="50" t="inlineStr">
        <is>
          <t>Empfaenger_Firma</t>
        </is>
      </c>
      <c r="B11" s="41" t="inlineStr">
        <is>
          <t>Mediclin Königsfeld</t>
        </is>
      </c>
      <c r="C11" s="51" t="inlineStr">
        <is>
          <t>Empfänger des Angebots</t>
        </is>
      </c>
    </row>
    <row r="12">
      <c r="A12" s="50" t="inlineStr">
        <is>
          <t>Empfaenger_Person</t>
        </is>
      </c>
      <c r="B12" s="41" t="inlineStr">
        <is>
          <t>Frau Jessica Rose</t>
        </is>
      </c>
      <c r="C12" s="51" t="inlineStr"/>
    </row>
    <row r="13">
      <c r="A13" s="50" t="inlineStr">
        <is>
          <t>Angebot_Nr</t>
        </is>
      </c>
      <c r="B13" s="41" t="inlineStr">
        <is>
          <t>ANG-2026-0001</t>
        </is>
      </c>
      <c r="C13" s="51" t="inlineStr"/>
    </row>
    <row r="14">
      <c r="A14" s="50" t="inlineStr">
        <is>
          <t>Angebot_Datum</t>
        </is>
      </c>
      <c r="B14" s="41" t="inlineStr">
        <is>
          <t>15.09.2026</t>
        </is>
      </c>
      <c r="C14" s="51" t="inlineStr"/>
    </row>
    <row r="15">
      <c r="A15" s="50" t="inlineStr">
        <is>
          <t>Angebot_Gueltig_bis</t>
        </is>
      </c>
      <c r="B15" s="41" t="inlineStr">
        <is>
          <t>15.10.2026</t>
        </is>
      </c>
      <c r="C15" s="51" t="inlineStr"/>
    </row>
    <row r="16">
      <c r="A16" s="50" t="inlineStr">
        <is>
          <t>USt_Satz_Prozent</t>
        </is>
      </c>
      <c r="B16" s="41" t="inlineStr">
        <is>
          <t>19</t>
        </is>
      </c>
      <c r="C16" s="51" t="inlineStr"/>
    </row>
    <row r="17">
      <c r="A17" s="50" t="inlineStr">
        <is>
          <t>Paketrabatt_Prozent</t>
        </is>
      </c>
      <c r="B17" s="41" t="inlineStr">
        <is>
          <t>15</t>
        </is>
      </c>
      <c r="C17" s="51" t="inlineStr">
        <is>
          <t>Nachlass beim Paketangebot</t>
        </is>
      </c>
    </row>
    <row r="18">
      <c r="A18" s="50" t="inlineStr">
        <is>
          <t>Katalog_URL</t>
        </is>
      </c>
      <c r="B18" s="41" t="inlineStr">
        <is>
          <t>https://www.kikripp.de/katalog</t>
        </is>
      </c>
      <c r="C18" s="51" t="inlineStr">
        <is>
          <t>Adresse des Webkatalogs, erscheint im Klinik-Angebot</t>
        </is>
      </c>
    </row>
    <row r="19">
      <c r="A19" s="50" t="inlineStr">
        <is>
          <t>Katalog_Passwort</t>
        </is>
      </c>
      <c r="B19" s="41" t="inlineStr"/>
      <c r="C19" s="51" t="inlineStr">
        <is>
          <t>Bewusst leer - Passwort gehoert nicht ins Projekt. Vor dem Erzeugen setzen: export KIKRIPP_KATALOG_PW=...</t>
        </is>
      </c>
    </row>
    <row r="20">
      <c r="A20" s="50" t="inlineStr">
        <is>
          <t>Farbe_Rot</t>
        </is>
      </c>
      <c r="B20" s="41" t="inlineStr">
        <is>
          <t>C8102E</t>
        </is>
      </c>
      <c r="C20" s="52" t="inlineStr">
        <is>
          <t>Bollenhut-Rot - nur als Akzent verwenden</t>
        </is>
      </c>
    </row>
    <row r="21">
      <c r="A21" s="50" t="inlineStr">
        <is>
          <t>Farbe_Schwarz</t>
        </is>
      </c>
      <c r="B21" s="41" t="inlineStr">
        <is>
          <t>1A1A1A</t>
        </is>
      </c>
      <c r="C21" s="53" t="inlineStr">
        <is>
          <t>Kopfzeilen und Struktur</t>
        </is>
      </c>
    </row>
    <row r="22">
      <c r="A22" s="50" t="inlineStr">
        <is>
          <t>Farbe_Papier</t>
        </is>
      </c>
      <c r="B22" s="41" t="inlineStr">
        <is>
          <t>F7F5F2</t>
        </is>
      </c>
      <c r="C22" s="54" t="inlineStr">
        <is>
          <t>warme Fläche</t>
        </is>
      </c>
    </row>
    <row r="23">
      <c r="A23" s="50" t="inlineStr">
        <is>
          <t>Farbe_Grau</t>
        </is>
      </c>
      <c r="B23" s="41" t="inlineStr">
        <is>
          <t>6B7280</t>
        </is>
      </c>
      <c r="C23" s="55" t="inlineStr">
        <is>
          <t>Sekundärtext</t>
        </is>
      </c>
    </row>
    <row r="24">
      <c r="A24" s="50" t="inlineStr">
        <is>
          <t>Farbe_Linie</t>
        </is>
      </c>
      <c r="B24" s="41" t="inlineStr">
        <is>
          <t>DCDCDC</t>
        </is>
      </c>
      <c r="C24" s="56" t="inlineStr">
        <is>
          <t>feine Linien und Rahmen</t>
        </is>
      </c>
    </row>
    <row r="25">
      <c r="A25" s="50" t="inlineStr">
        <is>
          <t>Feld_Klinik</t>
        </is>
      </c>
      <c r="B25" s="41" t="inlineStr">
        <is>
          <t>E4E4E4</t>
        </is>
      </c>
      <c r="C25" s="57" t="inlineStr">
        <is>
          <t>Ausfüllfelder für die Klinik (mittleres Grau)</t>
        </is>
      </c>
    </row>
    <row r="26">
      <c r="A26" s="50" t="inlineStr">
        <is>
          <t>Feld_Intern</t>
        </is>
      </c>
      <c r="B26" s="41" t="inlineStr">
        <is>
          <t>F2F2F2</t>
        </is>
      </c>
      <c r="C26" s="58" t="inlineStr">
        <is>
          <t>interne Ausfüllfelder (helles Grau)</t>
        </is>
      </c>
    </row>
    <row r="27">
      <c r="A27" s="50" t="inlineStr">
        <is>
          <t>Zeile_Wechsel</t>
        </is>
      </c>
      <c r="B27" s="41" t="inlineStr">
        <is>
          <t>FAFAFA</t>
        </is>
      </c>
      <c r="C27" s="59" t="inlineStr">
        <is>
          <t>Zeilenwechsel in Tabellen</t>
        </is>
      </c>
    </row>
    <row r="28">
      <c r="A28" s="50" t="inlineStr">
        <is>
          <t>Schrift_Excel</t>
        </is>
      </c>
      <c r="B28" s="41" t="inlineStr">
        <is>
          <t>Arial</t>
        </is>
      </c>
      <c r="C28" s="51" t="inlineStr"/>
    </row>
    <row r="29">
      <c r="A29" s="50" t="inlineStr">
        <is>
          <t>Schrift_Web</t>
        </is>
      </c>
      <c r="B29" s="41" t="inlineStr">
        <is>
          <t>Poppins</t>
        </is>
      </c>
      <c r="C29" s="51"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2026-09-24T08:46:21Z</dcterms:created>
  <dcterms:modified xmlns:dcterms="http://purl.org/dc/terms/" xmlns:xsi="http://www.w3.org/2001/XMLSchema-instance" xsi:type="dcterms:W3CDTF">2026-09-24T08:46:23Z</dcterms:modified>
</cp:coreProperties>
</file>