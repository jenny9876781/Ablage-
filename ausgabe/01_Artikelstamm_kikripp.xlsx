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'Artikelstamm'!$A$2:$AN$419</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419"/>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4</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4 Kisten – abgebildet ist eine davon.</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4</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4 Stühle – abgebildet sind zwei davon.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1</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Hocker.</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Würfel. Sie stehen inzwischen im Atelier (BA08) – die Nummer BE01-03 bleibt.</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mehrere beleuchtete Ringe in unterschiedlichen Größen an dünnen Seilen, an einem gemeinsamen Deckenbaldachin.</t>
        </is>
      </c>
      <c r="G28" s="15" t="inlineStr">
        <is>
          <t>Leuchten</t>
        </is>
      </c>
      <c r="H28" s="15" t="inlineStr">
        <is>
          <t>Büro / Besprechung</t>
        </is>
      </c>
      <c r="I28" s="15" t="inlineStr">
        <is>
          <t>A</t>
        </is>
      </c>
      <c r="J28" s="17" t="n">
        <v>4</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4 Leuchten. Auf dem Foto ist eine davon zu sehen.</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einschließlich Bepflanzung. Der Kübel steht inzwischen im Schlafraum 5 (NU04) – die Nummer BU04-02 bleibt.</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BU04-16</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nein</t>
        </is>
      </c>
      <c r="Q36" s="19" t="n"/>
      <c r="R36" s="20" t="n"/>
      <c r="S36" s="20" t="n">
        <v>40</v>
      </c>
      <c r="T36" s="19" t="inlineStr">
        <is>
          <t>VHB</t>
        </is>
      </c>
      <c r="U36" s="21">
        <f>L36*S36</f>
        <v/>
      </c>
      <c r="V36" s="15" t="inlineStr">
        <is>
          <t>nur Abholung</t>
        </is>
      </c>
      <c r="W36" s="15" t="inlineStr">
        <is>
          <t>F-081</t>
        </is>
      </c>
      <c r="X36" s="19" t="inlineStr">
        <is>
          <t>nein</t>
        </is>
      </c>
      <c r="Y36" s="19" t="n"/>
      <c r="Z36" s="19" t="inlineStr">
        <is>
          <t>entfällt</t>
        </is>
      </c>
      <c r="AA36" s="19" t="n"/>
      <c r="AB36" s="19" t="n"/>
      <c r="AC36" s="19" t="n"/>
      <c r="AD36" s="19" t="n"/>
      <c r="AE36" s="20" t="n"/>
      <c r="AF36" s="21">
        <f>IF(K36="","",K36*AE36)</f>
        <v/>
      </c>
      <c r="AG36" s="19" t="n"/>
      <c r="AH36" s="19" t="n"/>
      <c r="AI36" s="19" t="n"/>
      <c r="AJ36" s="19" t="n"/>
      <c r="AK36" s="19" t="n"/>
      <c r="AL36" s="19" t="n"/>
      <c r="AM36" s="16" t="inlineStr">
        <is>
          <t>1 Set im Bild</t>
        </is>
      </c>
      <c r="AN36" s="22" t="inlineStr">
        <is>
          <t>Nicht mehr vorhanden – von der Nutzerin am 23.09.2026 bestaetigt. Frueher BU04-05 / K-117; die Nummer BU04-05 klebt jetzt auf den Hochstuehlen.</t>
        </is>
      </c>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BE10-09</t>
        </is>
      </c>
      <c r="B61" s="15" t="inlineStr">
        <is>
          <t>K-038</t>
        </is>
      </c>
      <c r="C61" s="15" t="n"/>
      <c r="D61" s="15" t="inlineStr">
        <is>
          <t>BE10</t>
        </is>
      </c>
      <c r="E61" s="15" t="inlineStr">
        <is>
          <t>Konsolentisch schwarz mit Glasablagen</t>
        </is>
      </c>
      <c r="F61" s="16" t="inlineStr">
        <is>
          <t>Schmaler Konsolentisch mit schwarzem Metallrahmen und zwei Ablagen aus Glas.</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ja</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Tisch. Auf Foto F-024 steht er im Raum.</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BE10-10</t>
        </is>
      </c>
      <c r="B63" s="15" t="inlineStr">
        <is>
          <t>K-041</t>
        </is>
      </c>
      <c r="C63" s="15" t="n"/>
      <c r="D63" s="15" t="inlineStr">
        <is>
          <t>BE10</t>
        </is>
      </c>
      <c r="E63" s="15" t="inlineStr">
        <is>
          <t>Kommode Holz, antik</t>
        </is>
      </c>
      <c r="F63" s="16" t="inlineStr">
        <is>
          <t>Alte Holzkommode beziehungsweise Sekretär in dunklem Holz. Die linke Tür schließt nicht mehr; der übrige Zustand ist gut.</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ja</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Kommode. Auf Foto F-025 steht sie im Raum.</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BE10-11</t>
        </is>
      </c>
      <c r="B65" s="15" t="inlineStr">
        <is>
          <t>K-045</t>
        </is>
      </c>
      <c r="C65" s="15" t="n"/>
      <c r="D65" s="15" t="inlineStr">
        <is>
          <t>BE10</t>
        </is>
      </c>
      <c r="E65" s="15" t="inlineStr">
        <is>
          <t>Bürodrehstuhl weiß</t>
        </is>
      </c>
      <c r="F65" s="16" t="inlineStr">
        <is>
          <t>Bürodrehstuhl in Weiß auf fünf Rollen, Sitzhöhe verstellbar.</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ja</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Stuhl. Auf Foto F-027 steht er im Raum.</t>
        </is>
      </c>
      <c r="AN65" s="22" t="n"/>
    </row>
    <row r="66" ht="30" customHeight="1">
      <c r="A66" s="15" t="inlineStr">
        <is>
          <t>BE10-12</t>
        </is>
      </c>
      <c r="B66" s="15" t="inlineStr">
        <is>
          <t>K-046</t>
        </is>
      </c>
      <c r="C66" s="15" t="n"/>
      <c r="D66" s="15" t="inlineStr">
        <is>
          <t>BE10</t>
        </is>
      </c>
      <c r="E66" s="15" t="inlineStr">
        <is>
          <t>Aktenschrank weiß</t>
        </is>
      </c>
      <c r="F66" s="16" t="inlineStr">
        <is>
          <t>Büroschrank in Weiß mit Türen und Einlegeböden.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ja</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Auf Foto F-027 stehen sie im Raum.</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nein</t>
        </is>
      </c>
      <c r="Q104" s="19" t="n"/>
      <c r="R104" s="20" t="n"/>
      <c r="S104" s="20" t="n">
        <v>35</v>
      </c>
      <c r="T104" s="19" t="inlineStr">
        <is>
          <t>VHB</t>
        </is>
      </c>
      <c r="U104" s="21">
        <f>L104*S104</f>
        <v/>
      </c>
      <c r="V104" s="15" t="inlineStr">
        <is>
          <t>Versand möglich</t>
        </is>
      </c>
      <c r="W104" s="15" t="inlineStr">
        <is>
          <t>F-034</t>
        </is>
      </c>
      <c r="X104" s="19" t="inlineStr">
        <is>
          <t>nein</t>
        </is>
      </c>
      <c r="Y104" s="19" t="n"/>
      <c r="Z104" s="19" t="inlineStr">
        <is>
          <t>entfällt</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inlineStr">
        <is>
          <t>Nicht mehr vorhanden – von der Nutzerin am 24.09.2026 bestaetigt.</t>
        </is>
      </c>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8</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8 Tische, im Raum nachgezählt.</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9</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9 Bänke, im Raum nachgezählt.</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inlineStr">
        <is>
          <t>BE01-08</t>
        </is>
      </c>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Es trägt zusätzlich den Post-it BE01-08 aus dem Flur 1 des Bestandsgebäudes – es ist nur ein Bild, nicht zwei. Eine Nahaufnahme steht auf Foto F-493.</t>
        </is>
      </c>
      <c r="AN118" s="22" t="inlineStr">
        <is>
          <t>Dasselbe Bild wurde zweimal beschriftet: NU01-04 und BE01-08. Menge bleibt 1.</t>
        </is>
      </c>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2</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2 Boxen: eine auf der Terrasse und eine auf der Dachterrasse. Die Box auf der Dachterrasse ist auf Foto F-108 zu sehen.</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 BU02-04, NE05-10</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40</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40 Stühle insgesamt: 10 im Gruppenraum 5 und im Nachbarraum NU03, 6 im Schlafraum 5 (NU04-12), 15 im Flur 2 im Untergeschoss (BU02-04) und 9 im Speisesaal (NE05-10). Die 15 Stühle aus dem Flur 2 sind stark gebraucht. Ein Stuhl aus dem Speisesaal ist auf Foto F-477 zu sehen.</t>
        </is>
      </c>
      <c r="AN156" s="22" t="inlineStr">
        <is>
          <t>Zusammengefasste Position ueber fuenf Raeume. Post-it-Nummern: NU04-12, BU02-04, NE05-10.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3 Stühle: zwei in Rosa und einer in Grün. Insgesamt stehen 68 Mammut-Kinderstühle zum Verkauf: 20 rot (TE02-09), 20 weiß (TE02-13 und GA01-06), 16 grün (TE02-10 und NU02-14), 6 rosa (TE02-14, GA01-08 und NU02-14) und 6 blau (GA01-07). Sie stehen als eigene Positionen, weil Zustand und Standort sich unterscheiden.</t>
        </is>
      </c>
      <c r="AN166" s="22" t="n"/>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Vitra Eames Elephant, große Ausführung</t>
        </is>
      </c>
      <c r="F170" s="16" t="inlineStr">
        <is>
          <t>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G170" s="15" t="inlineStr">
        <is>
          <t>Deko</t>
        </is>
      </c>
      <c r="H170" s="15" t="inlineStr">
        <is>
          <t>Gruppenraum 5</t>
        </is>
      </c>
      <c r="I170" s="15" t="inlineStr">
        <is>
          <t>A</t>
        </is>
      </c>
      <c r="J170" s="17" t="n">
        <v>3</v>
      </c>
      <c r="K170" s="17" t="n"/>
      <c r="L170" s="18">
        <f>J170-IF(K170="",0,K170)</f>
        <v/>
      </c>
      <c r="M170" s="15" t="inlineStr">
        <is>
          <t>Stück</t>
        </is>
      </c>
      <c r="N170" s="15" t="inlineStr">
        <is>
          <t>gebraucht</t>
        </is>
      </c>
      <c r="O170" s="19" t="n"/>
      <c r="P170" s="19" t="inlineStr">
        <is>
          <t>ja</t>
        </is>
      </c>
      <c r="Q170" s="19" t="n"/>
      <c r="R170" s="20" t="n"/>
      <c r="S170" s="20" t="n">
        <v>220</v>
      </c>
      <c r="T170" s="19" t="inlineStr">
        <is>
          <t>VHB</t>
        </is>
      </c>
      <c r="U170" s="21">
        <f>L170*S170</f>
        <v/>
      </c>
      <c r="V170" s="15" t="inlineStr">
        <is>
          <t>nur Abholung</t>
        </is>
      </c>
      <c r="W170" s="15" t="inlineStr">
        <is>
          <t>F-163</t>
        </is>
      </c>
      <c r="X170" s="19" t="inlineStr">
        <is>
          <t>ja</t>
        </is>
      </c>
      <c r="Y170" s="19" t="n"/>
      <c r="Z170" s="19" t="inlineStr">
        <is>
          <t>verfügbar</t>
        </is>
      </c>
      <c r="AA170" s="19" t="inlineStr">
        <is>
          <t>Vitra</t>
        </is>
      </c>
      <c r="AB170" s="19" t="n"/>
      <c r="AC170" s="19" t="n"/>
      <c r="AD170" s="19" t="n"/>
      <c r="AE170" s="20" t="n"/>
      <c r="AF170" s="21">
        <f>IF(K170="","",K170*AE170)</f>
        <v/>
      </c>
      <c r="AG170" s="19" t="n"/>
      <c r="AH170" s="19" t="n"/>
      <c r="AI170" s="19" t="n"/>
      <c r="AJ170" s="19" t="n"/>
      <c r="AK170" s="19" t="n"/>
      <c r="AL170" s="19" t="n"/>
      <c r="AM170" s="16" t="inlineStr">
        <is>
          <t>3 Elefanten in der großen Ausführung: 1 in Weiß und 2 in Schwarz. Das Plättchen am schwarzen Exemplar ist auf Foto F-486 zu sehen, das am weißen auf Foto F-488. Die kleine Ausführung steht unter NU02-25.</t>
        </is>
      </c>
      <c r="AN170" s="22" t="n"/>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inlineStr">
        <is>
          <t>NE03-02, NE04-01</t>
        </is>
      </c>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16</v>
      </c>
      <c r="K177" s="17" t="n"/>
      <c r="L177" s="18">
        <f>J177-IF(K177="",0,K177)</f>
        <v/>
      </c>
      <c r="M177" s="15" t="inlineStr">
        <is>
          <t>Stück</t>
        </is>
      </c>
      <c r="N177" s="15" t="inlineStr">
        <is>
          <t>gut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16 Betten insgesamt: 4 im Schlafraum 4 (NU03-02), 10 im Schlafraum 2 (NE03-02) und 2 im Schlafraum 3 (NE04-01). Die Matratzen können auf Wunsch mitgenommen werden. Betten mit Aufstiegstreppe sind auf den Fotos F-439 und F-451 zu sehen.</t>
        </is>
      </c>
      <c r="AN177" s="22" t="inlineStr">
        <is>
          <t>Zusammengefasste Position über drei Räume – Post-it-Nummern: NE03-02, NE04-01. Der Rundgang durch die Schlafräume ist damit abgeschlossen.</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inlineStr">
        <is>
          <t>BU04-05</t>
        </is>
      </c>
      <c r="D185" s="15" t="inlineStr">
        <is>
          <t>NU03</t>
        </is>
      </c>
      <c r="E185" s="15" t="inlineStr">
        <is>
          <t>IKEA Kinderhochstuhl mit Gurt</t>
        </is>
      </c>
      <c r="F185" s="16" t="inlineStr">
        <is>
          <t>Kinderhochstuhl von IKEA: weiße Kunststoffschale, graue Stahlbeine, Sicherheitsgurt. Ein Teil der Stühle hat ein Esstablett.</t>
        </is>
      </c>
      <c r="G185" s="15" t="inlineStr">
        <is>
          <t>Kita-Ausstattung</t>
        </is>
      </c>
      <c r="H185" s="15" t="inlineStr">
        <is>
          <t>Schlafraum 4</t>
        </is>
      </c>
      <c r="I185" s="15" t="inlineStr">
        <is>
          <t>C</t>
        </is>
      </c>
      <c r="J185" s="17" t="n">
        <v>19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19 Stühle insgesamt: 9 im Schlafraum 4 (NU03-10, ohne Esstablett) und 10 im Gruppenraum im Untergeschoss (BU04-05, mit Esstablett). Abgebildet ist einer der Stühle ohne Tablett; die gestapelten Stühle mit Tablett sind auf Foto F-396 zu sehen.</t>
        </is>
      </c>
      <c r="AN185" s="22" t="inlineStr">
        <is>
          <t>Zusammengefasste Position über zwei Räume – Post-it-Nummer: BU04-05. Die Nutzerin hat am 24.09.2026 bestaetigt, dass keine weiteren Hochstuehle aus anderen Raeumen dazukommen.</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 BA04-03, BU01-03, BU02-07</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12</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12 Regale insgesamt: 3 im Schlafraum 5, 1 im Treppenraum 1 (NU05-05), 1 in der Garage (NU07-06), 3 im Gruppenraum 4 (BA04-03), 2 im Flur 1 des Bestandsgebäudes (BU01-03) und 2 im Flur 2 im Untergeschoss (BU02-07).</t>
        </is>
      </c>
      <c r="AN188" s="22" t="inlineStr">
        <is>
          <t>Zusammengefasste Position über sechs Räume – Post-it-Nummern: NU05-05, NU07-06, BA04-03, BU01-03, BU02-07.</t>
        </is>
      </c>
    </row>
    <row r="189" ht="30" customHeight="1">
      <c r="A189" s="15" t="inlineStr">
        <is>
          <t>NU04-10</t>
        </is>
      </c>
      <c r="B189" s="15" t="n"/>
      <c r="C189" s="15" t="inlineStr">
        <is>
          <t>BU02-11</t>
        </is>
      </c>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10</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10 Stühle insgesamt: 4 im Schlafraum 5 (NU04-10) und 6 im Flur 2 im Untergeschoss des Bestandsgebäudes (BU02-11). Abgebildet ist einer davon.</t>
        </is>
      </c>
      <c r="AN189" s="22" t="inlineStr">
        <is>
          <t>Zusammengefasste Position über zwei Räume – Post-it-Nummer: BU02-11.</t>
        </is>
      </c>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inlineStr">
        <is>
          <t>NE05-11</t>
        </is>
      </c>
      <c r="D191" s="15" t="inlineStr">
        <is>
          <t>NU04</t>
        </is>
      </c>
      <c r="E191" s="15" t="inlineStr">
        <is>
          <t>Kindertisch rund weiß mit Holzbeinen</t>
        </is>
      </c>
      <c r="F191" s="16" t="inlineStr">
        <is>
          <t>Runder Kindertisch, weiße Platte auf konischen Beinen aus massivem Holz.</t>
        </is>
      </c>
      <c r="G191" s="15" t="inlineStr">
        <is>
          <t>Kita-Ausstattung</t>
        </is>
      </c>
      <c r="H191" s="15" t="inlineStr">
        <is>
          <t>Schlafraum 5</t>
        </is>
      </c>
      <c r="I191" s="15" t="inlineStr">
        <is>
          <t>B</t>
        </is>
      </c>
      <c r="J191" s="17" t="n">
        <v>5</v>
      </c>
      <c r="K191" s="17" t="n"/>
      <c r="L191" s="18">
        <f>J191-IF(K191="",0,K191)</f>
        <v/>
      </c>
      <c r="M191" s="15" t="inlineStr">
        <is>
          <t>Stück</t>
        </is>
      </c>
      <c r="N191" s="15" t="inlineStr">
        <is>
          <t>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5 Tische: 1 im Schlafraum 5 (NU04-13) und 4 im Speisesaal (NE05-11). Bei dem Tisch im Schlafraum 5 ist die Plattenkante an einer Stelle beschädigt und dunkel abgestoßen; ein Tisch aus dem Speisesaal ist auf Foto F-478 zu sehen.</t>
        </is>
      </c>
      <c r="AN191" s="22" t="inlineStr">
        <is>
          <t>Zusammengefasste Position über zwei Räume – Post-it-Nummer: NE05-11.</t>
        </is>
      </c>
    </row>
    <row r="192" ht="30" customHeight="1">
      <c r="A192" s="15" t="inlineStr">
        <is>
          <t>NU04-14</t>
        </is>
      </c>
      <c r="B192" s="15" t="n"/>
      <c r="C192" s="15" t="inlineStr">
        <is>
          <t>BA06-13</t>
        </is>
      </c>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2</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2 Raumteiler: einer im Schlafraum 5 (NU04-14) und einer im Materialraum (dort mit BA06-13 beschriftet).</t>
        </is>
      </c>
      <c r="AN192" s="22" t="inlineStr">
        <is>
          <t>Zusammengefasste Position – Post-it-Nummer im zweiten Raum: BA06-13.</t>
        </is>
      </c>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inlineStr">
        <is>
          <t>BA04-08</t>
        </is>
      </c>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4</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4 Einheiten, jeweils Unterteil und Wandaufsatz: 2 im Schlafraum 5 und 2 im Gruppenraum 4 (dort mit BA04-08 beschriftet). Der Inhalt der Wannen gehört nicht dazu.</t>
        </is>
      </c>
      <c r="AN195" s="22" t="inlineStr">
        <is>
          <t>Zusammengefasste Position – Post-it-Nummer im zweiten Raum: BA04-08.</t>
        </is>
      </c>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inlineStr">
        <is>
          <t>NE03-08</t>
        </is>
      </c>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3</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3 Schränke insgesamt: 2 im Schlafraum 5 (NU04-19) und 1 im Schlafraum 2 des Neubaus (NE03-08). Abgebildet ist einer davon, innen auf Foto F-206. Ein baugleicher Schrank in Anthrazit steht unter NE03-07.</t>
        </is>
      </c>
      <c r="AN197" s="22" t="inlineStr">
        <is>
          <t>Zusammengefasste Position über zwei Räume – Post-it-Nummer: NE03-08.</t>
        </is>
      </c>
    </row>
    <row r="198" ht="30" customHeight="1">
      <c r="A198" s="15" t="inlineStr">
        <is>
          <t>NU04-20</t>
        </is>
      </c>
      <c r="B198" s="15" t="n"/>
      <c r="C198" s="15" t="n"/>
      <c r="D198" s="15" t="inlineStr">
        <is>
          <t>NU04</t>
        </is>
      </c>
      <c r="E198" s="15" t="inlineStr">
        <is>
          <t>Vitra Panton Chair schwarz, Erwachsenengröße</t>
        </is>
      </c>
      <c r="F198" s="16" t="inlineStr">
        <is>
          <t>Panton Chair von Vitra, Entwurf Verner Panton: 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220</v>
      </c>
      <c r="T198" s="19" t="inlineStr">
        <is>
          <t>VHB</t>
        </is>
      </c>
      <c r="U198" s="21">
        <f>L198*S198</f>
        <v/>
      </c>
      <c r="V198" s="15" t="inlineStr">
        <is>
          <t>nur Abholung</t>
        </is>
      </c>
      <c r="W198" s="15" t="inlineStr">
        <is>
          <t>F-208</t>
        </is>
      </c>
      <c r="X198" s="19" t="inlineStr">
        <is>
          <t>ja</t>
        </is>
      </c>
      <c r="Y198" s="19" t="n"/>
      <c r="Z198" s="19" t="inlineStr">
        <is>
          <t>verfügbar</t>
        </is>
      </c>
      <c r="AA198" s="19" t="inlineStr">
        <is>
          <t>Vitra</t>
        </is>
      </c>
      <c r="AB198" s="19" t="n"/>
      <c r="AC198" s="19" t="n"/>
      <c r="AD198" s="19" t="n"/>
      <c r="AE198" s="20" t="n"/>
      <c r="AF198" s="21">
        <f>IF(K198="","",K198*AE198)</f>
        <v/>
      </c>
      <c r="AG198" s="19" t="n"/>
      <c r="AH198" s="19" t="n"/>
      <c r="AI198" s="19" t="n"/>
      <c r="AJ198" s="19" t="n"/>
      <c r="AK198" s="19" t="n"/>
      <c r="AL198" s="19" t="n"/>
      <c r="AM198" s="16" t="inlineStr">
        <is>
          <t>1 Stuhl. Weitere Panton Chairs stehen unter NE05-04 (rot, Erwachsenengröße) sowie NE05-05 und NE05-12 (Kindergröße).</t>
        </is>
      </c>
      <c r="AN198" s="22" t="n"/>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Stokke Steps Treppenhochstuhl, weiß mit Buchengestell</t>
        </is>
      </c>
      <c r="F201" s="16" t="inlineStr">
        <is>
          <t>Stokke Steps: mitwachsender Treppenhochstuhl, Seitenwangen aus Buche natur, Sitz- und Fußbrett sowie Rückenlehne mit Bügel in Weiß, in der Höhe verstellbar.</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130</v>
      </c>
      <c r="T201" s="19" t="inlineStr">
        <is>
          <t>VHB</t>
        </is>
      </c>
      <c r="U201" s="21">
        <f>L201*S201</f>
        <v/>
      </c>
      <c r="V201" s="15" t="inlineStr">
        <is>
          <t>nur Abholung</t>
        </is>
      </c>
      <c r="W201" s="15" t="inlineStr">
        <is>
          <t>F-213</t>
        </is>
      </c>
      <c r="X201" s="19" t="inlineStr">
        <is>
          <t>ja</t>
        </is>
      </c>
      <c r="Y201" s="19" t="n"/>
      <c r="Z201" s="19" t="inlineStr">
        <is>
          <t>verfügbar</t>
        </is>
      </c>
      <c r="AA201" s="19" t="inlineStr">
        <is>
          <t>Stokke</t>
        </is>
      </c>
      <c r="AB201" s="19" t="n"/>
      <c r="AC201" s="19" t="n"/>
      <c r="AD201" s="19" t="n"/>
      <c r="AE201" s="20" t="n"/>
      <c r="AF201" s="21">
        <f>IF(K201="","",K201*AE201)</f>
        <v/>
      </c>
      <c r="AG201" s="19" t="n"/>
      <c r="AH201" s="19" t="n"/>
      <c r="AI201" s="19" t="n"/>
      <c r="AJ201" s="19" t="n"/>
      <c r="AK201" s="19" t="n"/>
      <c r="AL201" s="19" t="n"/>
      <c r="AM201" s="16" t="inlineStr">
        <is>
          <t>6 Stühle – abgebildet ist einer davon. Dieselbe Reihe in anderen Farben steht unter NE05-06, NE05-07 und NE05-08.</t>
        </is>
      </c>
      <c r="AN201" s="22" t="n"/>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gut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inlineStr">
        <is>
          <t>BA04-09, BU02-14, BU04-12</t>
        </is>
      </c>
      <c r="D241" s="15" t="inlineStr">
        <is>
          <t>BA02</t>
        </is>
      </c>
      <c r="E241" s="15" t="inlineStr">
        <is>
          <t>IKEA Kinderschrank weiß, zwei Türen</t>
        </is>
      </c>
      <c r="F241" s="16" t="inlineStr">
        <is>
          <t>Hoher Schrank von IKEA in Weiß mit zwei Türen und schwarzen Griffmulden, darunter Schubladen. Auf zwei der Schränke kleben Aufkleber mit Kinderhandabdrücken; sie lassen sich abziehen.</t>
        </is>
      </c>
      <c r="G241" s="15" t="inlineStr">
        <is>
          <t>Möbel</t>
        </is>
      </c>
      <c r="H241" s="15" t="inlineStr">
        <is>
          <t>Flur 2</t>
        </is>
      </c>
      <c r="I241" s="15" t="inlineStr">
        <is>
          <t>B</t>
        </is>
      </c>
      <c r="J241" s="17" t="n">
        <v>8</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inlineStr">
        <is>
          <t>IKEA</t>
        </is>
      </c>
      <c r="AB241" s="19" t="n"/>
      <c r="AC241" s="19" t="n"/>
      <c r="AD241" s="19" t="n"/>
      <c r="AE241" s="20" t="n"/>
      <c r="AF241" s="21">
        <f>IF(K241="","",K241*AE241)</f>
        <v/>
      </c>
      <c r="AG241" s="19" t="n"/>
      <c r="AH241" s="19" t="n"/>
      <c r="AI241" s="19" t="n"/>
      <c r="AJ241" s="19" t="n"/>
      <c r="AK241" s="19" t="n"/>
      <c r="AL241" s="19" t="n"/>
      <c r="AM241" s="16" t="inlineStr">
        <is>
          <t>8 Schränke insgesamt: 2 im Flur 2 der Attika (BA02-08), 2 im Gruppenraum 4 (BA04-09), 2 im Flur 2 im Untergeschoss (BU02-14, Foto F-378) und 2 im Gruppenraum im Untergeschoss (BU04-12, Foto F-401). Die beiden Schränke im Gruppenraum sind stark gebraucht.</t>
        </is>
      </c>
      <c r="AN241" s="22" t="inlineStr">
        <is>
          <t>Zusammengefasste Position über vier Räume – Post-it-Nummern: BA04-09, BU02-14, BU04-12.</t>
        </is>
      </c>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row r="243" ht="30" customHeight="1">
      <c r="A243" s="15" t="inlineStr">
        <is>
          <t>BA09-06</t>
        </is>
      </c>
      <c r="B243" s="15" t="n"/>
      <c r="C243" s="15" t="inlineStr">
        <is>
          <t>BA10-12</t>
        </is>
      </c>
      <c r="D243" s="15" t="inlineStr">
        <is>
          <t>BA09</t>
        </is>
      </c>
      <c r="E243" s="15" t="inlineStr">
        <is>
          <t>Sitzhocker rund, drehbar auf Rollen</t>
        </is>
      </c>
      <c r="F243" s="16" t="inlineStr">
        <is>
          <t>Runder Sitzhocker mit schwarzem Netzstoffbezug und umlaufendem Reißverschluss, auf einem silberfarbenen Fünffußkreuz mit Rollen, höhenverstellbar.</t>
        </is>
      </c>
      <c r="G243" s="15" t="inlineStr">
        <is>
          <t>Büro</t>
        </is>
      </c>
      <c r="H243" s="15" t="inlineStr">
        <is>
          <t>Personal</t>
        </is>
      </c>
      <c r="I243" s="15" t="inlineStr">
        <is>
          <t>B</t>
        </is>
      </c>
      <c r="J243" s="17" t="n">
        <v>2</v>
      </c>
      <c r="K243" s="17" t="n"/>
      <c r="L243" s="18">
        <f>J243-IF(K243="",0,K243)</f>
        <v/>
      </c>
      <c r="M243" s="15" t="inlineStr">
        <is>
          <t>Stück</t>
        </is>
      </c>
      <c r="N243" s="15" t="inlineStr">
        <is>
          <t>gebraucht</t>
        </is>
      </c>
      <c r="O243" s="19" t="n"/>
      <c r="P243" s="19" t="inlineStr">
        <is>
          <t>ja</t>
        </is>
      </c>
      <c r="Q243" s="19" t="n"/>
      <c r="R243" s="20" t="n"/>
      <c r="S243" s="20" t="n">
        <v>30</v>
      </c>
      <c r="T243" s="19" t="inlineStr">
        <is>
          <t>VHB</t>
        </is>
      </c>
      <c r="U243" s="21">
        <f>L243*S243</f>
        <v/>
      </c>
      <c r="V243" s="15" t="inlineStr">
        <is>
          <t>nur Abholung</t>
        </is>
      </c>
      <c r="W243" s="15" t="inlineStr">
        <is>
          <t>F-274</t>
        </is>
      </c>
      <c r="X243" s="19" t="inlineStr">
        <is>
          <t>ja</t>
        </is>
      </c>
      <c r="Y243" s="19" t="n"/>
      <c r="Z243" s="19" t="inlineStr">
        <is>
          <t>verfügbar</t>
        </is>
      </c>
      <c r="AA243" s="19" t="n"/>
      <c r="AB243" s="19" t="n"/>
      <c r="AC243" s="19" t="n"/>
      <c r="AD243" s="19" t="n"/>
      <c r="AE243" s="20" t="n"/>
      <c r="AF243" s="21">
        <f>IF(K243="","",K243*AE243)</f>
        <v/>
      </c>
      <c r="AG243" s="19" t="n"/>
      <c r="AH243" s="19" t="n"/>
      <c r="AI243" s="19" t="n"/>
      <c r="AJ243" s="19" t="n"/>
      <c r="AK243" s="19" t="n"/>
      <c r="AL243" s="19" t="n"/>
      <c r="AM243" s="16" t="inlineStr">
        <is>
          <t>2 Hocker: einer im Personalraum (BA09-06) und einer im Ruhe- und Schlafraum (dort mit BA10-12 beschriftet).</t>
        </is>
      </c>
      <c r="AN243" s="22" t="inlineStr">
        <is>
          <t>Zusammengefasste Position – Post-it-Nummer im zweiten Raum: BA10-12.</t>
        </is>
      </c>
    </row>
    <row r="244" ht="30" customHeight="1">
      <c r="A244" s="15" t="inlineStr">
        <is>
          <t>NE02-01</t>
        </is>
      </c>
      <c r="B244" s="15" t="n"/>
      <c r="C244" s="15" t="n"/>
      <c r="D244" s="15" t="inlineStr">
        <is>
          <t>NE02</t>
        </is>
      </c>
      <c r="E244" s="15" t="inlineStr">
        <is>
          <t>Hirsch Metall, stehend</t>
        </is>
      </c>
      <c r="F244" s="16" t="inlineStr">
        <is>
          <t>Figur eines Hirschs aus Metall mit dunkler, teils silbrig durchscheinender Oberfläche, auf länglichem Sockel mit Geweihstück.</t>
        </is>
      </c>
      <c r="G244" s="15" t="inlineStr">
        <is>
          <t>Deko</t>
        </is>
      </c>
      <c r="H244" s="15" t="inlineStr">
        <is>
          <t>Küche</t>
        </is>
      </c>
      <c r="I244" s="15" t="inlineStr">
        <is>
          <t>B</t>
        </is>
      </c>
      <c r="J244" s="17" t="n">
        <v>1</v>
      </c>
      <c r="K244" s="17" t="n"/>
      <c r="L244" s="18">
        <f>J244-IF(K244="",0,K244)</f>
        <v/>
      </c>
      <c r="M244" s="15" t="inlineStr">
        <is>
          <t>Stück</t>
        </is>
      </c>
      <c r="N244" s="15" t="inlineStr">
        <is>
          <t>gut</t>
        </is>
      </c>
      <c r="O244" s="19" t="n"/>
      <c r="P244" s="19" t="inlineStr">
        <is>
          <t>ja</t>
        </is>
      </c>
      <c r="Q244" s="19" t="n"/>
      <c r="R244" s="20" t="n"/>
      <c r="S244" s="20" t="n">
        <v>60</v>
      </c>
      <c r="T244" s="19" t="inlineStr">
        <is>
          <t>VHB</t>
        </is>
      </c>
      <c r="U244" s="21">
        <f>L244*S244</f>
        <v/>
      </c>
      <c r="V244" s="15" t="inlineStr">
        <is>
          <t>Versand möglich</t>
        </is>
      </c>
      <c r="W244" s="15" t="inlineStr">
        <is>
          <t>F-276</t>
        </is>
      </c>
      <c r="X244" s="19" t="inlineStr">
        <is>
          <t>ja</t>
        </is>
      </c>
      <c r="Y244" s="19" t="n"/>
      <c r="Z244" s="19" t="inlineStr">
        <is>
          <t>verfügbar</t>
        </is>
      </c>
      <c r="AA244" s="19" t="n"/>
      <c r="AB244" s="19" t="inlineStr">
        <is>
          <t>Schwarzwald</t>
        </is>
      </c>
      <c r="AC244" s="19" t="n"/>
      <c r="AD244" s="19" t="n"/>
      <c r="AE244" s="20" t="n"/>
      <c r="AF244" s="21">
        <f>IF(K244="","",K244*AE244)</f>
        <v/>
      </c>
      <c r="AG244" s="19" t="n"/>
      <c r="AH244" s="19" t="n"/>
      <c r="AI244" s="19" t="n"/>
      <c r="AJ244" s="19" t="n"/>
      <c r="AK244" s="19" t="n"/>
      <c r="AL244" s="19" t="n"/>
      <c r="AM244" s="16" t="inlineStr">
        <is>
          <t>1 Figur.</t>
        </is>
      </c>
      <c r="AN244" s="22" t="n"/>
    </row>
    <row r="245" ht="30" customHeight="1">
      <c r="A245" s="15" t="inlineStr">
        <is>
          <t>NE02-02</t>
        </is>
      </c>
      <c r="B245" s="15" t="n"/>
      <c r="C245" s="15" t="n"/>
      <c r="D245" s="15" t="inlineStr">
        <is>
          <t>NE02</t>
        </is>
      </c>
      <c r="E245" s="15" t="inlineStr">
        <is>
          <t>Barhocker dunkelgrau, Erwachsenenhöhe</t>
        </is>
      </c>
      <c r="F245" s="16" t="inlineStr">
        <is>
          <t>Barhocker mit dunkelgrauer Kunststoffschale auf schwarzem Kufengestell aus Rundstahl, mit Fußstütze.</t>
        </is>
      </c>
      <c r="G245" s="15" t="inlineStr">
        <is>
          <t>Möbel</t>
        </is>
      </c>
      <c r="H245" s="15" t="inlineStr">
        <is>
          <t>Küche</t>
        </is>
      </c>
      <c r="I245" s="15" t="inlineStr">
        <is>
          <t>B</t>
        </is>
      </c>
      <c r="J245" s="17" t="n">
        <v>2</v>
      </c>
      <c r="K245" s="17" t="n"/>
      <c r="L245" s="18">
        <f>J245-IF(K245="",0,K245)</f>
        <v/>
      </c>
      <c r="M245" s="15" t="inlineStr">
        <is>
          <t>Stück</t>
        </is>
      </c>
      <c r="N245" s="15" t="inlineStr">
        <is>
          <t>gebraucht</t>
        </is>
      </c>
      <c r="O245" s="19" t="n"/>
      <c r="P245" s="19" t="inlineStr">
        <is>
          <t>ja</t>
        </is>
      </c>
      <c r="Q245" s="19" t="n"/>
      <c r="R245" s="20" t="n"/>
      <c r="S245" s="20" t="n">
        <v>45</v>
      </c>
      <c r="T245" s="19" t="inlineStr">
        <is>
          <t>VHB</t>
        </is>
      </c>
      <c r="U245" s="21">
        <f>L245*S245</f>
        <v/>
      </c>
      <c r="V245" s="15" t="inlineStr">
        <is>
          <t>nur Abholung</t>
        </is>
      </c>
      <c r="W245" s="15" t="inlineStr">
        <is>
          <t>F-277</t>
        </is>
      </c>
      <c r="X245" s="19" t="inlineStr">
        <is>
          <t>ja</t>
        </is>
      </c>
      <c r="Y245" s="19" t="n"/>
      <c r="Z245" s="19" t="inlineStr">
        <is>
          <t>verfügbar</t>
        </is>
      </c>
      <c r="AA245" s="19" t="n"/>
      <c r="AB245" s="19" t="n"/>
      <c r="AC245" s="19" t="n"/>
      <c r="AD245" s="19" t="n"/>
      <c r="AE245" s="20" t="n"/>
      <c r="AF245" s="21">
        <f>IF(K245="","",K245*AE245)</f>
        <v/>
      </c>
      <c r="AG245" s="19" t="n"/>
      <c r="AH245" s="19" t="n"/>
      <c r="AI245" s="19" t="n"/>
      <c r="AJ245" s="19" t="n"/>
      <c r="AK245" s="19" t="n"/>
      <c r="AL245" s="19" t="n"/>
      <c r="AM245" s="16" t="inlineStr">
        <is>
          <t>2 Hocker – abgebildet ist einer davon.</t>
        </is>
      </c>
      <c r="AN245" s="22" t="n"/>
    </row>
    <row r="246" ht="30" customHeight="1">
      <c r="A246" s="15" t="inlineStr">
        <is>
          <t>NE02-03</t>
        </is>
      </c>
      <c r="B246" s="15" t="n"/>
      <c r="C246" s="15" t="n"/>
      <c r="D246" s="15" t="inlineStr">
        <is>
          <t>NE02</t>
        </is>
      </c>
      <c r="E246" s="15" t="inlineStr">
        <is>
          <t>Wäschekorb schwarz mit Deckel</t>
        </is>
      </c>
      <c r="F246" s="16" t="inlineStr">
        <is>
          <t>Wäschekorb aus Kunststoff in Flechtoptik, schwarz, mit aufklappbarem Deckel.</t>
        </is>
      </c>
      <c r="G246" s="15" t="inlineStr">
        <is>
          <t>Sonstiges</t>
        </is>
      </c>
      <c r="H246" s="15" t="inlineStr">
        <is>
          <t>Küche</t>
        </is>
      </c>
      <c r="I246" s="15" t="inlineStr">
        <is>
          <t>C</t>
        </is>
      </c>
      <c r="J246" s="17" t="n">
        <v>3</v>
      </c>
      <c r="K246" s="17" t="n"/>
      <c r="L246" s="18">
        <f>J246-IF(K246="",0,K246)</f>
        <v/>
      </c>
      <c r="M246" s="15" t="inlineStr">
        <is>
          <t>Stück</t>
        </is>
      </c>
      <c r="N246" s="15" t="inlineStr">
        <is>
          <t>gebraucht</t>
        </is>
      </c>
      <c r="O246" s="19" t="n"/>
      <c r="P246" s="19" t="inlineStr">
        <is>
          <t>ja</t>
        </is>
      </c>
      <c r="Q246" s="19" t="n"/>
      <c r="R246" s="20" t="n"/>
      <c r="S246" s="20" t="n">
        <v>12</v>
      </c>
      <c r="T246" s="19" t="inlineStr">
        <is>
          <t>VHB</t>
        </is>
      </c>
      <c r="U246" s="21">
        <f>L246*S246</f>
        <v/>
      </c>
      <c r="V246" s="15" t="inlineStr">
        <is>
          <t>nur Abholung</t>
        </is>
      </c>
      <c r="W246" s="15" t="inlineStr">
        <is>
          <t>F-278</t>
        </is>
      </c>
      <c r="X246" s="19" t="inlineStr">
        <is>
          <t>ja</t>
        </is>
      </c>
      <c r="Y246" s="19" t="n"/>
      <c r="Z246" s="19" t="inlineStr">
        <is>
          <t>verfügbar</t>
        </is>
      </c>
      <c r="AA246" s="19" t="n"/>
      <c r="AB246" s="19" t="n"/>
      <c r="AC246" s="19" t="n"/>
      <c r="AD246" s="19" t="n"/>
      <c r="AE246" s="20" t="n"/>
      <c r="AF246" s="21">
        <f>IF(K246="","",K246*AE246)</f>
        <v/>
      </c>
      <c r="AG246" s="19" t="n"/>
      <c r="AH246" s="19" t="n"/>
      <c r="AI246" s="19" t="n"/>
      <c r="AJ246" s="19" t="n"/>
      <c r="AK246" s="19" t="n"/>
      <c r="AL246" s="19" t="n"/>
      <c r="AM246" s="16" t="inlineStr">
        <is>
          <t>3 Körbe – abgebildet ist einer davon.</t>
        </is>
      </c>
      <c r="AN246" s="22" t="n"/>
    </row>
    <row r="247" ht="30" customHeight="1">
      <c r="A247" s="15" t="inlineStr">
        <is>
          <t>NE02-04</t>
        </is>
      </c>
      <c r="B247" s="15" t="n"/>
      <c r="C247" s="15" t="n"/>
      <c r="D247" s="15" t="inlineStr">
        <is>
          <t>NE02</t>
        </is>
      </c>
      <c r="E247" s="15" t="inlineStr">
        <is>
          <t>Mülleimer Kunststoff schwarz, groß</t>
        </is>
      </c>
      <c r="F247" s="16" t="inlineStr">
        <is>
          <t>Runder Abfallbehälter aus schwarzem Kunststoff mit aufgesetztem Schwingdeckel.</t>
        </is>
      </c>
      <c r="G247" s="15" t="inlineStr">
        <is>
          <t>Sonstiges</t>
        </is>
      </c>
      <c r="H247" s="15" t="inlineStr">
        <is>
          <t>Küche</t>
        </is>
      </c>
      <c r="I247" s="15" t="inlineStr">
        <is>
          <t>C</t>
        </is>
      </c>
      <c r="J247" s="17" t="n">
        <v>2</v>
      </c>
      <c r="K247" s="17" t="n"/>
      <c r="L247" s="18">
        <f>J247-IF(K247="",0,K247)</f>
        <v/>
      </c>
      <c r="M247" s="15" t="inlineStr">
        <is>
          <t>Stück</t>
        </is>
      </c>
      <c r="N247" s="15" t="inlineStr">
        <is>
          <t>gebraucht</t>
        </is>
      </c>
      <c r="O247" s="19" t="n"/>
      <c r="P247" s="19" t="inlineStr">
        <is>
          <t>ja</t>
        </is>
      </c>
      <c r="Q247" s="19" t="n"/>
      <c r="R247" s="20" t="n"/>
      <c r="S247" s="20" t="n">
        <v>15</v>
      </c>
      <c r="T247" s="19" t="inlineStr">
        <is>
          <t>VHB</t>
        </is>
      </c>
      <c r="U247" s="21">
        <f>L247*S247</f>
        <v/>
      </c>
      <c r="V247" s="15" t="inlineStr">
        <is>
          <t>nur Abholung</t>
        </is>
      </c>
      <c r="W247" s="15" t="inlineStr">
        <is>
          <t>F-279</t>
        </is>
      </c>
      <c r="X247" s="19" t="inlineStr">
        <is>
          <t>ja</t>
        </is>
      </c>
      <c r="Y247" s="19" t="n"/>
      <c r="Z247" s="19" t="inlineStr">
        <is>
          <t>verfügbar</t>
        </is>
      </c>
      <c r="AA247" s="19" t="n"/>
      <c r="AB247" s="19" t="n"/>
      <c r="AC247" s="19" t="n"/>
      <c r="AD247" s="19" t="n"/>
      <c r="AE247" s="20" t="n"/>
      <c r="AF247" s="21">
        <f>IF(K247="","",K247*AE247)</f>
        <v/>
      </c>
      <c r="AG247" s="19" t="n"/>
      <c r="AH247" s="19" t="n"/>
      <c r="AI247" s="19" t="n"/>
      <c r="AJ247" s="19" t="n"/>
      <c r="AK247" s="19" t="n"/>
      <c r="AL247" s="19" t="n"/>
      <c r="AM247" s="16" t="inlineStr">
        <is>
          <t>2 Eimer. Der zweite steht in einem anderen Raum und trägt dort kein eigenes Post-it.</t>
        </is>
      </c>
      <c r="AN247" s="22" t="n"/>
    </row>
    <row r="248" ht="30" customHeight="1">
      <c r="A248" s="15" t="inlineStr">
        <is>
          <t>NE02-05</t>
        </is>
      </c>
      <c r="B248" s="15" t="n"/>
      <c r="C248" s="15" t="inlineStr">
        <is>
          <t>NE02-06, NE02-07, BU06-01, BU06-02, BU06-03, BU06-04</t>
        </is>
      </c>
      <c r="D248" s="15" t="inlineStr">
        <is>
          <t>NE02</t>
        </is>
      </c>
      <c r="E248" s="15" t="inlineStr">
        <is>
          <t>Geschirr-Konvolut Kinder: 134 Becher und 49 Teller</t>
        </is>
      </c>
      <c r="F248" s="16" t="inlineStr">
        <is>
          <t>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G248" s="15" t="inlineStr">
        <is>
          <t>Sonstiges</t>
        </is>
      </c>
      <c r="H248" s="15" t="inlineStr">
        <is>
          <t>Küche</t>
        </is>
      </c>
      <c r="I248" s="15" t="inlineStr">
        <is>
          <t>B</t>
        </is>
      </c>
      <c r="J248" s="17" t="n">
        <v>1</v>
      </c>
      <c r="K248" s="17" t="n"/>
      <c r="L248" s="18">
        <f>J248-IF(K248="",0,K248)</f>
        <v/>
      </c>
      <c r="M248" s="15" t="inlineStr">
        <is>
          <t>Konvolut</t>
        </is>
      </c>
      <c r="N248" s="15" t="inlineStr">
        <is>
          <t>gebraucht</t>
        </is>
      </c>
      <c r="O248" s="19" t="n"/>
      <c r="P248" s="19" t="inlineStr">
        <is>
          <t>ja</t>
        </is>
      </c>
      <c r="Q248" s="19" t="n"/>
      <c r="R248" s="20" t="n"/>
      <c r="S248" s="20" t="n">
        <v>150</v>
      </c>
      <c r="T248" s="19" t="inlineStr">
        <is>
          <t>VHB</t>
        </is>
      </c>
      <c r="U248" s="21">
        <f>L248*S248</f>
        <v/>
      </c>
      <c r="V248" s="15" t="inlineStr">
        <is>
          <t>Versand möglich</t>
        </is>
      </c>
      <c r="W248" s="15" t="inlineStr">
        <is>
          <t>F-423</t>
        </is>
      </c>
      <c r="X248" s="19" t="inlineStr">
        <is>
          <t>ja</t>
        </is>
      </c>
      <c r="Y248" s="19" t="n"/>
      <c r="Z248" s="19" t="inlineStr">
        <is>
          <t>verfügbar</t>
        </is>
      </c>
      <c r="AA248" s="19" t="n"/>
      <c r="AB248" s="19" t="n"/>
      <c r="AC248" s="19" t="n"/>
      <c r="AD248" s="19" t="n"/>
      <c r="AE248" s="20" t="n"/>
      <c r="AF248" s="21">
        <f>IF(K248="","",K248*AE248)</f>
        <v/>
      </c>
      <c r="AG248" s="19" t="n"/>
      <c r="AH248" s="19" t="n"/>
      <c r="AI248" s="19" t="n"/>
      <c r="AJ248" s="19" t="n"/>
      <c r="AK248" s="19" t="n"/>
      <c r="AL248" s="19" t="n"/>
      <c r="AM248" s="16" t="inlineStr">
        <is>
          <t>1 Konvolut mit 183 Teilen, nur komplett. Aus der Küche im Erdgeschoss des Neubaus (NE02-05, -06, -07) und aus der Küche im Untergeschoss des Bestandsgebäudes (BU06-01 bis BU06-04). Weitere Fotos: F-280, F-281, F-282, F-424, F-425, F-426.</t>
        </is>
      </c>
      <c r="AN248" s="22" t="inlineStr">
        <is>
          <t>Zusammengefasstes Konvolut ueber zwei Kuechen - Post-it-Nummern: NE02-06, NE02-07, BU06-01, BU06-02, BU06-03, BU06-04.</t>
        </is>
      </c>
    </row>
    <row r="249" ht="30" customHeight="1">
      <c r="A249" s="15" t="inlineStr">
        <is>
          <t>NE02-08</t>
        </is>
      </c>
      <c r="B249" s="15" t="n"/>
      <c r="C249" s="15" t="n"/>
      <c r="D249" s="15" t="inlineStr">
        <is>
          <t>NE02</t>
        </is>
      </c>
      <c r="E249" s="15" t="inlineStr">
        <is>
          <t>Schriftzug „Sterneküche", schwarz</t>
        </is>
      </c>
      <c r="F249" s="16" t="inlineStr">
        <is>
          <t>Großer Wandschriftzug „Sterneküche" in Schreibschrift, schwarz, aus Holz gefräst.</t>
        </is>
      </c>
      <c r="G249" s="15" t="inlineStr">
        <is>
          <t>Deko</t>
        </is>
      </c>
      <c r="H249" s="15" t="inlineStr">
        <is>
          <t>Küche</t>
        </is>
      </c>
      <c r="I249" s="15" t="inlineStr">
        <is>
          <t>B</t>
        </is>
      </c>
      <c r="J249" s="17" t="n">
        <v>1</v>
      </c>
      <c r="K249" s="17" t="n"/>
      <c r="L249" s="18">
        <f>J249-IF(K249="",0,K249)</f>
        <v/>
      </c>
      <c r="M249" s="15" t="inlineStr">
        <is>
          <t>Stück</t>
        </is>
      </c>
      <c r="N249" s="15" t="inlineStr">
        <is>
          <t>gut</t>
        </is>
      </c>
      <c r="O249" s="19" t="n"/>
      <c r="P249" s="19" t="inlineStr">
        <is>
          <t>ja</t>
        </is>
      </c>
      <c r="Q249" s="19" t="n"/>
      <c r="R249" s="20" t="n"/>
      <c r="S249" s="20" t="n">
        <v>35</v>
      </c>
      <c r="T249" s="19" t="inlineStr">
        <is>
          <t>VHB</t>
        </is>
      </c>
      <c r="U249" s="21">
        <f>L249*S249</f>
        <v/>
      </c>
      <c r="V249" s="15" t="inlineStr">
        <is>
          <t>Versand möglich</t>
        </is>
      </c>
      <c r="W249" s="15" t="inlineStr">
        <is>
          <t>F-283</t>
        </is>
      </c>
      <c r="X249" s="19" t="inlineStr">
        <is>
          <t>ja</t>
        </is>
      </c>
      <c r="Y249" s="19" t="n"/>
      <c r="Z249" s="19" t="inlineStr">
        <is>
          <t>verfügbar</t>
        </is>
      </c>
      <c r="AA249" s="19" t="n"/>
      <c r="AB249" s="19" t="n"/>
      <c r="AC249" s="19" t="n"/>
      <c r="AD249" s="19" t="n"/>
      <c r="AE249" s="20" t="n"/>
      <c r="AF249" s="21">
        <f>IF(K249="","",K249*AE249)</f>
        <v/>
      </c>
      <c r="AG249" s="19" t="n"/>
      <c r="AH249" s="19" t="n"/>
      <c r="AI249" s="19" t="n"/>
      <c r="AJ249" s="19" t="n"/>
      <c r="AK249" s="19" t="n"/>
      <c r="AL249" s="19" t="n"/>
      <c r="AM249" s="16" t="inlineStr">
        <is>
          <t>1 Schriftzug.</t>
        </is>
      </c>
      <c r="AN249" s="22" t="n"/>
    </row>
    <row r="250" ht="30" customHeight="1">
      <c r="A250" s="15" t="inlineStr">
        <is>
          <t>NE02-09</t>
        </is>
      </c>
      <c r="B250" s="15" t="n"/>
      <c r="C250" s="15" t="n"/>
      <c r="D250" s="15" t="inlineStr">
        <is>
          <t>NE02</t>
        </is>
      </c>
      <c r="E250" s="15" t="inlineStr">
        <is>
          <t>Tablett weiß mit Streifenmuster</t>
        </is>
      </c>
      <c r="F250" s="16" t="inlineStr">
        <is>
          <t>Serviertablett aus Kunststoff, weiß mit Griffausschnitten, Boden mit Streifenmuster – eines in Blautönen, eines in Rottönen.</t>
        </is>
      </c>
      <c r="G250" s="15" t="inlineStr">
        <is>
          <t>Sonstiges</t>
        </is>
      </c>
      <c r="H250" s="15" t="inlineStr">
        <is>
          <t>Küche</t>
        </is>
      </c>
      <c r="I250" s="15" t="inlineStr">
        <is>
          <t>C</t>
        </is>
      </c>
      <c r="J250" s="17" t="n">
        <v>2</v>
      </c>
      <c r="K250" s="17" t="n"/>
      <c r="L250" s="18">
        <f>J250-IF(K250="",0,K250)</f>
        <v/>
      </c>
      <c r="M250" s="15" t="inlineStr">
        <is>
          <t>Stück</t>
        </is>
      </c>
      <c r="N250" s="15" t="inlineStr">
        <is>
          <t>gut</t>
        </is>
      </c>
      <c r="O250" s="19" t="n"/>
      <c r="P250" s="19" t="inlineStr">
        <is>
          <t>ja</t>
        </is>
      </c>
      <c r="Q250" s="19" t="n"/>
      <c r="R250" s="20" t="n"/>
      <c r="S250" s="20" t="n">
        <v>8</v>
      </c>
      <c r="T250" s="19" t="inlineStr">
        <is>
          <t>VHB</t>
        </is>
      </c>
      <c r="U250" s="21">
        <f>L250*S250</f>
        <v/>
      </c>
      <c r="V250" s="15" t="inlineStr">
        <is>
          <t>Versand möglich</t>
        </is>
      </c>
      <c r="W250" s="15" t="inlineStr">
        <is>
          <t>F-284</t>
        </is>
      </c>
      <c r="X250" s="19" t="inlineStr">
        <is>
          <t>ja</t>
        </is>
      </c>
      <c r="Y250" s="19" t="n"/>
      <c r="Z250" s="19" t="inlineStr">
        <is>
          <t>verfügbar</t>
        </is>
      </c>
      <c r="AA250" s="19" t="n"/>
      <c r="AB250" s="19" t="n"/>
      <c r="AC250" s="19" t="n"/>
      <c r="AD250" s="19" t="n"/>
      <c r="AE250" s="20" t="n"/>
      <c r="AF250" s="21">
        <f>IF(K250="","",K250*AE250)</f>
        <v/>
      </c>
      <c r="AG250" s="19" t="n"/>
      <c r="AH250" s="19" t="n"/>
      <c r="AI250" s="19" t="n"/>
      <c r="AJ250" s="19" t="n"/>
      <c r="AK250" s="19" t="n"/>
      <c r="AL250" s="19" t="n"/>
      <c r="AM250" s="16" t="inlineStr">
        <is>
          <t>2 Tabletts, beide abgebildet.</t>
        </is>
      </c>
      <c r="AN250" s="22" t="n"/>
    </row>
    <row r="251" ht="30" customHeight="1">
      <c r="A251" s="15" t="inlineStr">
        <is>
          <t>BA10-09</t>
        </is>
      </c>
      <c r="B251" s="15" t="n"/>
      <c r="C251" s="15" t="n"/>
      <c r="D251" s="15" t="inlineStr">
        <is>
          <t>BA10</t>
        </is>
      </c>
      <c r="E251" s="15" t="inlineStr">
        <is>
          <t>Beistelltisch rund, Tablettplatte Birke</t>
        </is>
      </c>
      <c r="F251" s="16" t="inlineStr">
        <is>
          <t>Runder Beistelltisch: abnehmbare Tablettplatte aus Birke mit umlaufendem Rand, auf einem weißen Gestell aus Rundstahl mit Tragebügel.</t>
        </is>
      </c>
      <c r="G251" s="15" t="inlineStr">
        <is>
          <t>Möbel</t>
        </is>
      </c>
      <c r="H251" s="15" t="inlineStr">
        <is>
          <t>Ruhe- / Schlafraum</t>
        </is>
      </c>
      <c r="I251" s="15" t="inlineStr">
        <is>
          <t>B</t>
        </is>
      </c>
      <c r="J251" s="17" t="n">
        <v>1</v>
      </c>
      <c r="K251" s="17" t="n"/>
      <c r="L251" s="18">
        <f>J251-IF(K251="",0,K251)</f>
        <v/>
      </c>
      <c r="M251" s="15" t="inlineStr">
        <is>
          <t>Stück</t>
        </is>
      </c>
      <c r="N251" s="15" t="inlineStr">
        <is>
          <t>gebraucht</t>
        </is>
      </c>
      <c r="O251" s="19" t="n"/>
      <c r="P251" s="19" t="inlineStr">
        <is>
          <t>ja</t>
        </is>
      </c>
      <c r="Q251" s="19" t="n"/>
      <c r="R251" s="20" t="n"/>
      <c r="S251" s="20" t="n">
        <v>35</v>
      </c>
      <c r="T251" s="19" t="inlineStr">
        <is>
          <t>VHB</t>
        </is>
      </c>
      <c r="U251" s="21">
        <f>L251*S251</f>
        <v/>
      </c>
      <c r="V251" s="15" t="inlineStr">
        <is>
          <t>nur Abholung</t>
        </is>
      </c>
      <c r="W251" s="15" t="inlineStr">
        <is>
          <t>F-286</t>
        </is>
      </c>
      <c r="X251" s="19" t="inlineStr">
        <is>
          <t>ja</t>
        </is>
      </c>
      <c r="Y251" s="19" t="n"/>
      <c r="Z251" s="19" t="inlineStr">
        <is>
          <t>verfügbar</t>
        </is>
      </c>
      <c r="AA251" s="19" t="n"/>
      <c r="AB251" s="19" t="n"/>
      <c r="AC251" s="19" t="n"/>
      <c r="AD251" s="19" t="n"/>
      <c r="AE251" s="20" t="n"/>
      <c r="AF251" s="21">
        <f>IF(K251="","",K251*AE251)</f>
        <v/>
      </c>
      <c r="AG251" s="19" t="n"/>
      <c r="AH251" s="19" t="n"/>
      <c r="AI251" s="19" t="n"/>
      <c r="AJ251" s="19" t="n"/>
      <c r="AK251" s="19" t="n"/>
      <c r="AL251" s="19" t="n"/>
      <c r="AM251" s="16" t="inlineStr">
        <is>
          <t>1 Tisch. Die Teelichtgläser gehören nicht dazu.</t>
        </is>
      </c>
      <c r="AN251" s="22" t="n"/>
    </row>
    <row r="252" ht="30" customHeight="1">
      <c r="A252" s="15" t="inlineStr">
        <is>
          <t>BA10-10</t>
        </is>
      </c>
      <c r="B252" s="15" t="n"/>
      <c r="C252" s="15" t="n"/>
      <c r="D252" s="15" t="inlineStr">
        <is>
          <t>BA10</t>
        </is>
      </c>
      <c r="E252" s="15" t="inlineStr">
        <is>
          <t>Beistelltisch rund, Tablettplatte schwarz</t>
        </is>
      </c>
      <c r="F252" s="16" t="inlineStr">
        <is>
          <t>Runder Beistelltisch mit schwarzer Tablettplatte auf drei schlanken, schwarz lackierten Metallbeinen. Platte mit Gebrauchsspuren.</t>
        </is>
      </c>
      <c r="G252" s="15" t="inlineStr">
        <is>
          <t>Möbel</t>
        </is>
      </c>
      <c r="H252" s="15" t="inlineStr">
        <is>
          <t>Ruhe- / Schlafraum</t>
        </is>
      </c>
      <c r="I252" s="15" t="inlineStr">
        <is>
          <t>B</t>
        </is>
      </c>
      <c r="J252" s="17" t="n">
        <v>1</v>
      </c>
      <c r="K252" s="17" t="n"/>
      <c r="L252" s="18">
        <f>J252-IF(K252="",0,K252)</f>
        <v/>
      </c>
      <c r="M252" s="15" t="inlineStr">
        <is>
          <t>Stück</t>
        </is>
      </c>
      <c r="N252" s="15" t="inlineStr">
        <is>
          <t>gebraucht</t>
        </is>
      </c>
      <c r="O252" s="19" t="n"/>
      <c r="P252" s="19" t="inlineStr">
        <is>
          <t>ja</t>
        </is>
      </c>
      <c r="Q252" s="19" t="n"/>
      <c r="R252" s="20" t="n"/>
      <c r="S252" s="20" t="n">
        <v>30</v>
      </c>
      <c r="T252" s="19" t="inlineStr">
        <is>
          <t>VHB</t>
        </is>
      </c>
      <c r="U252" s="21">
        <f>L252*S252</f>
        <v/>
      </c>
      <c r="V252" s="15" t="inlineStr">
        <is>
          <t>nur Abholung</t>
        </is>
      </c>
      <c r="W252" s="15" t="inlineStr">
        <is>
          <t>F-287</t>
        </is>
      </c>
      <c r="X252" s="19" t="inlineStr">
        <is>
          <t>ja</t>
        </is>
      </c>
      <c r="Y252" s="19" t="n"/>
      <c r="Z252" s="19" t="inlineStr">
        <is>
          <t>verfügbar</t>
        </is>
      </c>
      <c r="AA252" s="19" t="n"/>
      <c r="AB252" s="19" t="n"/>
      <c r="AC252" s="19" t="n"/>
      <c r="AD252" s="19" t="n"/>
      <c r="AE252" s="20" t="n"/>
      <c r="AF252" s="21">
        <f>IF(K252="","",K252*AE252)</f>
        <v/>
      </c>
      <c r="AG252" s="19" t="n"/>
      <c r="AH252" s="19" t="n"/>
      <c r="AI252" s="19" t="n"/>
      <c r="AJ252" s="19" t="n"/>
      <c r="AK252" s="19" t="n"/>
      <c r="AL252" s="19" t="n"/>
      <c r="AM252" s="16" t="inlineStr">
        <is>
          <t>1 Tisch. Die Kerzengläser gehören nicht dazu.</t>
        </is>
      </c>
      <c r="AN252" s="22" t="n"/>
    </row>
    <row r="253" ht="30" customHeight="1">
      <c r="A253" s="15" t="inlineStr">
        <is>
          <t>BA10-11</t>
        </is>
      </c>
      <c r="B253" s="15" t="n"/>
      <c r="C253" s="15" t="n"/>
      <c r="D253" s="15" t="inlineStr">
        <is>
          <t>BA10</t>
        </is>
      </c>
      <c r="E253" s="15" t="inlineStr">
        <is>
          <t>Tisch rund, zweiteilig, weiß</t>
        </is>
      </c>
      <c r="F253" s="16" t="inlineStr">
        <is>
          <t>Runder Tisch aus zwei halbrunden weißen Platten mit Multiplex-Kante, auf höhenverstellbaren Rundfüßen aus Chrom. Die Hälften lassen sich einzeln stellen.</t>
        </is>
      </c>
      <c r="G253" s="15" t="inlineStr">
        <is>
          <t>Möbel</t>
        </is>
      </c>
      <c r="H253" s="15" t="inlineStr">
        <is>
          <t>Ruhe- / Schlafraum</t>
        </is>
      </c>
      <c r="I253" s="15" t="inlineStr">
        <is>
          <t>B</t>
        </is>
      </c>
      <c r="J253" s="17" t="n">
        <v>1</v>
      </c>
      <c r="K253" s="17" t="n"/>
      <c r="L253" s="18">
        <f>J253-IF(K253="",0,K253)</f>
        <v/>
      </c>
      <c r="M253" s="15" t="inlineStr">
        <is>
          <t>Stück</t>
        </is>
      </c>
      <c r="N253" s="15" t="inlineStr">
        <is>
          <t>gebraucht</t>
        </is>
      </c>
      <c r="O253" s="19" t="n"/>
      <c r="P253" s="19" t="inlineStr">
        <is>
          <t>ja</t>
        </is>
      </c>
      <c r="Q253" s="19" t="n"/>
      <c r="R253" s="20" t="n"/>
      <c r="S253" s="20" t="n">
        <v>90</v>
      </c>
      <c r="T253" s="19" t="inlineStr">
        <is>
          <t>VHB</t>
        </is>
      </c>
      <c r="U253" s="21">
        <f>L253*S253</f>
        <v/>
      </c>
      <c r="V253" s="15" t="inlineStr">
        <is>
          <t>nur Abholung</t>
        </is>
      </c>
      <c r="W253" s="15" t="inlineStr">
        <is>
          <t>F-288</t>
        </is>
      </c>
      <c r="X253" s="19" t="inlineStr">
        <is>
          <t>ja</t>
        </is>
      </c>
      <c r="Y253" s="19" t="n"/>
      <c r="Z253" s="19" t="inlineStr">
        <is>
          <t>verfügbar</t>
        </is>
      </c>
      <c r="AA253" s="19" t="n"/>
      <c r="AB253" s="19" t="n"/>
      <c r="AC253" s="19" t="n"/>
      <c r="AD253" s="19" t="n"/>
      <c r="AE253" s="20" t="n"/>
      <c r="AF253" s="21">
        <f>IF(K253="","",K253*AE253)</f>
        <v/>
      </c>
      <c r="AG253" s="19" t="n"/>
      <c r="AH253" s="19" t="n"/>
      <c r="AI253" s="19" t="n"/>
      <c r="AJ253" s="19" t="n"/>
      <c r="AK253" s="19" t="n"/>
      <c r="AL253" s="19" t="n"/>
      <c r="AM253" s="16" t="inlineStr">
        <is>
          <t>1 Tisch aus zwei halbrunden Platten.</t>
        </is>
      </c>
      <c r="AN253" s="22" t="n"/>
    </row>
    <row r="254" ht="30" customHeight="1">
      <c r="A254" s="15" t="inlineStr">
        <is>
          <t>BA03-01</t>
        </is>
      </c>
      <c r="B254" s="15" t="n"/>
      <c r="C254" s="15" t="n"/>
      <c r="D254" s="15" t="inlineStr">
        <is>
          <t>BA03</t>
        </is>
      </c>
      <c r="E254" s="15" t="inlineStr">
        <is>
          <t>IKEA Avsiktlig Teppich, schwarz-weiß gepunktet</t>
        </is>
      </c>
      <c r="F254" s="16" t="inlineStr">
        <is>
          <t>Flachgewebter Teppich in Creme mit schwarzen Punktreihen, IKEA Avsiktlig. Flor 100 % Polypropylen auf Jutekette. Etikett auf der Rückseite vorhanden.</t>
        </is>
      </c>
      <c r="G254" s="15" t="inlineStr">
        <is>
          <t>Textilien</t>
        </is>
      </c>
      <c r="H254" s="15" t="inlineStr">
        <is>
          <t>Galerie</t>
        </is>
      </c>
      <c r="I254" s="15" t="inlineStr">
        <is>
          <t>C</t>
        </is>
      </c>
      <c r="J254" s="17" t="n">
        <v>1</v>
      </c>
      <c r="K254" s="17" t="n"/>
      <c r="L254" s="18">
        <f>J254-IF(K254="",0,K254)</f>
        <v/>
      </c>
      <c r="M254" s="15" t="inlineStr">
        <is>
          <t>Stück</t>
        </is>
      </c>
      <c r="N254" s="15" t="inlineStr">
        <is>
          <t>gebraucht</t>
        </is>
      </c>
      <c r="O254" s="19" t="inlineStr">
        <is>
          <t>133 × 195 cm</t>
        </is>
      </c>
      <c r="P254" s="19" t="inlineStr">
        <is>
          <t>ja</t>
        </is>
      </c>
      <c r="Q254" s="19" t="n"/>
      <c r="R254" s="20" t="n"/>
      <c r="S254" s="20" t="n">
        <v>25</v>
      </c>
      <c r="T254" s="19" t="inlineStr">
        <is>
          <t>VHB</t>
        </is>
      </c>
      <c r="U254" s="21">
        <f>L254*S254</f>
        <v/>
      </c>
      <c r="V254" s="15" t="inlineStr">
        <is>
          <t>Versand möglich</t>
        </is>
      </c>
      <c r="W254" s="15" t="inlineStr">
        <is>
          <t>F-291</t>
        </is>
      </c>
      <c r="X254" s="19" t="inlineStr">
        <is>
          <t>ja</t>
        </is>
      </c>
      <c r="Y254" s="19" t="n"/>
      <c r="Z254" s="19" t="inlineStr">
        <is>
          <t>verfügbar</t>
        </is>
      </c>
      <c r="AA254" s="19" t="inlineStr">
        <is>
          <t>IKEA</t>
        </is>
      </c>
      <c r="AB254" s="19" t="n"/>
      <c r="AC254" s="19" t="n"/>
      <c r="AD254" s="19" t="n"/>
      <c r="AE254" s="20" t="n"/>
      <c r="AF254" s="21">
        <f>IF(K254="","",K254*AE254)</f>
        <v/>
      </c>
      <c r="AG254" s="19" t="n"/>
      <c r="AH254" s="19" t="n"/>
      <c r="AI254" s="19" t="n"/>
      <c r="AJ254" s="19" t="n"/>
      <c r="AK254" s="19" t="n"/>
      <c r="AL254" s="19" t="n"/>
      <c r="AM254" s="16" t="inlineStr">
        <is>
          <t>1 Teppich. Das Etikett ist auf Foto F-292 zu sehen.</t>
        </is>
      </c>
      <c r="AN254" s="22" t="n"/>
    </row>
    <row r="255" ht="30" customHeight="1">
      <c r="A255" s="15" t="inlineStr">
        <is>
          <t>BA03-02</t>
        </is>
      </c>
      <c r="B255" s="15" t="n"/>
      <c r="C255" s="15" t="n"/>
      <c r="D255" s="15" t="inlineStr">
        <is>
          <t>BA03</t>
        </is>
      </c>
      <c r="E255" s="15" t="inlineStr">
        <is>
          <t>Spielküche beige-braun, mehrteilig</t>
        </is>
      </c>
      <c r="F255" s="16" t="inlineStr">
        <is>
          <t>Spielküche aus beschichteter Platte in Creme und Taupe mit Holzarbeitsplatten: Mikrowellenmodul mit Digitalanzeige, Unterschränke mit Kochfeld, Backofen mit Sichtfenster und Spüle, dazu ein Wandregal. Abgerundete Ecken, kindgerechte Höhe.</t>
        </is>
      </c>
      <c r="G255" s="15" t="inlineStr">
        <is>
          <t>Kita-Ausstattung</t>
        </is>
      </c>
      <c r="H255" s="15" t="inlineStr">
        <is>
          <t>Galerie</t>
        </is>
      </c>
      <c r="I255" s="15" t="inlineStr">
        <is>
          <t>A</t>
        </is>
      </c>
      <c r="J255" s="17" t="n">
        <v>1</v>
      </c>
      <c r="K255" s="17" t="n"/>
      <c r="L255" s="18">
        <f>J255-IF(K255="",0,K255)</f>
        <v/>
      </c>
      <c r="M255" s="15" t="inlineStr">
        <is>
          <t>Set</t>
        </is>
      </c>
      <c r="N255" s="15" t="inlineStr">
        <is>
          <t>gebraucht</t>
        </is>
      </c>
      <c r="O255" s="19" t="n"/>
      <c r="P255" s="19" t="inlineStr">
        <is>
          <t>ja</t>
        </is>
      </c>
      <c r="Q255" s="19" t="n"/>
      <c r="R255" s="20" t="n"/>
      <c r="S255" s="20" t="n">
        <v>250</v>
      </c>
      <c r="T255" s="19" t="inlineStr">
        <is>
          <t>VHB</t>
        </is>
      </c>
      <c r="U255" s="21">
        <f>L255*S255</f>
        <v/>
      </c>
      <c r="V255" s="15" t="inlineStr">
        <is>
          <t>nur Abholung</t>
        </is>
      </c>
      <c r="W255" s="15" t="inlineStr">
        <is>
          <t>F-293</t>
        </is>
      </c>
      <c r="X255" s="19" t="inlineStr">
        <is>
          <t>ja</t>
        </is>
      </c>
      <c r="Y255" s="19" t="n"/>
      <c r="Z255" s="19" t="inlineStr">
        <is>
          <t>verfügbar</t>
        </is>
      </c>
      <c r="AA255" s="19" t="n"/>
      <c r="AB255" s="19" t="n"/>
      <c r="AC255" s="19" t="n"/>
      <c r="AD255" s="19" t="n"/>
      <c r="AE255" s="20" t="n"/>
      <c r="AF255" s="21">
        <f>IF(K255="","",K255*AE255)</f>
        <v/>
      </c>
      <c r="AG255" s="19" t="n"/>
      <c r="AH255" s="19" t="n"/>
      <c r="AI255" s="19" t="n"/>
      <c r="AJ255" s="19" t="n"/>
      <c r="AK255" s="19" t="n"/>
      <c r="AL255" s="19" t="n"/>
      <c r="AM255" s="16" t="inlineStr">
        <is>
          <t>1 Küche aus mehreren Modulen. Spielgeschirr und Zubehör gehören nicht dazu. Zwei weitere Spielküchen von Wesco stehen unter NU03-03 und NU07-03.</t>
        </is>
      </c>
      <c r="AN255" s="22" t="n"/>
    </row>
    <row r="256" ht="30" customHeight="1">
      <c r="A256" s="15" t="inlineStr">
        <is>
          <t>BA03-03</t>
        </is>
      </c>
      <c r="B256" s="15" t="n"/>
      <c r="C256" s="15" t="n"/>
      <c r="D256" s="15" t="inlineStr">
        <is>
          <t>BA03</t>
        </is>
      </c>
      <c r="E256" s="15" t="inlineStr">
        <is>
          <t>Sofa grau, 2-Sitzer</t>
        </is>
      </c>
      <c r="F256" s="16" t="inlineStr">
        <is>
          <t>Kleines Zweisitzer-Sofa mit grauem Steppbezug aus Velours und weißem Metallgestell. Bezug abnehmbar.</t>
        </is>
      </c>
      <c r="G256" s="15" t="inlineStr">
        <is>
          <t>Möbel</t>
        </is>
      </c>
      <c r="H256" s="15" t="inlineStr">
        <is>
          <t>Galerie</t>
        </is>
      </c>
      <c r="I256" s="15" t="inlineStr">
        <is>
          <t>B</t>
        </is>
      </c>
      <c r="J256" s="17" t="n">
        <v>1</v>
      </c>
      <c r="K256" s="17" t="n"/>
      <c r="L256" s="18">
        <f>J256-IF(K256="",0,K256)</f>
        <v/>
      </c>
      <c r="M256" s="15" t="inlineStr">
        <is>
          <t>Stück</t>
        </is>
      </c>
      <c r="N256" s="15" t="inlineStr">
        <is>
          <t>gebraucht</t>
        </is>
      </c>
      <c r="O256" s="19" t="n"/>
      <c r="P256" s="19" t="inlineStr">
        <is>
          <t>ja</t>
        </is>
      </c>
      <c r="Q256" s="19" t="n"/>
      <c r="R256" s="20" t="n"/>
      <c r="S256" s="20" t="n">
        <v>70</v>
      </c>
      <c r="T256" s="19" t="inlineStr">
        <is>
          <t>VHB</t>
        </is>
      </c>
      <c r="U256" s="21">
        <f>L256*S256</f>
        <v/>
      </c>
      <c r="V256" s="15" t="inlineStr">
        <is>
          <t>nur Abholung</t>
        </is>
      </c>
      <c r="W256" s="15" t="inlineStr">
        <is>
          <t>F-294</t>
        </is>
      </c>
      <c r="X256" s="19" t="inlineStr">
        <is>
          <t>ja</t>
        </is>
      </c>
      <c r="Y256" s="19" t="n"/>
      <c r="Z256" s="19" t="inlineStr">
        <is>
          <t>verfügbar</t>
        </is>
      </c>
      <c r="AA256" s="19" t="n"/>
      <c r="AB256" s="19" t="n"/>
      <c r="AC256" s="19" t="n"/>
      <c r="AD256" s="19" t="n"/>
      <c r="AE256" s="20" t="n"/>
      <c r="AF256" s="21">
        <f>IF(K256="","",K256*AE256)</f>
        <v/>
      </c>
      <c r="AG256" s="19" t="n"/>
      <c r="AH256" s="19" t="n"/>
      <c r="AI256" s="19" t="n"/>
      <c r="AJ256" s="19" t="n"/>
      <c r="AK256" s="19" t="n"/>
      <c r="AL256" s="19" t="n"/>
      <c r="AM256" s="16" t="inlineStr">
        <is>
          <t>1 Sofa. Das Kissen gehört nicht dazu.</t>
        </is>
      </c>
      <c r="AN256" s="22" t="n"/>
    </row>
    <row r="257" ht="30" customHeight="1">
      <c r="A257" s="15" t="inlineStr">
        <is>
          <t>BA03-05</t>
        </is>
      </c>
      <c r="B257" s="15" t="n"/>
      <c r="C257" s="15" t="n"/>
      <c r="D257" s="15" t="inlineStr">
        <is>
          <t>BA03</t>
        </is>
      </c>
      <c r="E257" s="15" t="inlineStr">
        <is>
          <t>BRIO Puppenwagen rot gepunktet</t>
        </is>
      </c>
      <c r="F257" s="16" t="inlineStr">
        <is>
          <t>Kombi-Puppenwagen von BRIO: weißes Metallgestell mit Luftreifen, roter Stoffbezug mit weißen Punkten, schwenkbarer Schiebebügel, Ablagekorb unten. Markenetikett am Verdeck.</t>
        </is>
      </c>
      <c r="G257" s="15" t="inlineStr">
        <is>
          <t>Kita-Ausstattung</t>
        </is>
      </c>
      <c r="H257" s="15" t="inlineStr">
        <is>
          <t>Galerie</t>
        </is>
      </c>
      <c r="I257" s="15" t="inlineStr">
        <is>
          <t>B</t>
        </is>
      </c>
      <c r="J257" s="17" t="n">
        <v>1</v>
      </c>
      <c r="K257" s="17" t="n"/>
      <c r="L257" s="18">
        <f>J257-IF(K257="",0,K257)</f>
        <v/>
      </c>
      <c r="M257" s="15" t="inlineStr">
        <is>
          <t>Stück</t>
        </is>
      </c>
      <c r="N257" s="15" t="inlineStr">
        <is>
          <t>gebraucht</t>
        </is>
      </c>
      <c r="O257" s="19" t="n"/>
      <c r="P257" s="19" t="inlineStr">
        <is>
          <t>ja</t>
        </is>
      </c>
      <c r="Q257" s="19" t="n"/>
      <c r="R257" s="20" t="n"/>
      <c r="S257" s="20" t="n">
        <v>45</v>
      </c>
      <c r="T257" s="19" t="inlineStr">
        <is>
          <t>VHB</t>
        </is>
      </c>
      <c r="U257" s="21">
        <f>L257*S257</f>
        <v/>
      </c>
      <c r="V257" s="15" t="inlineStr">
        <is>
          <t>nur Abholung</t>
        </is>
      </c>
      <c r="W257" s="15" t="inlineStr">
        <is>
          <t>F-296</t>
        </is>
      </c>
      <c r="X257" s="19" t="inlineStr">
        <is>
          <t>ja</t>
        </is>
      </c>
      <c r="Y257" s="19" t="n"/>
      <c r="Z257" s="19" t="inlineStr">
        <is>
          <t>verfügbar</t>
        </is>
      </c>
      <c r="AA257" s="19" t="inlineStr">
        <is>
          <t>BRIO</t>
        </is>
      </c>
      <c r="AB257" s="19" t="n"/>
      <c r="AC257" s="19" t="n"/>
      <c r="AD257" s="19" t="n"/>
      <c r="AE257" s="20" t="n"/>
      <c r="AF257" s="21">
        <f>IF(K257="","",K257*AE257)</f>
        <v/>
      </c>
      <c r="AG257" s="19" t="n"/>
      <c r="AH257" s="19" t="n"/>
      <c r="AI257" s="19" t="n"/>
      <c r="AJ257" s="19" t="n"/>
      <c r="AK257" s="19" t="n"/>
      <c r="AL257" s="19" t="n"/>
      <c r="AM257" s="16" t="inlineStr">
        <is>
          <t>1 Puppenwagen. Die Puppe gehört nicht dazu. Das Etikett ist auf Foto F-297 zu sehen.</t>
        </is>
      </c>
      <c r="AN257" s="22" t="n"/>
    </row>
    <row r="258" ht="30" customHeight="1">
      <c r="A258" s="15" t="inlineStr">
        <is>
          <t>BA03-06</t>
        </is>
      </c>
      <c r="B258" s="15" t="n"/>
      <c r="C258" s="15" t="n"/>
      <c r="D258" s="15" t="inlineStr">
        <is>
          <t>BA03</t>
        </is>
      </c>
      <c r="E258" s="15" t="inlineStr">
        <is>
          <t>Kaufladen weiß mit Aufsatz</t>
        </is>
      </c>
      <c r="F258" s="16" t="inlineStr">
        <is>
          <t>Kaufladen aus Holz, weiß mit grauer Rückwand: Verkaufstheke mit Ablage unten, Aufsatz mit mehreren unterschiedlich großen Fächern.</t>
        </is>
      </c>
      <c r="G258" s="15" t="inlineStr">
        <is>
          <t>Kita-Ausstattung</t>
        </is>
      </c>
      <c r="H258" s="15" t="inlineStr">
        <is>
          <t>Galerie</t>
        </is>
      </c>
      <c r="I258" s="15" t="inlineStr">
        <is>
          <t>B</t>
        </is>
      </c>
      <c r="J258" s="17" t="n">
        <v>1</v>
      </c>
      <c r="K258" s="17" t="n"/>
      <c r="L258" s="18">
        <f>J258-IF(K258="",0,K258)</f>
        <v/>
      </c>
      <c r="M258" s="15" t="inlineStr">
        <is>
          <t>Stück</t>
        </is>
      </c>
      <c r="N258" s="15" t="inlineStr">
        <is>
          <t>gebraucht</t>
        </is>
      </c>
      <c r="O258" s="19" t="n"/>
      <c r="P258" s="19" t="inlineStr">
        <is>
          <t>ja</t>
        </is>
      </c>
      <c r="Q258" s="19" t="n"/>
      <c r="R258" s="20" t="n"/>
      <c r="S258" s="20" t="n">
        <v>90</v>
      </c>
      <c r="T258" s="19" t="inlineStr">
        <is>
          <t>VHB</t>
        </is>
      </c>
      <c r="U258" s="21">
        <f>L258*S258</f>
        <v/>
      </c>
      <c r="V258" s="15" t="inlineStr">
        <is>
          <t>nur Abholung</t>
        </is>
      </c>
      <c r="W258" s="15" t="inlineStr">
        <is>
          <t>F-298</t>
        </is>
      </c>
      <c r="X258" s="19" t="inlineStr">
        <is>
          <t>ja</t>
        </is>
      </c>
      <c r="Y258" s="19" t="n"/>
      <c r="Z258" s="19" t="inlineStr">
        <is>
          <t>verfügbar</t>
        </is>
      </c>
      <c r="AA258" s="19" t="n"/>
      <c r="AB258" s="19" t="n"/>
      <c r="AC258" s="19" t="n"/>
      <c r="AD258" s="19" t="n"/>
      <c r="AE258" s="20" t="n"/>
      <c r="AF258" s="21">
        <f>IF(K258="","",K258*AE258)</f>
        <v/>
      </c>
      <c r="AG258" s="19" t="n"/>
      <c r="AH258" s="19" t="n"/>
      <c r="AI258" s="19" t="n"/>
      <c r="AJ258" s="19" t="n"/>
      <c r="AK258" s="19" t="n"/>
      <c r="AL258" s="19" t="n"/>
      <c r="AM258" s="16" t="inlineStr">
        <is>
          <t>1 Kaufladen. Kasse, Spiellebensmittel und Geschirr gehören nicht dazu. Ein zweiter Kaufladen steht unter NU07-02.</t>
        </is>
      </c>
      <c r="AN258" s="22" t="n"/>
    </row>
    <row r="259" ht="30" customHeight="1">
      <c r="A259" s="15" t="inlineStr">
        <is>
          <t>BA03-07</t>
        </is>
      </c>
      <c r="B259" s="15" t="n"/>
      <c r="C259" s="15" t="n"/>
      <c r="D259" s="15" t="inlineStr">
        <is>
          <t>BA03</t>
        </is>
      </c>
      <c r="E259" s="15" t="inlineStr">
        <is>
          <t>Schrank weiß, zwei Türen</t>
        </is>
      </c>
      <c r="F259" s="16" t="inlineStr">
        <is>
          <t>Hoher Schrank in Weiß mit zwei Türen und runden Porzellanknöpfen in Rosenform.</t>
        </is>
      </c>
      <c r="G259" s="15" t="inlineStr">
        <is>
          <t>Möbel</t>
        </is>
      </c>
      <c r="H259" s="15" t="inlineStr">
        <is>
          <t>Galerie</t>
        </is>
      </c>
      <c r="I259" s="15" t="inlineStr">
        <is>
          <t>B</t>
        </is>
      </c>
      <c r="J259" s="17" t="n">
        <v>1</v>
      </c>
      <c r="K259" s="17" t="n"/>
      <c r="L259" s="18">
        <f>J259-IF(K259="",0,K259)</f>
        <v/>
      </c>
      <c r="M259" s="15" t="inlineStr">
        <is>
          <t>Stück</t>
        </is>
      </c>
      <c r="N259" s="15" t="inlineStr">
        <is>
          <t>gebraucht</t>
        </is>
      </c>
      <c r="O259" s="19" t="n"/>
      <c r="P259" s="19" t="inlineStr">
        <is>
          <t>ja</t>
        </is>
      </c>
      <c r="Q259" s="19" t="n"/>
      <c r="R259" s="20" t="n"/>
      <c r="S259" s="20" t="n">
        <v>80</v>
      </c>
      <c r="T259" s="19" t="inlineStr">
        <is>
          <t>VHB</t>
        </is>
      </c>
      <c r="U259" s="21">
        <f>L259*S259</f>
        <v/>
      </c>
      <c r="V259" s="15" t="inlineStr">
        <is>
          <t>nur Abholung</t>
        </is>
      </c>
      <c r="W259" s="15" t="inlineStr">
        <is>
          <t>F-299</t>
        </is>
      </c>
      <c r="X259" s="19" t="inlineStr">
        <is>
          <t>ja</t>
        </is>
      </c>
      <c r="Y259" s="19" t="n"/>
      <c r="Z259" s="19" t="inlineStr">
        <is>
          <t>verfügbar</t>
        </is>
      </c>
      <c r="AA259" s="19" t="n"/>
      <c r="AB259" s="19" t="n"/>
      <c r="AC259" s="19" t="n"/>
      <c r="AD259" s="19" t="n"/>
      <c r="AE259" s="20" t="n"/>
      <c r="AF259" s="21">
        <f>IF(K259="","",K259*AE259)</f>
        <v/>
      </c>
      <c r="AG259" s="19" t="n"/>
      <c r="AH259" s="19" t="n"/>
      <c r="AI259" s="19" t="n"/>
      <c r="AJ259" s="19" t="n"/>
      <c r="AK259" s="19" t="n"/>
      <c r="AL259" s="19" t="n"/>
      <c r="AM259" s="16" t="inlineStr">
        <is>
          <t>1 Schrank.</t>
        </is>
      </c>
      <c r="AN259" s="22" t="n"/>
    </row>
    <row r="260" ht="30" customHeight="1">
      <c r="A260" s="15" t="inlineStr">
        <is>
          <t>BA03-04</t>
        </is>
      </c>
      <c r="B260" s="15" t="n"/>
      <c r="C260" s="15" t="n"/>
      <c r="D260" s="15" t="inlineStr">
        <is>
          <t>BA03</t>
        </is>
      </c>
      <c r="E260" s="15" t="inlineStr">
        <is>
          <t>Wandregal Hausform, schwarz</t>
        </is>
      </c>
      <c r="F260" s="16" t="inlineStr">
        <is>
          <t>Wandregale in Hausform aus schwarz lackiertem Holz, zum Aufstellen oder Aufhängen, in unterschiedlichen Größen.</t>
        </is>
      </c>
      <c r="G260" s="15" t="inlineStr">
        <is>
          <t>Deko</t>
        </is>
      </c>
      <c r="H260" s="15" t="inlineStr">
        <is>
          <t>Galerie</t>
        </is>
      </c>
      <c r="I260" s="15" t="inlineStr">
        <is>
          <t>C</t>
        </is>
      </c>
      <c r="J260" s="17" t="n">
        <v>5</v>
      </c>
      <c r="K260" s="17" t="n"/>
      <c r="L260" s="18">
        <f>J260-IF(K260="",0,K260)</f>
        <v/>
      </c>
      <c r="M260" s="15" t="inlineStr">
        <is>
          <t>Stück</t>
        </is>
      </c>
      <c r="N260" s="15" t="inlineStr">
        <is>
          <t>gut</t>
        </is>
      </c>
      <c r="O260" s="19" t="n"/>
      <c r="P260" s="19" t="inlineStr">
        <is>
          <t>ja</t>
        </is>
      </c>
      <c r="Q260" s="19" t="n"/>
      <c r="R260" s="20" t="n"/>
      <c r="S260" s="20" t="n">
        <v>12</v>
      </c>
      <c r="T260" s="19" t="inlineStr">
        <is>
          <t>VHB</t>
        </is>
      </c>
      <c r="U260" s="21">
        <f>L260*S260</f>
        <v/>
      </c>
      <c r="V260" s="15" t="inlineStr">
        <is>
          <t>Versand möglich</t>
        </is>
      </c>
      <c r="W260" s="15" t="inlineStr">
        <is>
          <t>F-295</t>
        </is>
      </c>
      <c r="X260" s="19" t="inlineStr">
        <is>
          <t>ja</t>
        </is>
      </c>
      <c r="Y260" s="19" t="n"/>
      <c r="Z260" s="19" t="inlineStr">
        <is>
          <t>verfügbar</t>
        </is>
      </c>
      <c r="AA260" s="19" t="n"/>
      <c r="AB260" s="19" t="n"/>
      <c r="AC260" s="19" t="n"/>
      <c r="AD260" s="19" t="n"/>
      <c r="AE260" s="20" t="n"/>
      <c r="AF260" s="21">
        <f>IF(K260="","",K260*AE260)</f>
        <v/>
      </c>
      <c r="AG260" s="19" t="n"/>
      <c r="AH260" s="19" t="n"/>
      <c r="AI260" s="19" t="n"/>
      <c r="AJ260" s="19" t="n"/>
      <c r="AK260" s="19" t="n"/>
      <c r="AL260" s="19" t="n"/>
      <c r="AM260" s="16" t="inlineStr">
        <is>
          <t>5 Häuser in verschiedenen Größen. Der Inhalt gehört nicht dazu.</t>
        </is>
      </c>
      <c r="AN260" s="22" t="n"/>
    </row>
    <row r="261" ht="30" customHeight="1">
      <c r="A261" s="15" t="inlineStr">
        <is>
          <t>BA04-04</t>
        </is>
      </c>
      <c r="B261" s="15" t="n"/>
      <c r="C261" s="15" t="n"/>
      <c r="D261" s="15" t="inlineStr">
        <is>
          <t>BA04</t>
        </is>
      </c>
      <c r="E261" s="15" t="inlineStr">
        <is>
          <t>IKEA Urban Stapelstuhl weiß, Erwachsenengröße</t>
        </is>
      </c>
      <c r="F261" s="16" t="inlineStr">
        <is>
          <t>Stuhl Urban von IKEA, Entwurf Carl Öjerstam: weißer Kunststoff in einem Stück, runde Rückenlehne, konische Beine mit Querstrebe, stapelbar. Erwachsenengröße. Aufdruck an der Unterseite: Urban, designed by Carl Öjerstam, manufactured in Italy. Sitzfläche mit Kratzern.</t>
        </is>
      </c>
      <c r="G261" s="15" t="inlineStr">
        <is>
          <t>Möbel</t>
        </is>
      </c>
      <c r="H261" s="15" t="inlineStr">
        <is>
          <t>Gruppenraum 4</t>
        </is>
      </c>
      <c r="I261" s="15" t="inlineStr">
        <is>
          <t>B</t>
        </is>
      </c>
      <c r="J261" s="17" t="n">
        <v>8</v>
      </c>
      <c r="K261" s="17" t="n"/>
      <c r="L261" s="18">
        <f>J261-IF(K261="",0,K261)</f>
        <v/>
      </c>
      <c r="M261" s="15" t="inlineStr">
        <is>
          <t>Stück</t>
        </is>
      </c>
      <c r="N261" s="15" t="inlineStr">
        <is>
          <t>gebraucht</t>
        </is>
      </c>
      <c r="O261" s="19" t="n"/>
      <c r="P261" s="19" t="inlineStr">
        <is>
          <t>ja</t>
        </is>
      </c>
      <c r="Q261" s="19" t="n"/>
      <c r="R261" s="20" t="n"/>
      <c r="S261" s="20" t="n">
        <v>30</v>
      </c>
      <c r="T261" s="19" t="inlineStr">
        <is>
          <t>VHB</t>
        </is>
      </c>
      <c r="U261" s="21">
        <f>L261*S261</f>
        <v/>
      </c>
      <c r="V261" s="15" t="inlineStr">
        <is>
          <t>nur Abholung</t>
        </is>
      </c>
      <c r="W261" s="15" t="inlineStr">
        <is>
          <t>F-303</t>
        </is>
      </c>
      <c r="X261" s="19" t="inlineStr">
        <is>
          <t>ja</t>
        </is>
      </c>
      <c r="Y261" s="19" t="n"/>
      <c r="Z261" s="19" t="inlineStr">
        <is>
          <t>verfügbar</t>
        </is>
      </c>
      <c r="AA261" s="19" t="inlineStr">
        <is>
          <t>IKEA</t>
        </is>
      </c>
      <c r="AB261" s="19" t="n"/>
      <c r="AC261" s="19" t="n"/>
      <c r="AD261" s="19" t="n"/>
      <c r="AE261" s="20" t="n"/>
      <c r="AF261" s="21">
        <f>IF(K261="","",K261*AE261)</f>
        <v/>
      </c>
      <c r="AG261" s="19" t="n"/>
      <c r="AH261" s="19" t="n"/>
      <c r="AI261" s="19" t="n"/>
      <c r="AJ261" s="19" t="n"/>
      <c r="AK261" s="19" t="n"/>
      <c r="AL261" s="19" t="n"/>
      <c r="AM261" s="16" t="inlineStr">
        <is>
          <t>8 Stühle – abgebildet ist einer davon.</t>
        </is>
      </c>
      <c r="AN261" s="22" t="n"/>
    </row>
    <row r="262" ht="30" customHeight="1">
      <c r="A262" s="15" t="inlineStr">
        <is>
          <t>BA04-05</t>
        </is>
      </c>
      <c r="B262" s="15" t="n"/>
      <c r="C262" s="15" t="n"/>
      <c r="D262" s="15" t="inlineStr">
        <is>
          <t>BA04</t>
        </is>
      </c>
      <c r="E262" s="15" t="inlineStr">
        <is>
          <t>Kinder-Sessel Bugholz mit Polster</t>
        </is>
      </c>
      <c r="F262" s="16" t="inlineStr">
        <is>
          <t>Sessel in Kindergröße: Gestell aus gebogenem Schichtholz in Birke, Auflage aus cremefarbenem Stoff mit Nackenkissen. Bezug abnehmbar, Stoff fleckig.</t>
        </is>
      </c>
      <c r="G262" s="15" t="inlineStr">
        <is>
          <t>Kita-Ausstattung</t>
        </is>
      </c>
      <c r="H262" s="15" t="inlineStr">
        <is>
          <t>Gruppenraum 4</t>
        </is>
      </c>
      <c r="I262" s="15" t="inlineStr">
        <is>
          <t>B</t>
        </is>
      </c>
      <c r="J262" s="17" t="n">
        <v>1</v>
      </c>
      <c r="K262" s="17" t="n"/>
      <c r="L262" s="18">
        <f>J262-IF(K262="",0,K262)</f>
        <v/>
      </c>
      <c r="M262" s="15" t="inlineStr">
        <is>
          <t>Stück</t>
        </is>
      </c>
      <c r="N262" s="15" t="inlineStr">
        <is>
          <t>gebraucht</t>
        </is>
      </c>
      <c r="O262" s="19" t="n"/>
      <c r="P262" s="19" t="inlineStr">
        <is>
          <t>ja</t>
        </is>
      </c>
      <c r="Q262" s="19" t="n"/>
      <c r="R262" s="20" t="n"/>
      <c r="S262" s="20" t="n">
        <v>45</v>
      </c>
      <c r="T262" s="19" t="inlineStr">
        <is>
          <t>VHB</t>
        </is>
      </c>
      <c r="U262" s="21">
        <f>L262*S262</f>
        <v/>
      </c>
      <c r="V262" s="15" t="inlineStr">
        <is>
          <t>nur Abholung</t>
        </is>
      </c>
      <c r="W262" s="15" t="inlineStr">
        <is>
          <t>F-304</t>
        </is>
      </c>
      <c r="X262" s="19" t="inlineStr">
        <is>
          <t>ja</t>
        </is>
      </c>
      <c r="Y262" s="19" t="n"/>
      <c r="Z262" s="19" t="inlineStr">
        <is>
          <t>verfügbar</t>
        </is>
      </c>
      <c r="AA262" s="19" t="n"/>
      <c r="AB262" s="19" t="n"/>
      <c r="AC262" s="19" t="n"/>
      <c r="AD262" s="19" t="n"/>
      <c r="AE262" s="20" t="n"/>
      <c r="AF262" s="21">
        <f>IF(K262="","",K262*AE262)</f>
        <v/>
      </c>
      <c r="AG262" s="19" t="n"/>
      <c r="AH262" s="19" t="n"/>
      <c r="AI262" s="19" t="n"/>
      <c r="AJ262" s="19" t="n"/>
      <c r="AK262" s="19" t="n"/>
      <c r="AL262" s="19" t="n"/>
      <c r="AM262" s="16" t="inlineStr">
        <is>
          <t>1 Sessel.</t>
        </is>
      </c>
      <c r="AN262" s="22" t="n"/>
    </row>
    <row r="263" ht="30" customHeight="1">
      <c r="A263" s="15" t="inlineStr">
        <is>
          <t>BA04-06</t>
        </is>
      </c>
      <c r="B263" s="15" t="n"/>
      <c r="C263" s="15" t="n"/>
      <c r="D263" s="15" t="inlineStr">
        <is>
          <t>BA04</t>
        </is>
      </c>
      <c r="E263" s="15" t="inlineStr">
        <is>
          <t>Rollwagen weiß, drei Etagen</t>
        </is>
      </c>
      <c r="F263" s="16" t="inlineStr">
        <is>
          <t>Rollwagen aus weiß lackiertem Stahlblech mit drei Wannenböden und vier Rollen.</t>
        </is>
      </c>
      <c r="G263" s="15" t="inlineStr">
        <is>
          <t>Möbel</t>
        </is>
      </c>
      <c r="H263" s="15" t="inlineStr">
        <is>
          <t>Gruppenraum 4</t>
        </is>
      </c>
      <c r="I263" s="15" t="inlineStr">
        <is>
          <t>B</t>
        </is>
      </c>
      <c r="J263" s="17" t="n">
        <v>1</v>
      </c>
      <c r="K263" s="17" t="n"/>
      <c r="L263" s="18">
        <f>J263-IF(K263="",0,K263)</f>
        <v/>
      </c>
      <c r="M263" s="15" t="inlineStr">
        <is>
          <t>Stück</t>
        </is>
      </c>
      <c r="N263" s="15" t="inlineStr">
        <is>
          <t>gebraucht</t>
        </is>
      </c>
      <c r="O263" s="19" t="n"/>
      <c r="P263" s="19" t="inlineStr">
        <is>
          <t>ja</t>
        </is>
      </c>
      <c r="Q263" s="19" t="n"/>
      <c r="R263" s="20" t="n"/>
      <c r="S263" s="20" t="n">
        <v>30</v>
      </c>
      <c r="T263" s="19" t="inlineStr">
        <is>
          <t>VHB</t>
        </is>
      </c>
      <c r="U263" s="21">
        <f>L263*S263</f>
        <v/>
      </c>
      <c r="V263" s="15" t="inlineStr">
        <is>
          <t>nur Abholung</t>
        </is>
      </c>
      <c r="W263" s="15" t="inlineStr">
        <is>
          <t>F-305</t>
        </is>
      </c>
      <c r="X263" s="19" t="inlineStr">
        <is>
          <t>ja</t>
        </is>
      </c>
      <c r="Y263" s="19" t="n"/>
      <c r="Z263" s="19" t="inlineStr">
        <is>
          <t>verfügbar</t>
        </is>
      </c>
      <c r="AA263" s="19" t="n"/>
      <c r="AB263" s="19" t="n"/>
      <c r="AC263" s="19" t="n"/>
      <c r="AD263" s="19" t="n"/>
      <c r="AE263" s="20" t="n"/>
      <c r="AF263" s="21">
        <f>IF(K263="","",K263*AE263)</f>
        <v/>
      </c>
      <c r="AG263" s="19" t="n"/>
      <c r="AH263" s="19" t="n"/>
      <c r="AI263" s="19" t="n"/>
      <c r="AJ263" s="19" t="n"/>
      <c r="AK263" s="19" t="n"/>
      <c r="AL263" s="19" t="n"/>
      <c r="AM263" s="16" t="inlineStr">
        <is>
          <t>1 Wagen. Der Inhalt gehört nicht dazu.</t>
        </is>
      </c>
      <c r="AN263" s="22" t="n"/>
    </row>
    <row r="264" ht="30" customHeight="1">
      <c r="A264" s="15" t="inlineStr">
        <is>
          <t>BA04-07</t>
        </is>
      </c>
      <c r="B264" s="15" t="n"/>
      <c r="C264" s="15" t="inlineStr">
        <is>
          <t>BA07-04</t>
        </is>
      </c>
      <c r="D264" s="15" t="inlineStr">
        <is>
          <t>BA04</t>
        </is>
      </c>
      <c r="E264" s="15" t="inlineStr">
        <is>
          <t>Beistelltisch Drahtkorb, weiß</t>
        </is>
      </c>
      <c r="F264" s="16" t="inlineStr">
        <is>
          <t>Runder Beistelltisch: weißer Drahtkorb mit abnehmbarer Platte in heller Holzoptik. Der Korb lässt sich als Ablage nutzen.</t>
        </is>
      </c>
      <c r="G264" s="15" t="inlineStr">
        <is>
          <t>Möbel</t>
        </is>
      </c>
      <c r="H264" s="15" t="inlineStr">
        <is>
          <t>Gruppenraum 4</t>
        </is>
      </c>
      <c r="I264" s="15" t="inlineStr">
        <is>
          <t>B</t>
        </is>
      </c>
      <c r="J264" s="17" t="n">
        <v>2</v>
      </c>
      <c r="K264" s="17" t="n"/>
      <c r="L264" s="18">
        <f>J264-IF(K264="",0,K264)</f>
        <v/>
      </c>
      <c r="M264" s="15" t="inlineStr">
        <is>
          <t>Stück</t>
        </is>
      </c>
      <c r="N264" s="15" t="inlineStr">
        <is>
          <t>gebraucht</t>
        </is>
      </c>
      <c r="O264" s="19" t="n"/>
      <c r="P264" s="19" t="inlineStr">
        <is>
          <t>ja</t>
        </is>
      </c>
      <c r="Q264" s="19" t="n"/>
      <c r="R264" s="20" t="n"/>
      <c r="S264" s="20" t="n">
        <v>35</v>
      </c>
      <c r="T264" s="19" t="inlineStr">
        <is>
          <t>VHB</t>
        </is>
      </c>
      <c r="U264" s="21">
        <f>L264*S264</f>
        <v/>
      </c>
      <c r="V264" s="15" t="inlineStr">
        <is>
          <t>nur Abholung</t>
        </is>
      </c>
      <c r="W264" s="15" t="inlineStr">
        <is>
          <t>F-306</t>
        </is>
      </c>
      <c r="X264" s="19" t="inlineStr">
        <is>
          <t>ja</t>
        </is>
      </c>
      <c r="Y264" s="19" t="n"/>
      <c r="Z264" s="19" t="inlineStr">
        <is>
          <t>verfügbar</t>
        </is>
      </c>
      <c r="AA264" s="19" t="n"/>
      <c r="AB264" s="19" t="n"/>
      <c r="AC264" s="19" t="n"/>
      <c r="AD264" s="19" t="n"/>
      <c r="AE264" s="20" t="n"/>
      <c r="AF264" s="21">
        <f>IF(K264="","",K264*AE264)</f>
        <v/>
      </c>
      <c r="AG264" s="19" t="n"/>
      <c r="AH264" s="19" t="n"/>
      <c r="AI264" s="19" t="n"/>
      <c r="AJ264" s="19" t="n"/>
      <c r="AK264" s="19" t="n"/>
      <c r="AL264" s="19" t="n"/>
      <c r="AM264" s="16" t="inlineStr">
        <is>
          <t>2 Tische: einer im Gruppenraum 4 (BA04-07) und einer im Klassenzimmer (dort mit BA07-04 beschriftet). Der Inhalt gehört nicht dazu. Baugleich in Kupfer gibt es zwei Stück unter NU02-07.</t>
        </is>
      </c>
      <c r="AN264" s="22" t="inlineStr">
        <is>
          <t>Zusammengefasste Position – Post-it-Nummer im zweiten Raum: BA07-04.</t>
        </is>
      </c>
    </row>
    <row r="265" ht="30" customHeight="1">
      <c r="A265" s="15" t="inlineStr">
        <is>
          <t>BA05-01</t>
        </is>
      </c>
      <c r="B265" s="15" t="n"/>
      <c r="C265" s="15" t="n"/>
      <c r="D265" s="15" t="inlineStr">
        <is>
          <t>BA05</t>
        </is>
      </c>
      <c r="E265" s="15" t="inlineStr">
        <is>
          <t>Rollkasten mit großen Kunststoff-Bausteinen</t>
        </is>
      </c>
      <c r="F265" s="16" t="inlineStr">
        <is>
          <t>Flacher Kasten auf Rollen, Front in Weiß, Grün oder Grau, gefüllt mit großen Kunststoff-Bausteinen in Rot, Blau, Gelb und Grün.</t>
        </is>
      </c>
      <c r="G265" s="15" t="inlineStr">
        <is>
          <t>Kita-Ausstattung</t>
        </is>
      </c>
      <c r="H265" s="15" t="inlineStr">
        <is>
          <t>Turnraum</t>
        </is>
      </c>
      <c r="I265" s="15" t="inlineStr">
        <is>
          <t>B</t>
        </is>
      </c>
      <c r="J265" s="17" t="n">
        <v>4</v>
      </c>
      <c r="K265" s="17" t="n"/>
      <c r="L265" s="18">
        <f>J265-IF(K265="",0,K265)</f>
        <v/>
      </c>
      <c r="M265" s="15" t="inlineStr">
        <is>
          <t>Stück</t>
        </is>
      </c>
      <c r="N265" s="15" t="inlineStr">
        <is>
          <t>gebraucht</t>
        </is>
      </c>
      <c r="O265" s="19" t="n"/>
      <c r="P265" s="19" t="inlineStr">
        <is>
          <t>ja</t>
        </is>
      </c>
      <c r="Q265" s="19" t="n"/>
      <c r="R265" s="20" t="n"/>
      <c r="S265" s="20" t="n">
        <v>35</v>
      </c>
      <c r="T265" s="19" t="inlineStr">
        <is>
          <t>VHB</t>
        </is>
      </c>
      <c r="U265" s="21">
        <f>L265*S265</f>
        <v/>
      </c>
      <c r="V265" s="15" t="inlineStr">
        <is>
          <t>nur Abholung</t>
        </is>
      </c>
      <c r="W265" s="15" t="inlineStr">
        <is>
          <t>F-310</t>
        </is>
      </c>
      <c r="X265" s="19" t="inlineStr">
        <is>
          <t>ja</t>
        </is>
      </c>
      <c r="Y265" s="19" t="n"/>
      <c r="Z265" s="19" t="inlineStr">
        <is>
          <t>verfügbar</t>
        </is>
      </c>
      <c r="AA265" s="19" t="n"/>
      <c r="AB265" s="19" t="n"/>
      <c r="AC265" s="19" t="n"/>
      <c r="AD265" s="19" t="n"/>
      <c r="AE265" s="20" t="n"/>
      <c r="AF265" s="21">
        <f>IF(K265="","",K265*AE265)</f>
        <v/>
      </c>
      <c r="AG265" s="19" t="n"/>
      <c r="AH265" s="19" t="n"/>
      <c r="AI265" s="19" t="n"/>
      <c r="AJ265" s="19" t="n"/>
      <c r="AK265" s="19" t="n"/>
      <c r="AL265" s="19" t="n"/>
      <c r="AM265" s="16" t="inlineStr">
        <is>
          <t>4 Kästen einschließlich der Bausteine – alle vier sind abgebildet.</t>
        </is>
      </c>
      <c r="AN265" s="22" t="n"/>
    </row>
    <row r="266" ht="30" customHeight="1">
      <c r="A266" s="15" t="inlineStr">
        <is>
          <t>BA05-02</t>
        </is>
      </c>
      <c r="B266" s="15" t="n"/>
      <c r="C266" s="15" t="n"/>
      <c r="D266" s="15" t="inlineStr">
        <is>
          <t>BA05</t>
        </is>
      </c>
      <c r="E266" s="15" t="inlineStr">
        <is>
          <t>BENZ Turnbank</t>
        </is>
      </c>
      <c r="F266" s="16" t="inlineStr">
        <is>
          <t>Turnbank aus Holz mit Schmalseite zum Umdrehen, rutschhemmender Belag, Aufhängehaken an einem Ende. Aufdruck: BENZ Geräte.</t>
        </is>
      </c>
      <c r="G266" s="15" t="inlineStr">
        <is>
          <t>Kita-Ausstattung</t>
        </is>
      </c>
      <c r="H266" s="15" t="inlineStr">
        <is>
          <t>Turnraum</t>
        </is>
      </c>
      <c r="I266" s="15" t="inlineStr">
        <is>
          <t>B</t>
        </is>
      </c>
      <c r="J266" s="17" t="n">
        <v>2</v>
      </c>
      <c r="K266" s="17" t="n"/>
      <c r="L266" s="18">
        <f>J266-IF(K266="",0,K266)</f>
        <v/>
      </c>
      <c r="M266" s="15" t="inlineStr">
        <is>
          <t>Stück</t>
        </is>
      </c>
      <c r="N266" s="15" t="inlineStr">
        <is>
          <t>gebraucht</t>
        </is>
      </c>
      <c r="O266" s="19" t="n"/>
      <c r="P266" s="19" t="inlineStr">
        <is>
          <t>ja</t>
        </is>
      </c>
      <c r="Q266" s="19" t="n"/>
      <c r="R266" s="20" t="n"/>
      <c r="S266" s="20" t="n">
        <v>140</v>
      </c>
      <c r="T266" s="19" t="inlineStr">
        <is>
          <t>VHB</t>
        </is>
      </c>
      <c r="U266" s="21">
        <f>L266*S266</f>
        <v/>
      </c>
      <c r="V266" s="15" t="inlineStr">
        <is>
          <t>nur Abholung</t>
        </is>
      </c>
      <c r="W266" s="15" t="inlineStr">
        <is>
          <t>F-312</t>
        </is>
      </c>
      <c r="X266" s="19" t="inlineStr">
        <is>
          <t>ja</t>
        </is>
      </c>
      <c r="Y266" s="19" t="n"/>
      <c r="Z266" s="19" t="inlineStr">
        <is>
          <t>verfügbar</t>
        </is>
      </c>
      <c r="AA266" s="19" t="inlineStr">
        <is>
          <t>BENZ</t>
        </is>
      </c>
      <c r="AB266" s="19" t="n"/>
      <c r="AC266" s="19" t="n"/>
      <c r="AD266" s="19" t="n"/>
      <c r="AE266" s="20" t="n"/>
      <c r="AF266" s="21">
        <f>IF(K266="","",K266*AE266)</f>
        <v/>
      </c>
      <c r="AG266" s="19" t="n"/>
      <c r="AH266" s="19" t="n"/>
      <c r="AI266" s="19" t="n"/>
      <c r="AJ266" s="19" t="n"/>
      <c r="AK266" s="19" t="n"/>
      <c r="AL266" s="19" t="n"/>
      <c r="AM266" s="16" t="inlineStr">
        <is>
          <t>2 Bänke, beide abgebildet.</t>
        </is>
      </c>
      <c r="AN266" s="22" t="n"/>
    </row>
    <row r="267" ht="30" customHeight="1">
      <c r="A267" s="15" t="inlineStr">
        <is>
          <t>BA05-03</t>
        </is>
      </c>
      <c r="B267" s="15" t="n"/>
      <c r="C267" s="15" t="n"/>
      <c r="D267" s="15" t="inlineStr">
        <is>
          <t>BA05</t>
        </is>
      </c>
      <c r="E267" s="15" t="inlineStr">
        <is>
          <t>Trampolin mit Haltestange</t>
        </is>
      </c>
      <c r="F267" s="16" t="inlineStr">
        <is>
          <t>Rundes Fitness-Trampolin mit gepolstertem Randschutz in Rot und abnehmbarer Haltestange. Aufdruck auf dem Sprungtuch: ANCHEER. Der Randschutz ist an mehreren Stellen eingerissen.</t>
        </is>
      </c>
      <c r="G267" s="15" t="inlineStr">
        <is>
          <t>Kita-Ausstattung</t>
        </is>
      </c>
      <c r="H267" s="15" t="inlineStr">
        <is>
          <t>Turnraum</t>
        </is>
      </c>
      <c r="I267" s="15" t="inlineStr">
        <is>
          <t>B</t>
        </is>
      </c>
      <c r="J267" s="17" t="n">
        <v>1</v>
      </c>
      <c r="K267" s="17" t="n"/>
      <c r="L267" s="18">
        <f>J267-IF(K267="",0,K267)</f>
        <v/>
      </c>
      <c r="M267" s="15" t="inlineStr">
        <is>
          <t>Stück</t>
        </is>
      </c>
      <c r="N267" s="15" t="inlineStr">
        <is>
          <t>stark gebraucht</t>
        </is>
      </c>
      <c r="O267" s="19" t="n"/>
      <c r="P267" s="19" t="inlineStr">
        <is>
          <t>ja</t>
        </is>
      </c>
      <c r="Q267" s="19" t="n"/>
      <c r="R267" s="20" t="n"/>
      <c r="S267" s="20" t="n">
        <v>35</v>
      </c>
      <c r="T267" s="19" t="inlineStr">
        <is>
          <t>VHB</t>
        </is>
      </c>
      <c r="U267" s="21">
        <f>L267*S267</f>
        <v/>
      </c>
      <c r="V267" s="15" t="inlineStr">
        <is>
          <t>nur Abholung</t>
        </is>
      </c>
      <c r="W267" s="15" t="inlineStr">
        <is>
          <t>F-313</t>
        </is>
      </c>
      <c r="X267" s="19" t="inlineStr">
        <is>
          <t>ja</t>
        </is>
      </c>
      <c r="Y267" s="19" t="n"/>
      <c r="Z267" s="19" t="inlineStr">
        <is>
          <t>verfügbar</t>
        </is>
      </c>
      <c r="AA267" s="19" t="inlineStr">
        <is>
          <t>ANCHEER</t>
        </is>
      </c>
      <c r="AB267" s="19" t="n"/>
      <c r="AC267" s="19" t="n"/>
      <c r="AD267" s="19" t="n"/>
      <c r="AE267" s="20" t="n"/>
      <c r="AF267" s="21">
        <f>IF(K267="","",K267*AE267)</f>
        <v/>
      </c>
      <c r="AG267" s="19" t="n"/>
      <c r="AH267" s="19" t="n"/>
      <c r="AI267" s="19" t="n"/>
      <c r="AJ267" s="19" t="n"/>
      <c r="AK267" s="19" t="n"/>
      <c r="AL267" s="19" t="n"/>
      <c r="AM267" s="16" t="inlineStr">
        <is>
          <t>1 Trampolin.</t>
        </is>
      </c>
      <c r="AN267" s="22" t="n"/>
    </row>
    <row r="268" ht="30" customHeight="1">
      <c r="A268" s="15" t="inlineStr">
        <is>
          <t>BA05-04</t>
        </is>
      </c>
      <c r="B268" s="15" t="n"/>
      <c r="C268" s="15" t="n"/>
      <c r="D268" s="15" t="inlineStr">
        <is>
          <t>BA05</t>
        </is>
      </c>
      <c r="E268" s="15" t="inlineStr">
        <is>
          <t>Spielhochbett mit Bällebad und Rutsche</t>
        </is>
      </c>
      <c r="F268" s="16" t="inlineStr">
        <is>
          <t>Großes Spielhochbett aus weiß beschichteter Platte: zwei Liegeflächen oben mit Absturzsicherung, Leiter, Rutsche, runde Bullaugen und darunter ein eingebautes Bällebad einschließlich der Bälle.</t>
        </is>
      </c>
      <c r="G268" s="15" t="inlineStr">
        <is>
          <t>Kita-Ausstattung</t>
        </is>
      </c>
      <c r="H268" s="15" t="inlineStr">
        <is>
          <t>Turnraum</t>
        </is>
      </c>
      <c r="I268" s="15" t="inlineStr">
        <is>
          <t>A</t>
        </is>
      </c>
      <c r="J268" s="17" t="n">
        <v>1</v>
      </c>
      <c r="K268" s="17" t="n"/>
      <c r="L268" s="18">
        <f>J268-IF(K268="",0,K268)</f>
        <v/>
      </c>
      <c r="M268" s="15" t="inlineStr">
        <is>
          <t>Stück</t>
        </is>
      </c>
      <c r="N268" s="15" t="inlineStr">
        <is>
          <t>gebraucht</t>
        </is>
      </c>
      <c r="O268" s="19" t="n"/>
      <c r="P268" s="19" t="inlineStr">
        <is>
          <t>ja</t>
        </is>
      </c>
      <c r="Q268" s="19" t="n"/>
      <c r="R268" s="20" t="n"/>
      <c r="S268" s="20" t="n">
        <v>750</v>
      </c>
      <c r="T268" s="19" t="inlineStr">
        <is>
          <t>VHB</t>
        </is>
      </c>
      <c r="U268" s="21">
        <f>L268*S268</f>
        <v/>
      </c>
      <c r="V268" s="15" t="inlineStr">
        <is>
          <t>nur Abholung</t>
        </is>
      </c>
      <c r="W268" s="15" t="inlineStr">
        <is>
          <t>F-314</t>
        </is>
      </c>
      <c r="X268" s="19" t="inlineStr">
        <is>
          <t>ja</t>
        </is>
      </c>
      <c r="Y268" s="19" t="n"/>
      <c r="Z268" s="19" t="inlineStr">
        <is>
          <t>verfügbar</t>
        </is>
      </c>
      <c r="AA268" s="19" t="n"/>
      <c r="AB268" s="19" t="n"/>
      <c r="AC268" s="19" t="n"/>
      <c r="AD268" s="19" t="n"/>
      <c r="AE268" s="20" t="n"/>
      <c r="AF268" s="21">
        <f>IF(K268="","",K268*AE268)</f>
        <v/>
      </c>
      <c r="AG268" s="19" t="n"/>
      <c r="AH268" s="19" t="n"/>
      <c r="AI268" s="19" t="n"/>
      <c r="AJ268" s="19" t="n"/>
      <c r="AK268" s="19" t="n"/>
      <c r="AL268" s="19" t="n"/>
      <c r="AM268" s="16" t="inlineStr">
        <is>
          <t>1 Anlage einschließlich der Bälle. Abbau und Transport durch den Käufer. Das Bällebad ist auf Foto F-315 zu sehen.</t>
        </is>
      </c>
      <c r="AN268" s="22" t="inlineStr">
        <is>
          <t>Preis ist meine Schaetzung: als Schreinerarbeit neu 3.000-6.000 EUR. Bitte bestaetigen - das ist nach dem Vitra Alcove die zweitgroesste Einzelposition.</t>
        </is>
      </c>
    </row>
    <row r="269" ht="30" customHeight="1">
      <c r="A269" s="15" t="inlineStr">
        <is>
          <t>BA05-05</t>
        </is>
      </c>
      <c r="B269" s="15" t="n"/>
      <c r="C269" s="15" t="n"/>
      <c r="D269" s="15" t="inlineStr">
        <is>
          <t>BA05</t>
        </is>
      </c>
      <c r="E269" s="15" t="inlineStr">
        <is>
          <t>Sprossenwand einzeln</t>
        </is>
      </c>
      <c r="F269" s="16" t="inlineStr">
        <is>
          <t>Sprossenwand aus Massivholz zur Wandmontage: zwei kräftige Holme mit durchgehenden Rundsprossen, oben eine ausladende Aufhängeleiste.</t>
        </is>
      </c>
      <c r="G269" s="15" t="inlineStr">
        <is>
          <t>Kita-Ausstattung</t>
        </is>
      </c>
      <c r="H269" s="15" t="inlineStr">
        <is>
          <t>Turnraum</t>
        </is>
      </c>
      <c r="I269" s="15" t="inlineStr">
        <is>
          <t>B</t>
        </is>
      </c>
      <c r="J269" s="17" t="n">
        <v>3</v>
      </c>
      <c r="K269" s="17" t="n"/>
      <c r="L269" s="18">
        <f>J269-IF(K269="",0,K269)</f>
        <v/>
      </c>
      <c r="M269" s="15" t="inlineStr">
        <is>
          <t>Stück</t>
        </is>
      </c>
      <c r="N269" s="15" t="inlineStr">
        <is>
          <t>gebraucht</t>
        </is>
      </c>
      <c r="O269" s="19" t="n"/>
      <c r="P269" s="19" t="inlineStr">
        <is>
          <t>ja</t>
        </is>
      </c>
      <c r="Q269" s="19" t="n"/>
      <c r="R269" s="20" t="n"/>
      <c r="S269" s="20" t="n">
        <v>100</v>
      </c>
      <c r="T269" s="19" t="inlineStr">
        <is>
          <t>VHB</t>
        </is>
      </c>
      <c r="U269" s="21">
        <f>L269*S269</f>
        <v/>
      </c>
      <c r="V269" s="15" t="inlineStr">
        <is>
          <t>nur Abholung</t>
        </is>
      </c>
      <c r="W269" s="15" t="inlineStr">
        <is>
          <t>F-321</t>
        </is>
      </c>
      <c r="X269" s="19" t="inlineStr">
        <is>
          <t>ja</t>
        </is>
      </c>
      <c r="Y269" s="19" t="n"/>
      <c r="Z269" s="19" t="inlineStr">
        <is>
          <t>verfügbar</t>
        </is>
      </c>
      <c r="AA269" s="19" t="n"/>
      <c r="AB269" s="19" t="n"/>
      <c r="AC269" s="19" t="n"/>
      <c r="AD269" s="19" t="n"/>
      <c r="AE269" s="20" t="n"/>
      <c r="AF269" s="21">
        <f>IF(K269="","",K269*AE269)</f>
        <v/>
      </c>
      <c r="AG269" s="19" t="n"/>
      <c r="AH269" s="19" t="n"/>
      <c r="AI269" s="19" t="n"/>
      <c r="AJ269" s="19" t="n"/>
      <c r="AK269" s="19" t="n"/>
      <c r="AL269" s="19" t="n"/>
      <c r="AM269" s="16" t="inlineStr">
        <is>
          <t>3 Sprossenwände – abgebildet ist eine davon.</t>
        </is>
      </c>
      <c r="AN269" s="22" t="n"/>
    </row>
    <row r="270" ht="30" customHeight="1">
      <c r="A270" s="15" t="inlineStr">
        <is>
          <t>BA05-06</t>
        </is>
      </c>
      <c r="B270" s="15" t="n"/>
      <c r="C270" s="15" t="n"/>
      <c r="D270" s="15" t="inlineStr">
        <is>
          <t>BA05</t>
        </is>
      </c>
      <c r="E270" s="15" t="inlineStr">
        <is>
          <t>Doppelsprossenwand</t>
        </is>
      </c>
      <c r="F270" s="16" t="inlineStr">
        <is>
          <t>Breite Sprossenwand aus Massivholz zur Wandmontage, zwei Felder nebeneinander mit durchgehenden Querholmen und oberer Ausleger-Leiste.</t>
        </is>
      </c>
      <c r="G270" s="15" t="inlineStr">
        <is>
          <t>Kita-Ausstattung</t>
        </is>
      </c>
      <c r="H270" s="15" t="inlineStr">
        <is>
          <t>Turnraum</t>
        </is>
      </c>
      <c r="I270" s="15" t="inlineStr">
        <is>
          <t>A</t>
        </is>
      </c>
      <c r="J270" s="17" t="n">
        <v>1</v>
      </c>
      <c r="K270" s="17" t="n"/>
      <c r="L270" s="18">
        <f>J270-IF(K270="",0,K270)</f>
        <v/>
      </c>
      <c r="M270" s="15" t="inlineStr">
        <is>
          <t>Stück</t>
        </is>
      </c>
      <c r="N270" s="15" t="inlineStr">
        <is>
          <t>gebraucht</t>
        </is>
      </c>
      <c r="O270" s="19" t="n"/>
      <c r="P270" s="19" t="inlineStr">
        <is>
          <t>ja</t>
        </is>
      </c>
      <c r="Q270" s="19" t="n"/>
      <c r="R270" s="20" t="n"/>
      <c r="S270" s="20" t="n">
        <v>180</v>
      </c>
      <c r="T270" s="19" t="inlineStr">
        <is>
          <t>VHB</t>
        </is>
      </c>
      <c r="U270" s="21">
        <f>L270*S270</f>
        <v/>
      </c>
      <c r="V270" s="15" t="inlineStr">
        <is>
          <t>nur Abholung</t>
        </is>
      </c>
      <c r="W270" s="15" t="inlineStr">
        <is>
          <t>F-316</t>
        </is>
      </c>
      <c r="X270" s="19" t="inlineStr">
        <is>
          <t>ja</t>
        </is>
      </c>
      <c r="Y270" s="19" t="n"/>
      <c r="Z270" s="19" t="inlineStr">
        <is>
          <t>verfügbar</t>
        </is>
      </c>
      <c r="AA270" s="19" t="n"/>
      <c r="AB270" s="19" t="n"/>
      <c r="AC270" s="19" t="n"/>
      <c r="AD270" s="19" t="n"/>
      <c r="AE270" s="20" t="n"/>
      <c r="AF270" s="21">
        <f>IF(K270="","",K270*AE270)</f>
        <v/>
      </c>
      <c r="AG270" s="19" t="n"/>
      <c r="AH270" s="19" t="n"/>
      <c r="AI270" s="19" t="n"/>
      <c r="AJ270" s="19" t="n"/>
      <c r="AK270" s="19" t="n"/>
      <c r="AL270" s="19" t="n"/>
      <c r="AM270" s="16" t="inlineStr">
        <is>
          <t>1 Doppelsprossenwand.</t>
        </is>
      </c>
      <c r="AN270" s="22" t="n"/>
    </row>
    <row r="271" ht="30" customHeight="1">
      <c r="A271" s="15" t="inlineStr">
        <is>
          <t>BA05-07</t>
        </is>
      </c>
      <c r="B271" s="15" t="n"/>
      <c r="C271" s="15" t="n"/>
      <c r="D271" s="15" t="inlineStr">
        <is>
          <t>BA05</t>
        </is>
      </c>
      <c r="E271" s="15" t="inlineStr">
        <is>
          <t>Treppenturngerät gepolstert</t>
        </is>
      </c>
      <c r="F271" s="16" t="inlineStr">
        <is>
          <t>Turngerät aus Schaumstoff mit Kunstlederbezug in Creme und Grau: Treppenelement mit drei Stufen und passende Rampe, zusammensteckbar.</t>
        </is>
      </c>
      <c r="G271" s="15" t="inlineStr">
        <is>
          <t>Kita-Ausstattung</t>
        </is>
      </c>
      <c r="H271" s="15" t="inlineStr">
        <is>
          <t>Turnraum</t>
        </is>
      </c>
      <c r="I271" s="15" t="inlineStr">
        <is>
          <t>B</t>
        </is>
      </c>
      <c r="J271" s="17" t="n">
        <v>1</v>
      </c>
      <c r="K271" s="17" t="n"/>
      <c r="L271" s="18">
        <f>J271-IF(K271="",0,K271)</f>
        <v/>
      </c>
      <c r="M271" s="15" t="inlineStr">
        <is>
          <t>Stück</t>
        </is>
      </c>
      <c r="N271" s="15" t="inlineStr">
        <is>
          <t>gebraucht</t>
        </is>
      </c>
      <c r="O271" s="19" t="n"/>
      <c r="P271" s="19" t="inlineStr">
        <is>
          <t>ja</t>
        </is>
      </c>
      <c r="Q271" s="19" t="n"/>
      <c r="R271" s="20" t="n"/>
      <c r="S271" s="20" t="n">
        <v>150</v>
      </c>
      <c r="T271" s="19" t="inlineStr">
        <is>
          <t>VHB</t>
        </is>
      </c>
      <c r="U271" s="21">
        <f>L271*S271</f>
        <v/>
      </c>
      <c r="V271" s="15" t="inlineStr">
        <is>
          <t>nur Abholung</t>
        </is>
      </c>
      <c r="W271" s="15" t="inlineStr">
        <is>
          <t>F-317</t>
        </is>
      </c>
      <c r="X271" s="19" t="inlineStr">
        <is>
          <t>ja</t>
        </is>
      </c>
      <c r="Y271" s="19" t="n"/>
      <c r="Z271" s="19" t="inlineStr">
        <is>
          <t>verfügbar</t>
        </is>
      </c>
      <c r="AA271" s="19" t="n"/>
      <c r="AB271" s="19" t="n"/>
      <c r="AC271" s="19" t="n"/>
      <c r="AD271" s="19" t="n"/>
      <c r="AE271" s="20" t="n"/>
      <c r="AF271" s="21">
        <f>IF(K271="","",K271*AE271)</f>
        <v/>
      </c>
      <c r="AG271" s="19" t="n"/>
      <c r="AH271" s="19" t="n"/>
      <c r="AI271" s="19" t="n"/>
      <c r="AJ271" s="19" t="n"/>
      <c r="AK271" s="19" t="n"/>
      <c r="AL271" s="19" t="n"/>
      <c r="AM271" s="16" t="inlineStr">
        <is>
          <t>1 Gerät aus mehreren Teilen.</t>
        </is>
      </c>
      <c r="AN271" s="22" t="n"/>
    </row>
    <row r="272" ht="30" customHeight="1">
      <c r="A272" s="15" t="inlineStr">
        <is>
          <t>BA05-08</t>
        </is>
      </c>
      <c r="B272" s="15" t="n"/>
      <c r="C272" s="15" t="inlineStr">
        <is>
          <t>BA06-01</t>
        </is>
      </c>
      <c r="D272" s="15" t="inlineStr">
        <is>
          <t>BA05</t>
        </is>
      </c>
      <c r="E272" s="15" t="inlineStr">
        <is>
          <t>Rody Hüpfpferd, rot und grün</t>
        </is>
      </c>
      <c r="F272" s="16" t="inlineStr">
        <is>
          <t>Hüpfpferd Rody aus Gummi mit weißen Punkten, aufblasbar. Markenaufdruck am Bauch. Eines in Rot mit gelbem Sattel, zwei in Grün mit blauem Sattel.</t>
        </is>
      </c>
      <c r="G272" s="15" t="inlineStr">
        <is>
          <t>Kita-Ausstattung</t>
        </is>
      </c>
      <c r="H272" s="15" t="inlineStr">
        <is>
          <t>Turnraum</t>
        </is>
      </c>
      <c r="I272" s="15" t="inlineStr">
        <is>
          <t>C</t>
        </is>
      </c>
      <c r="J272" s="17" t="n">
        <v>3</v>
      </c>
      <c r="K272" s="17" t="n"/>
      <c r="L272" s="18">
        <f>J272-IF(K272="",0,K272)</f>
        <v/>
      </c>
      <c r="M272" s="15" t="inlineStr">
        <is>
          <t>Stück</t>
        </is>
      </c>
      <c r="N272" s="15" t="inlineStr">
        <is>
          <t>gebraucht</t>
        </is>
      </c>
      <c r="O272" s="19" t="n"/>
      <c r="P272" s="19" t="inlineStr">
        <is>
          <t>ja</t>
        </is>
      </c>
      <c r="Q272" s="19" t="n"/>
      <c r="R272" s="20" t="n"/>
      <c r="S272" s="20" t="n">
        <v>20</v>
      </c>
      <c r="T272" s="19" t="inlineStr">
        <is>
          <t>VHB</t>
        </is>
      </c>
      <c r="U272" s="21">
        <f>L272*S272</f>
        <v/>
      </c>
      <c r="V272" s="15" t="inlineStr">
        <is>
          <t>nur Abholung</t>
        </is>
      </c>
      <c r="W272" s="15" t="inlineStr">
        <is>
          <t>F-318</t>
        </is>
      </c>
      <c r="X272" s="19" t="inlineStr">
        <is>
          <t>ja</t>
        </is>
      </c>
      <c r="Y272" s="19" t="n"/>
      <c r="Z272" s="19" t="inlineStr">
        <is>
          <t>verfügbar</t>
        </is>
      </c>
      <c r="AA272" s="19" t="inlineStr">
        <is>
          <t>Rody</t>
        </is>
      </c>
      <c r="AB272" s="19" t="n"/>
      <c r="AC272" s="19" t="n"/>
      <c r="AD272" s="19" t="n"/>
      <c r="AE272" s="20" t="n"/>
      <c r="AF272" s="21">
        <f>IF(K272="","",K272*AE272)</f>
        <v/>
      </c>
      <c r="AG272" s="19" t="n"/>
      <c r="AH272" s="19" t="n"/>
      <c r="AI272" s="19" t="n"/>
      <c r="AJ272" s="19" t="n"/>
      <c r="AK272" s="19" t="n"/>
      <c r="AL272" s="19" t="n"/>
      <c r="AM272" s="16" t="inlineStr">
        <is>
          <t>3 Hüpfpferde: eines rot im Turnraum (BA05-08) und zwei grüne im Materialraum (dort mit BA06-01 beschriftet). Das rote ist auf Foto F-318 zu sehen, die grünen auf F-323.</t>
        </is>
      </c>
      <c r="AN272" s="22" t="inlineStr">
        <is>
          <t>Zusammengefasste Position – Post-it-Nummer im zweiten Raum: BA06-01.</t>
        </is>
      </c>
    </row>
    <row r="273" ht="30" customHeight="1">
      <c r="A273" s="15" t="inlineStr">
        <is>
          <t>BA05-09</t>
        </is>
      </c>
      <c r="B273" s="15" t="n"/>
      <c r="C273" s="15" t="n"/>
      <c r="D273" s="15" t="inlineStr">
        <is>
          <t>BA05</t>
        </is>
      </c>
      <c r="E273" s="15" t="inlineStr">
        <is>
          <t>Softbausteine gepolstert, groß</t>
        </is>
      </c>
      <c r="F273" s="16" t="inlineStr">
        <is>
          <t>Große Turn- und Bauelemente aus Schaumstoff mit Kunstlederbezug in Rot, Blau, Grün und Hellgrün: Treppen, Rampen, Wellen, Quader und Keile.</t>
        </is>
      </c>
      <c r="G273" s="15" t="inlineStr">
        <is>
          <t>Kita-Ausstattung</t>
        </is>
      </c>
      <c r="H273" s="15" t="inlineStr">
        <is>
          <t>Turnraum</t>
        </is>
      </c>
      <c r="I273" s="15" t="inlineStr">
        <is>
          <t>B</t>
        </is>
      </c>
      <c r="J273" s="17" t="n">
        <v>7</v>
      </c>
      <c r="K273" s="17" t="n"/>
      <c r="L273" s="18">
        <f>J273-IF(K273="",0,K273)</f>
        <v/>
      </c>
      <c r="M273" s="15" t="inlineStr">
        <is>
          <t>Stück</t>
        </is>
      </c>
      <c r="N273" s="15" t="inlineStr">
        <is>
          <t>gebraucht</t>
        </is>
      </c>
      <c r="O273" s="19" t="n"/>
      <c r="P273" s="19" t="inlineStr">
        <is>
          <t>ja</t>
        </is>
      </c>
      <c r="Q273" s="19" t="n"/>
      <c r="R273" s="20" t="n"/>
      <c r="S273" s="20" t="n">
        <v>45</v>
      </c>
      <c r="T273" s="19" t="inlineStr">
        <is>
          <t>VHB</t>
        </is>
      </c>
      <c r="U273" s="21">
        <f>L273*S273</f>
        <v/>
      </c>
      <c r="V273" s="15" t="inlineStr">
        <is>
          <t>nur Abholung</t>
        </is>
      </c>
      <c r="W273" s="15" t="inlineStr">
        <is>
          <t>F-319</t>
        </is>
      </c>
      <c r="X273" s="19" t="inlineStr">
        <is>
          <t>ja</t>
        </is>
      </c>
      <c r="Y273" s="19" t="n"/>
      <c r="Z273" s="19" t="inlineStr">
        <is>
          <t>verfügbar</t>
        </is>
      </c>
      <c r="AA273" s="19" t="n"/>
      <c r="AB273" s="19" t="n"/>
      <c r="AC273" s="19" t="n"/>
      <c r="AD273" s="19" t="n"/>
      <c r="AE273" s="20" t="n"/>
      <c r="AF273" s="21">
        <f>IF(K273="","",K273*AE273)</f>
        <v/>
      </c>
      <c r="AG273" s="19" t="n"/>
      <c r="AH273" s="19" t="n"/>
      <c r="AI273" s="19" t="n"/>
      <c r="AJ273" s="19" t="n"/>
      <c r="AK273" s="19" t="n"/>
      <c r="AL273" s="19" t="n"/>
      <c r="AM273" s="16" t="inlineStr">
        <is>
          <t>7 Elemente in verschiedenen Formen – alle abgebildet.</t>
        </is>
      </c>
      <c r="AN273" s="22" t="n"/>
    </row>
    <row r="274" ht="30" customHeight="1">
      <c r="A274" s="15" t="inlineStr">
        <is>
          <t>BA05-10</t>
        </is>
      </c>
      <c r="B274" s="15" t="n"/>
      <c r="C274" s="15" t="n"/>
      <c r="D274" s="15" t="inlineStr">
        <is>
          <t>BA05</t>
        </is>
      </c>
      <c r="E274" s="15" t="inlineStr">
        <is>
          <t>Polstersäule grün, Raumteiler</t>
        </is>
      </c>
      <c r="F274" s="16" t="inlineStr">
        <is>
          <t>Standsäule aus Schaumstoff mit Kunstlederbezug: Mantel in Limettengrün, Oberseiten in Grau, mehrere Lappen ergeben im Querschnitt eine Blütenform. Als Wand- und Säulenschutz oder als Raumteiler nutzbar.</t>
        </is>
      </c>
      <c r="G274" s="15" t="inlineStr">
        <is>
          <t>Kita-Ausstattung</t>
        </is>
      </c>
      <c r="H274" s="15" t="inlineStr">
        <is>
          <t>Turnraum</t>
        </is>
      </c>
      <c r="I274" s="15" t="inlineStr">
        <is>
          <t>B</t>
        </is>
      </c>
      <c r="J274" s="17" t="n">
        <v>5</v>
      </c>
      <c r="K274" s="17" t="n"/>
      <c r="L274" s="18">
        <f>J274-IF(K274="",0,K274)</f>
        <v/>
      </c>
      <c r="M274" s="15" t="inlineStr">
        <is>
          <t>Stück</t>
        </is>
      </c>
      <c r="N274" s="15" t="inlineStr">
        <is>
          <t>gebraucht</t>
        </is>
      </c>
      <c r="O274" s="19" t="n"/>
      <c r="P274" s="19" t="inlineStr">
        <is>
          <t>ja</t>
        </is>
      </c>
      <c r="Q274" s="19" t="n"/>
      <c r="R274" s="20" t="n"/>
      <c r="S274" s="20" t="n">
        <v>35</v>
      </c>
      <c r="T274" s="19" t="inlineStr">
        <is>
          <t>VHB</t>
        </is>
      </c>
      <c r="U274" s="21">
        <f>L274*S274</f>
        <v/>
      </c>
      <c r="V274" s="15" t="inlineStr">
        <is>
          <t>nur Abholung</t>
        </is>
      </c>
      <c r="W274" s="15" t="inlineStr">
        <is>
          <t>F-322</t>
        </is>
      </c>
      <c r="X274" s="19" t="inlineStr">
        <is>
          <t>ja</t>
        </is>
      </c>
      <c r="Y274" s="19" t="n"/>
      <c r="Z274" s="19" t="inlineStr">
        <is>
          <t>verfügbar</t>
        </is>
      </c>
      <c r="AA274" s="19" t="n"/>
      <c r="AB274" s="19" t="n"/>
      <c r="AC274" s="19" t="n"/>
      <c r="AD274" s="19" t="n"/>
      <c r="AE274" s="20" t="n"/>
      <c r="AF274" s="21">
        <f>IF(K274="","",K274*AE274)</f>
        <v/>
      </c>
      <c r="AG274" s="19" t="n"/>
      <c r="AH274" s="19" t="n"/>
      <c r="AI274" s="19" t="n"/>
      <c r="AJ274" s="19" t="n"/>
      <c r="AK274" s="19" t="n"/>
      <c r="AL274" s="19" t="n"/>
      <c r="AM274" s="16" t="inlineStr">
        <is>
          <t>5 Säulen – abgebildet sind sie zusammengestellt.</t>
        </is>
      </c>
      <c r="AN274" s="22" t="n"/>
    </row>
    <row r="275" ht="30" customHeight="1">
      <c r="A275" s="15" t="inlineStr">
        <is>
          <t>BA06-02</t>
        </is>
      </c>
      <c r="B275" s="15" t="n"/>
      <c r="C275" s="15" t="n"/>
      <c r="D275" s="15" t="inlineStr">
        <is>
          <t>BA06</t>
        </is>
      </c>
      <c r="E275" s="15" t="inlineStr">
        <is>
          <t>BMW Baby Racer Rutscherauto</t>
        </is>
      </c>
      <c r="F275" s="16" t="inlineStr">
        <is>
          <t>Rutscherauto in Sportwagenform, Karosserie blau mit rotem Sitz, Lenkrad mit Hupe, verchromte Felgen. BMW-Emblem an der Front. Lack stark zerkratzt.</t>
        </is>
      </c>
      <c r="G275" s="15" t="inlineStr">
        <is>
          <t>Kita-Ausstattung</t>
        </is>
      </c>
      <c r="H275" s="15" t="inlineStr">
        <is>
          <t>Material / Turnraum</t>
        </is>
      </c>
      <c r="I275" s="15" t="inlineStr">
        <is>
          <t>C</t>
        </is>
      </c>
      <c r="J275" s="17" t="n">
        <v>1</v>
      </c>
      <c r="K275" s="17" t="n"/>
      <c r="L275" s="18">
        <f>J275-IF(K275="",0,K275)</f>
        <v/>
      </c>
      <c r="M275" s="15" t="inlineStr">
        <is>
          <t>Stück</t>
        </is>
      </c>
      <c r="N275" s="15" t="inlineStr">
        <is>
          <t>stark gebraucht</t>
        </is>
      </c>
      <c r="O275" s="19" t="n"/>
      <c r="P275" s="19" t="inlineStr">
        <is>
          <t>ja</t>
        </is>
      </c>
      <c r="Q275" s="19" t="n"/>
      <c r="R275" s="20" t="n"/>
      <c r="S275" s="20" t="n">
        <v>15</v>
      </c>
      <c r="T275" s="19" t="inlineStr">
        <is>
          <t>VHB</t>
        </is>
      </c>
      <c r="U275" s="21">
        <f>L275*S275</f>
        <v/>
      </c>
      <c r="V275" s="15" t="inlineStr">
        <is>
          <t>nur Abholung</t>
        </is>
      </c>
      <c r="W275" s="15" t="inlineStr">
        <is>
          <t>F-325</t>
        </is>
      </c>
      <c r="X275" s="19" t="inlineStr">
        <is>
          <t>ja</t>
        </is>
      </c>
      <c r="Y275" s="19" t="n"/>
      <c r="Z275" s="19" t="inlineStr">
        <is>
          <t>verfügbar</t>
        </is>
      </c>
      <c r="AA275" s="19" t="inlineStr">
        <is>
          <t>BMW</t>
        </is>
      </c>
      <c r="AB275" s="19" t="n"/>
      <c r="AC275" s="19" t="n"/>
      <c r="AD275" s="19" t="n"/>
      <c r="AE275" s="20" t="n"/>
      <c r="AF275" s="21">
        <f>IF(K275="","",K275*AE275)</f>
        <v/>
      </c>
      <c r="AG275" s="19" t="n"/>
      <c r="AH275" s="19" t="n"/>
      <c r="AI275" s="19" t="n"/>
      <c r="AJ275" s="19" t="n"/>
      <c r="AK275" s="19" t="n"/>
      <c r="AL275" s="19" t="n"/>
      <c r="AM275" s="16" t="inlineStr">
        <is>
          <t>1 Fahrzeug.</t>
        </is>
      </c>
      <c r="AN275" s="22" t="n"/>
    </row>
    <row r="276" ht="30" customHeight="1">
      <c r="A276" s="15" t="inlineStr">
        <is>
          <t>BA06-03</t>
        </is>
      </c>
      <c r="B276" s="15" t="n"/>
      <c r="C276" s="15" t="n"/>
      <c r="D276" s="15" t="inlineStr">
        <is>
          <t>BA06</t>
        </is>
      </c>
      <c r="E276" s="15" t="inlineStr">
        <is>
          <t>BIG Bobby Quad</t>
        </is>
      </c>
      <c r="F276" s="16" t="inlineStr">
        <is>
          <t>Quad-Rutscherfahrzeug aus Kunststoff in Schwarz mit limettengrünen Felgen und Lenkergriffen, Stollenreifen. Aufdruck: bobby quad, BIG.</t>
        </is>
      </c>
      <c r="G276" s="15" t="inlineStr">
        <is>
          <t>Kita-Ausstattung</t>
        </is>
      </c>
      <c r="H276" s="15" t="inlineStr">
        <is>
          <t>Material / Turnraum</t>
        </is>
      </c>
      <c r="I276" s="15" t="inlineStr">
        <is>
          <t>C</t>
        </is>
      </c>
      <c r="J276" s="17" t="n">
        <v>3</v>
      </c>
      <c r="K276" s="17" t="n"/>
      <c r="L276" s="18">
        <f>J276-IF(K276="",0,K276)</f>
        <v/>
      </c>
      <c r="M276" s="15" t="inlineStr">
        <is>
          <t>Stück</t>
        </is>
      </c>
      <c r="N276" s="15" t="inlineStr">
        <is>
          <t>gebraucht</t>
        </is>
      </c>
      <c r="O276" s="19" t="n"/>
      <c r="P276" s="19" t="inlineStr">
        <is>
          <t>ja</t>
        </is>
      </c>
      <c r="Q276" s="19" t="n"/>
      <c r="R276" s="20" t="n"/>
      <c r="S276" s="20" t="n">
        <v>25</v>
      </c>
      <c r="T276" s="19" t="inlineStr">
        <is>
          <t>VHB</t>
        </is>
      </c>
      <c r="U276" s="21">
        <f>L276*S276</f>
        <v/>
      </c>
      <c r="V276" s="15" t="inlineStr">
        <is>
          <t>nur Abholung</t>
        </is>
      </c>
      <c r="W276" s="15" t="inlineStr">
        <is>
          <t>F-326</t>
        </is>
      </c>
      <c r="X276" s="19" t="inlineStr">
        <is>
          <t>ja</t>
        </is>
      </c>
      <c r="Y276" s="19" t="n"/>
      <c r="Z276" s="19" t="inlineStr">
        <is>
          <t>verfügbar</t>
        </is>
      </c>
      <c r="AA276" s="19" t="inlineStr">
        <is>
          <t>BIG</t>
        </is>
      </c>
      <c r="AB276" s="19" t="n"/>
      <c r="AC276" s="19" t="n"/>
      <c r="AD276" s="19" t="n"/>
      <c r="AE276" s="20" t="n"/>
      <c r="AF276" s="21">
        <f>IF(K276="","",K276*AE276)</f>
        <v/>
      </c>
      <c r="AG276" s="19" t="n"/>
      <c r="AH276" s="19" t="n"/>
      <c r="AI276" s="19" t="n"/>
      <c r="AJ276" s="19" t="n"/>
      <c r="AK276" s="19" t="n"/>
      <c r="AL276" s="19" t="n"/>
      <c r="AM276" s="16" t="inlineStr">
        <is>
          <t>3 Fahrzeuge – abgebildet ist eines davon.</t>
        </is>
      </c>
      <c r="AN276" s="22" t="n"/>
    </row>
    <row r="277" ht="30" customHeight="1">
      <c r="A277" s="15" t="inlineStr">
        <is>
          <t>BA06-04</t>
        </is>
      </c>
      <c r="B277" s="15" t="n"/>
      <c r="C277" s="15" t="n"/>
      <c r="D277" s="15" t="inlineStr">
        <is>
          <t>BA06</t>
        </is>
      </c>
      <c r="E277" s="15" t="inlineStr">
        <is>
          <t>Holz-Dreirad mit Kuhkopf</t>
        </is>
      </c>
      <c r="F277" s="16" t="inlineStr">
        <is>
          <t>Rutschfahrzeug aus Massivholz mit vier Rädern, ovalem Sitz und Lehne, vorn ein Kuhkopf mit Stoffohren und gemaltem Gesicht.</t>
        </is>
      </c>
      <c r="G277" s="15" t="inlineStr">
        <is>
          <t>Kita-Ausstattung</t>
        </is>
      </c>
      <c r="H277" s="15" t="inlineStr">
        <is>
          <t>Material / Turnraum</t>
        </is>
      </c>
      <c r="I277" s="15" t="inlineStr">
        <is>
          <t>B</t>
        </is>
      </c>
      <c r="J277" s="17" t="n">
        <v>1</v>
      </c>
      <c r="K277" s="17" t="n"/>
      <c r="L277" s="18">
        <f>J277-IF(K277="",0,K277)</f>
        <v/>
      </c>
      <c r="M277" s="15" t="inlineStr">
        <is>
          <t>Stück</t>
        </is>
      </c>
      <c r="N277" s="15" t="inlineStr">
        <is>
          <t>gebraucht</t>
        </is>
      </c>
      <c r="O277" s="19" t="n"/>
      <c r="P277" s="19" t="inlineStr">
        <is>
          <t>ja</t>
        </is>
      </c>
      <c r="Q277" s="19" t="n"/>
      <c r="R277" s="20" t="n"/>
      <c r="S277" s="20" t="n">
        <v>35</v>
      </c>
      <c r="T277" s="19" t="inlineStr">
        <is>
          <t>VHB</t>
        </is>
      </c>
      <c r="U277" s="21">
        <f>L277*S277</f>
        <v/>
      </c>
      <c r="V277" s="15" t="inlineStr">
        <is>
          <t>nur Abholung</t>
        </is>
      </c>
      <c r="W277" s="15" t="inlineStr">
        <is>
          <t>F-324</t>
        </is>
      </c>
      <c r="X277" s="19" t="inlineStr">
        <is>
          <t>ja</t>
        </is>
      </c>
      <c r="Y277" s="19" t="n"/>
      <c r="Z277" s="19" t="inlineStr">
        <is>
          <t>verfügbar</t>
        </is>
      </c>
      <c r="AA277" s="19" t="n"/>
      <c r="AB277" s="19" t="n"/>
      <c r="AC277" s="19" t="n"/>
      <c r="AD277" s="19" t="n"/>
      <c r="AE277" s="20" t="n"/>
      <c r="AF277" s="21">
        <f>IF(K277="","",K277*AE277)</f>
        <v/>
      </c>
      <c r="AG277" s="19" t="n"/>
      <c r="AH277" s="19" t="n"/>
      <c r="AI277" s="19" t="n"/>
      <c r="AJ277" s="19" t="n"/>
      <c r="AK277" s="19" t="n"/>
      <c r="AL277" s="19" t="n"/>
      <c r="AM277" s="16" t="inlineStr">
        <is>
          <t>1 Fahrzeug.</t>
        </is>
      </c>
      <c r="AN277" s="22" t="n"/>
    </row>
    <row r="278" ht="30" customHeight="1">
      <c r="A278" s="15" t="inlineStr">
        <is>
          <t>BA06-05</t>
        </is>
      </c>
      <c r="B278" s="15" t="n"/>
      <c r="C278" s="15" t="n"/>
      <c r="D278" s="15" t="inlineStr">
        <is>
          <t>BA06</t>
        </is>
      </c>
      <c r="E278" s="15" t="inlineStr">
        <is>
          <t>Schaukel- und Rutschtier aus Formholz</t>
        </is>
      </c>
      <c r="F278" s="16" t="inlineStr">
        <is>
          <t>Fahrzeug aus weiß lackiertem Formholz mit Naturholz-Lehne, vier kleinen Rollen und schwarzen Griffen. Lack an vielen Stellen abgeplatzt.</t>
        </is>
      </c>
      <c r="G278" s="15" t="inlineStr">
        <is>
          <t>Kita-Ausstattung</t>
        </is>
      </c>
      <c r="H278" s="15" t="inlineStr">
        <is>
          <t>Material / Turnraum</t>
        </is>
      </c>
      <c r="I278" s="15" t="inlineStr">
        <is>
          <t>C</t>
        </is>
      </c>
      <c r="J278" s="17" t="n">
        <v>1</v>
      </c>
      <c r="K278" s="17" t="n"/>
      <c r="L278" s="18">
        <f>J278-IF(K278="",0,K278)</f>
        <v/>
      </c>
      <c r="M278" s="15" t="inlineStr">
        <is>
          <t>Stück</t>
        </is>
      </c>
      <c r="N278" s="15" t="inlineStr">
        <is>
          <t>stark gebraucht</t>
        </is>
      </c>
      <c r="O278" s="19" t="n"/>
      <c r="P278" s="19" t="inlineStr">
        <is>
          <t>ja</t>
        </is>
      </c>
      <c r="Q278" s="19" t="n"/>
      <c r="R278" s="20" t="n"/>
      <c r="S278" s="20" t="n">
        <v>20</v>
      </c>
      <c r="T278" s="19" t="inlineStr">
        <is>
          <t>VHB</t>
        </is>
      </c>
      <c r="U278" s="21">
        <f>L278*S278</f>
        <v/>
      </c>
      <c r="V278" s="15" t="inlineStr">
        <is>
          <t>nur Abholung</t>
        </is>
      </c>
      <c r="W278" s="15" t="inlineStr">
        <is>
          <t>F-327</t>
        </is>
      </c>
      <c r="X278" s="19" t="inlineStr">
        <is>
          <t>ja</t>
        </is>
      </c>
      <c r="Y278" s="19" t="n"/>
      <c r="Z278" s="19" t="inlineStr">
        <is>
          <t>verfügbar</t>
        </is>
      </c>
      <c r="AA278" s="19" t="n"/>
      <c r="AB278" s="19" t="n"/>
      <c r="AC278" s="19" t="n"/>
      <c r="AD278" s="19" t="n"/>
      <c r="AE278" s="20" t="n"/>
      <c r="AF278" s="21">
        <f>IF(K278="","",K278*AE278)</f>
        <v/>
      </c>
      <c r="AG278" s="19" t="n"/>
      <c r="AH278" s="19" t="n"/>
      <c r="AI278" s="19" t="n"/>
      <c r="AJ278" s="19" t="n"/>
      <c r="AK278" s="19" t="n"/>
      <c r="AL278" s="19" t="n"/>
      <c r="AM278" s="16" t="inlineStr">
        <is>
          <t>1 Fahrzeug.</t>
        </is>
      </c>
      <c r="AN278" s="22" t="n"/>
    </row>
    <row r="279" ht="30" customHeight="1">
      <c r="A279" s="15" t="inlineStr">
        <is>
          <t>BA06-06</t>
        </is>
      </c>
      <c r="B279" s="15" t="n"/>
      <c r="C279" s="15" t="n"/>
      <c r="D279" s="15" t="inlineStr">
        <is>
          <t>BA06</t>
        </is>
      </c>
      <c r="E279" s="15" t="inlineStr">
        <is>
          <t>BIG Bobby Car Feuerwehr</t>
        </is>
      </c>
      <c r="F279" s="16" t="inlineStr">
        <is>
          <t>Rutscherauto als Feuerwehrfahrzeug aus rotem Kunststoff mit Blaulicht, drehbarem Wasserwerfer und Stollenreifen. Aufdruck: BIG.</t>
        </is>
      </c>
      <c r="G279" s="15" t="inlineStr">
        <is>
          <t>Kita-Ausstattung</t>
        </is>
      </c>
      <c r="H279" s="15" t="inlineStr">
        <is>
          <t>Material / Turnraum</t>
        </is>
      </c>
      <c r="I279" s="15" t="inlineStr">
        <is>
          <t>B</t>
        </is>
      </c>
      <c r="J279" s="17" t="n">
        <v>2</v>
      </c>
      <c r="K279" s="17" t="n"/>
      <c r="L279" s="18">
        <f>J279-IF(K279="",0,K279)</f>
        <v/>
      </c>
      <c r="M279" s="15" t="inlineStr">
        <is>
          <t>Stück</t>
        </is>
      </c>
      <c r="N279" s="15" t="inlineStr">
        <is>
          <t>gebraucht</t>
        </is>
      </c>
      <c r="O279" s="19" t="n"/>
      <c r="P279" s="19" t="inlineStr">
        <is>
          <t>ja</t>
        </is>
      </c>
      <c r="Q279" s="19" t="n"/>
      <c r="R279" s="20" t="n"/>
      <c r="S279" s="20" t="n">
        <v>30</v>
      </c>
      <c r="T279" s="19" t="inlineStr">
        <is>
          <t>VHB</t>
        </is>
      </c>
      <c r="U279" s="21">
        <f>L279*S279</f>
        <v/>
      </c>
      <c r="V279" s="15" t="inlineStr">
        <is>
          <t>nur Abholung</t>
        </is>
      </c>
      <c r="W279" s="15" t="inlineStr">
        <is>
          <t>F-328</t>
        </is>
      </c>
      <c r="X279" s="19" t="inlineStr">
        <is>
          <t>ja</t>
        </is>
      </c>
      <c r="Y279" s="19" t="n"/>
      <c r="Z279" s="19" t="inlineStr">
        <is>
          <t>verfügbar</t>
        </is>
      </c>
      <c r="AA279" s="19" t="inlineStr">
        <is>
          <t>BIG</t>
        </is>
      </c>
      <c r="AB279" s="19" t="n"/>
      <c r="AC279" s="19" t="n"/>
      <c r="AD279" s="19" t="n"/>
      <c r="AE279" s="20" t="n"/>
      <c r="AF279" s="21">
        <f>IF(K279="","",K279*AE279)</f>
        <v/>
      </c>
      <c r="AG279" s="19" t="n"/>
      <c r="AH279" s="19" t="n"/>
      <c r="AI279" s="19" t="n"/>
      <c r="AJ279" s="19" t="n"/>
      <c r="AK279" s="19" t="n"/>
      <c r="AL279" s="19" t="n"/>
      <c r="AM279" s="16" t="inlineStr">
        <is>
          <t>2 Fahrzeuge – abgebildet ist eines davon.</t>
        </is>
      </c>
      <c r="AN279" s="22" t="n"/>
    </row>
    <row r="280" ht="30" customHeight="1">
      <c r="A280" s="15" t="inlineStr">
        <is>
          <t>BA06-07</t>
        </is>
      </c>
      <c r="B280" s="15" t="n"/>
      <c r="C280" s="15" t="n"/>
      <c r="D280" s="15" t="inlineStr">
        <is>
          <t>BA06</t>
        </is>
      </c>
      <c r="E280" s="15" t="inlineStr">
        <is>
          <t>Klettergerüst Holz</t>
        </is>
      </c>
      <c r="F280" s="16" t="inlineStr">
        <is>
          <t>Klettergerüst aus Buche massiv mit Rundsprossen und seitlichen Wangen, zusammenklappbar.</t>
        </is>
      </c>
      <c r="G280" s="15" t="inlineStr">
        <is>
          <t>Kita-Ausstattung</t>
        </is>
      </c>
      <c r="H280" s="15" t="inlineStr">
        <is>
          <t>Material / Turnraum</t>
        </is>
      </c>
      <c r="I280" s="15" t="inlineStr">
        <is>
          <t>B</t>
        </is>
      </c>
      <c r="J280" s="17" t="n">
        <v>2</v>
      </c>
      <c r="K280" s="17" t="n"/>
      <c r="L280" s="18">
        <f>J280-IF(K280="",0,K280)</f>
        <v/>
      </c>
      <c r="M280" s="15" t="inlineStr">
        <is>
          <t>Stück</t>
        </is>
      </c>
      <c r="N280" s="15" t="inlineStr">
        <is>
          <t>gebraucht</t>
        </is>
      </c>
      <c r="O280" s="19" t="n"/>
      <c r="P280" s="19" t="inlineStr">
        <is>
          <t>ja</t>
        </is>
      </c>
      <c r="Q280" s="19" t="n"/>
      <c r="R280" s="20" t="n"/>
      <c r="S280" s="20" t="n">
        <v>60</v>
      </c>
      <c r="T280" s="19" t="inlineStr">
        <is>
          <t>VHB</t>
        </is>
      </c>
      <c r="U280" s="21">
        <f>L280*S280</f>
        <v/>
      </c>
      <c r="V280" s="15" t="inlineStr">
        <is>
          <t>nur Abholung</t>
        </is>
      </c>
      <c r="W280" s="15" t="inlineStr">
        <is>
          <t>F-329</t>
        </is>
      </c>
      <c r="X280" s="19" t="inlineStr">
        <is>
          <t>ja</t>
        </is>
      </c>
      <c r="Y280" s="19" t="n"/>
      <c r="Z280" s="19" t="inlineStr">
        <is>
          <t>verfügbar</t>
        </is>
      </c>
      <c r="AA280" s="19" t="n"/>
      <c r="AB280" s="19" t="n"/>
      <c r="AC280" s="19" t="n"/>
      <c r="AD280" s="19" t="n"/>
      <c r="AE280" s="20" t="n"/>
      <c r="AF280" s="21">
        <f>IF(K280="","",K280*AE280)</f>
        <v/>
      </c>
      <c r="AG280" s="19" t="n"/>
      <c r="AH280" s="19" t="n"/>
      <c r="AI280" s="19" t="n"/>
      <c r="AJ280" s="19" t="n"/>
      <c r="AK280" s="19" t="n"/>
      <c r="AL280" s="19" t="n"/>
      <c r="AM280" s="16" t="inlineStr">
        <is>
          <t>2 Gerüste – abgebildet ist eines davon.</t>
        </is>
      </c>
      <c r="AN280" s="22" t="n"/>
    </row>
    <row r="281" ht="30" customHeight="1">
      <c r="A281" s="15" t="inlineStr">
        <is>
          <t>BA06-08</t>
        </is>
      </c>
      <c r="B281" s="15" t="n"/>
      <c r="C281" s="15" t="n"/>
      <c r="D281" s="15" t="inlineStr">
        <is>
          <t>BA06</t>
        </is>
      </c>
      <c r="E281" s="15" t="inlineStr">
        <is>
          <t>Klettergerüst grün mit Rutschbrett</t>
        </is>
      </c>
      <c r="F281" s="16" t="inlineStr">
        <is>
          <t>Klettergerüst mit grün lackiertem Metallrahmen, Rundsprossen aus Holz und einem Rutschbrett mit dunkler Lauffläche.</t>
        </is>
      </c>
      <c r="G281" s="15" t="inlineStr">
        <is>
          <t>Kita-Ausstattung</t>
        </is>
      </c>
      <c r="H281" s="15" t="inlineStr">
        <is>
          <t>Material / Turnraum</t>
        </is>
      </c>
      <c r="I281" s="15" t="inlineStr">
        <is>
          <t>B</t>
        </is>
      </c>
      <c r="J281" s="17" t="n">
        <v>3</v>
      </c>
      <c r="K281" s="17" t="n"/>
      <c r="L281" s="18">
        <f>J281-IF(K281="",0,K281)</f>
        <v/>
      </c>
      <c r="M281" s="15" t="inlineStr">
        <is>
          <t>Stück</t>
        </is>
      </c>
      <c r="N281" s="15" t="inlineStr">
        <is>
          <t>gebraucht</t>
        </is>
      </c>
      <c r="O281" s="19" t="n"/>
      <c r="P281" s="19" t="inlineStr">
        <is>
          <t>ja</t>
        </is>
      </c>
      <c r="Q281" s="19" t="n"/>
      <c r="R281" s="20" t="n"/>
      <c r="S281" s="20" t="n">
        <v>70</v>
      </c>
      <c r="T281" s="19" t="inlineStr">
        <is>
          <t>VHB</t>
        </is>
      </c>
      <c r="U281" s="21">
        <f>L281*S281</f>
        <v/>
      </c>
      <c r="V281" s="15" t="inlineStr">
        <is>
          <t>nur Abholung</t>
        </is>
      </c>
      <c r="W281" s="15" t="inlineStr">
        <is>
          <t>F-330</t>
        </is>
      </c>
      <c r="X281" s="19" t="inlineStr">
        <is>
          <t>ja</t>
        </is>
      </c>
      <c r="Y281" s="19" t="n"/>
      <c r="Z281" s="19" t="inlineStr">
        <is>
          <t>verfügbar</t>
        </is>
      </c>
      <c r="AA281" s="19" t="n"/>
      <c r="AB281" s="19" t="n"/>
      <c r="AC281" s="19" t="n"/>
      <c r="AD281" s="19" t="n"/>
      <c r="AE281" s="20" t="n"/>
      <c r="AF281" s="21">
        <f>IF(K281="","",K281*AE281)</f>
        <v/>
      </c>
      <c r="AG281" s="19" t="n"/>
      <c r="AH281" s="19" t="n"/>
      <c r="AI281" s="19" t="n"/>
      <c r="AJ281" s="19" t="n"/>
      <c r="AK281" s="19" t="n"/>
      <c r="AL281" s="19" t="n"/>
      <c r="AM281" s="16" t="inlineStr">
        <is>
          <t>3 Gerüste – abgebildet ist eines davon.</t>
        </is>
      </c>
      <c r="AN281" s="22" t="n"/>
    </row>
    <row r="282" ht="30" customHeight="1">
      <c r="A282" s="15" t="inlineStr">
        <is>
          <t>BA06-09</t>
        </is>
      </c>
      <c r="B282" s="15" t="n"/>
      <c r="C282" s="15" t="n"/>
      <c r="D282" s="15" t="inlineStr">
        <is>
          <t>BA06</t>
        </is>
      </c>
      <c r="E282" s="15" t="inlineStr">
        <is>
          <t>Holz-Lastwagen zum Rutschen</t>
        </is>
      </c>
      <c r="F282" s="16" t="inlineStr">
        <is>
          <t>Rutschfahrzeug aus Massivholz in Lastwagenform: offene Ladefläche mit Bordwänden, gepolsterter Sitz vor dem Führerhaus, Holzlenkrad und vier Gummiräder mit roten Felgen.</t>
        </is>
      </c>
      <c r="G282" s="15" t="inlineStr">
        <is>
          <t>Kita-Ausstattung</t>
        </is>
      </c>
      <c r="H282" s="15" t="inlineStr">
        <is>
          <t>Material / Turnraum</t>
        </is>
      </c>
      <c r="I282" s="15" t="inlineStr">
        <is>
          <t>B</t>
        </is>
      </c>
      <c r="J282" s="17" t="n">
        <v>1</v>
      </c>
      <c r="K282" s="17" t="n"/>
      <c r="L282" s="18">
        <f>J282-IF(K282="",0,K282)</f>
        <v/>
      </c>
      <c r="M282" s="15" t="inlineStr">
        <is>
          <t>Stück</t>
        </is>
      </c>
      <c r="N282" s="15" t="inlineStr">
        <is>
          <t>gebraucht</t>
        </is>
      </c>
      <c r="O282" s="19" t="n"/>
      <c r="P282" s="19" t="inlineStr">
        <is>
          <t>ja</t>
        </is>
      </c>
      <c r="Q282" s="19" t="n"/>
      <c r="R282" s="20" t="n"/>
      <c r="S282" s="20" t="n">
        <v>40</v>
      </c>
      <c r="T282" s="19" t="inlineStr">
        <is>
          <t>VHB</t>
        </is>
      </c>
      <c r="U282" s="21">
        <f>L282*S282</f>
        <v/>
      </c>
      <c r="V282" s="15" t="inlineStr">
        <is>
          <t>nur Abholung</t>
        </is>
      </c>
      <c r="W282" s="15" t="inlineStr">
        <is>
          <t>F-335</t>
        </is>
      </c>
      <c r="X282" s="19" t="inlineStr">
        <is>
          <t>ja</t>
        </is>
      </c>
      <c r="Y282" s="19" t="n"/>
      <c r="Z282" s="19" t="inlineStr">
        <is>
          <t>verfügbar</t>
        </is>
      </c>
      <c r="AA282" s="19" t="n"/>
      <c r="AB282" s="19" t="n"/>
      <c r="AC282" s="19" t="n"/>
      <c r="AD282" s="19" t="n"/>
      <c r="AE282" s="20" t="n"/>
      <c r="AF282" s="21">
        <f>IF(K282="","",K282*AE282)</f>
        <v/>
      </c>
      <c r="AG282" s="19" t="n"/>
      <c r="AH282" s="19" t="n"/>
      <c r="AI282" s="19" t="n"/>
      <c r="AJ282" s="19" t="n"/>
      <c r="AK282" s="19" t="n"/>
      <c r="AL282" s="19" t="n"/>
      <c r="AM282" s="16" t="inlineStr">
        <is>
          <t>1 Fahrzeug.</t>
        </is>
      </c>
      <c r="AN282" s="22" t="n"/>
    </row>
    <row r="283" ht="30" customHeight="1">
      <c r="A283" s="15" t="inlineStr">
        <is>
          <t>BA06-10</t>
        </is>
      </c>
      <c r="B283" s="15" t="n"/>
      <c r="C283" s="15" t="n"/>
      <c r="D283" s="15" t="inlineStr">
        <is>
          <t>BA06</t>
        </is>
      </c>
      <c r="E283" s="15" t="inlineStr">
        <is>
          <t>Feuerwehrhaus aus Holz</t>
        </is>
      </c>
      <c r="F283" s="16" t="inlineStr">
        <is>
          <t>Spiel-Feuerwehrhaus aus Holz mit rot lackierten Wänden, dunklem Dach, aufklappbarem Tor und Zwischenboden. Aufdruck: FIRE STATION. Farbe stark abgegriffen.</t>
        </is>
      </c>
      <c r="G283" s="15" t="inlineStr">
        <is>
          <t>Kita-Ausstattung</t>
        </is>
      </c>
      <c r="H283" s="15" t="inlineStr">
        <is>
          <t>Material / Turnraum</t>
        </is>
      </c>
      <c r="I283" s="15" t="inlineStr">
        <is>
          <t>C</t>
        </is>
      </c>
      <c r="J283" s="17" t="n">
        <v>1</v>
      </c>
      <c r="K283" s="17" t="n"/>
      <c r="L283" s="18">
        <f>J283-IF(K283="",0,K283)</f>
        <v/>
      </c>
      <c r="M283" s="15" t="inlineStr">
        <is>
          <t>Stück</t>
        </is>
      </c>
      <c r="N283" s="15" t="inlineStr">
        <is>
          <t>stark gebraucht</t>
        </is>
      </c>
      <c r="O283" s="19" t="n"/>
      <c r="P283" s="19" t="inlineStr">
        <is>
          <t>ja</t>
        </is>
      </c>
      <c r="Q283" s="19" t="n"/>
      <c r="R283" s="20" t="n"/>
      <c r="S283" s="20" t="n">
        <v>20</v>
      </c>
      <c r="T283" s="19" t="inlineStr">
        <is>
          <t>VHB</t>
        </is>
      </c>
      <c r="U283" s="21">
        <f>L283*S283</f>
        <v/>
      </c>
      <c r="V283" s="15" t="inlineStr">
        <is>
          <t>nur Abholung</t>
        </is>
      </c>
      <c r="W283" s="15" t="inlineStr">
        <is>
          <t>F-331</t>
        </is>
      </c>
      <c r="X283" s="19" t="inlineStr">
        <is>
          <t>ja</t>
        </is>
      </c>
      <c r="Y283" s="19" t="n"/>
      <c r="Z283" s="19" t="inlineStr">
        <is>
          <t>verfügbar</t>
        </is>
      </c>
      <c r="AA283" s="19" t="n"/>
      <c r="AB283" s="19" t="n"/>
      <c r="AC283" s="19" t="n"/>
      <c r="AD283" s="19" t="n"/>
      <c r="AE283" s="20" t="n"/>
      <c r="AF283" s="21">
        <f>IF(K283="","",K283*AE283)</f>
        <v/>
      </c>
      <c r="AG283" s="19" t="n"/>
      <c r="AH283" s="19" t="n"/>
      <c r="AI283" s="19" t="n"/>
      <c r="AJ283" s="19" t="n"/>
      <c r="AK283" s="19" t="n"/>
      <c r="AL283" s="19" t="n"/>
      <c r="AM283" s="16" t="inlineStr">
        <is>
          <t>1 Haus. Die Fahrzeuge darin gehören nicht dazu.</t>
        </is>
      </c>
      <c r="AN283" s="22" t="n"/>
    </row>
    <row r="284" ht="30" customHeight="1">
      <c r="A284" s="15" t="inlineStr">
        <is>
          <t>BA06-11</t>
        </is>
      </c>
      <c r="B284" s="15" t="n"/>
      <c r="C284" s="15" t="n"/>
      <c r="D284" s="15" t="inlineStr">
        <is>
          <t>BA06</t>
        </is>
      </c>
      <c r="E284" s="15" t="inlineStr">
        <is>
          <t>Sitzschaukel Kunststoff mit Seilen</t>
        </is>
      </c>
      <c r="F284" s="16" t="inlineStr">
        <is>
          <t>Babyschaukel aus Kunststoff: Sitzschale in Violett mit limettengrünem Sicherheitsbügel, Aufhängung über weiße Seile.</t>
        </is>
      </c>
      <c r="G284" s="15" t="inlineStr">
        <is>
          <t>Kita-Ausstattung</t>
        </is>
      </c>
      <c r="H284" s="15" t="inlineStr">
        <is>
          <t>Material / Turnraum</t>
        </is>
      </c>
      <c r="I284" s="15" t="inlineStr">
        <is>
          <t>C</t>
        </is>
      </c>
      <c r="J284" s="17" t="n">
        <v>1</v>
      </c>
      <c r="K284" s="17" t="n"/>
      <c r="L284" s="18">
        <f>J284-IF(K284="",0,K284)</f>
        <v/>
      </c>
      <c r="M284" s="15" t="inlineStr">
        <is>
          <t>Stück</t>
        </is>
      </c>
      <c r="N284" s="15" t="inlineStr">
        <is>
          <t>gebraucht</t>
        </is>
      </c>
      <c r="O284" s="19" t="n"/>
      <c r="P284" s="19" t="inlineStr">
        <is>
          <t>ja</t>
        </is>
      </c>
      <c r="Q284" s="19" t="n"/>
      <c r="R284" s="20" t="n"/>
      <c r="S284" s="20" t="n">
        <v>15</v>
      </c>
      <c r="T284" s="19" t="inlineStr">
        <is>
          <t>VHB</t>
        </is>
      </c>
      <c r="U284" s="21">
        <f>L284*S284</f>
        <v/>
      </c>
      <c r="V284" s="15" t="inlineStr">
        <is>
          <t>nur Abholung</t>
        </is>
      </c>
      <c r="W284" s="15" t="inlineStr">
        <is>
          <t>F-332</t>
        </is>
      </c>
      <c r="X284" s="19" t="inlineStr">
        <is>
          <t>ja</t>
        </is>
      </c>
      <c r="Y284" s="19" t="n"/>
      <c r="Z284" s="19" t="inlineStr">
        <is>
          <t>verfügbar</t>
        </is>
      </c>
      <c r="AA284" s="19" t="n"/>
      <c r="AB284" s="19" t="n"/>
      <c r="AC284" s="19" t="n"/>
      <c r="AD284" s="19" t="n"/>
      <c r="AE284" s="20" t="n"/>
      <c r="AF284" s="21">
        <f>IF(K284="","",K284*AE284)</f>
        <v/>
      </c>
      <c r="AG284" s="19" t="n"/>
      <c r="AH284" s="19" t="n"/>
      <c r="AI284" s="19" t="n"/>
      <c r="AJ284" s="19" t="n"/>
      <c r="AK284" s="19" t="n"/>
      <c r="AL284" s="19" t="n"/>
      <c r="AM284" s="16" t="inlineStr">
        <is>
          <t>1 Schaukel.</t>
        </is>
      </c>
      <c r="AN284" s="22" t="n"/>
    </row>
    <row r="285" ht="30" customHeight="1">
      <c r="A285" s="15" t="inlineStr">
        <is>
          <t>BA06-12</t>
        </is>
      </c>
      <c r="B285" s="15" t="n"/>
      <c r="C285" s="15" t="n"/>
      <c r="D285" s="15" t="inlineStr">
        <is>
          <t>BA06</t>
        </is>
      </c>
      <c r="E285" s="15" t="inlineStr">
        <is>
          <t>Spieltunnel grün, 180 cm</t>
        </is>
      </c>
      <c r="F285" s="16" t="inlineStr">
        <is>
          <t>Spieltunnel aus grünem Stoff mit roten Ringen, etwa 180 cm lang bei 45 cm Durchmesser. Faltbar, mit Originalkarton.</t>
        </is>
      </c>
      <c r="G285" s="15" t="inlineStr">
        <is>
          <t>Kita-Ausstattung</t>
        </is>
      </c>
      <c r="H285" s="15" t="inlineStr">
        <is>
          <t>Material / Turnraum</t>
        </is>
      </c>
      <c r="I285" s="15" t="inlineStr">
        <is>
          <t>C</t>
        </is>
      </c>
      <c r="J285" s="17" t="n">
        <v>1</v>
      </c>
      <c r="K285" s="17" t="n"/>
      <c r="L285" s="18">
        <f>J285-IF(K285="",0,K285)</f>
        <v/>
      </c>
      <c r="M285" s="15" t="inlineStr">
        <is>
          <t>Stück</t>
        </is>
      </c>
      <c r="N285" s="15" t="inlineStr">
        <is>
          <t>gebraucht</t>
        </is>
      </c>
      <c r="O285" s="19" t="n"/>
      <c r="P285" s="19" t="inlineStr">
        <is>
          <t>ja</t>
        </is>
      </c>
      <c r="Q285" s="19" t="n"/>
      <c r="R285" s="20" t="n"/>
      <c r="S285" s="20" t="n">
        <v>15</v>
      </c>
      <c r="T285" s="19" t="inlineStr">
        <is>
          <t>VHB</t>
        </is>
      </c>
      <c r="U285" s="21">
        <f>L285*S285</f>
        <v/>
      </c>
      <c r="V285" s="15" t="inlineStr">
        <is>
          <t>nur Abholung</t>
        </is>
      </c>
      <c r="W285" s="15" t="inlineStr">
        <is>
          <t>F-336</t>
        </is>
      </c>
      <c r="X285" s="19" t="inlineStr">
        <is>
          <t>ja</t>
        </is>
      </c>
      <c r="Y285" s="19" t="n"/>
      <c r="Z285" s="19" t="inlineStr">
        <is>
          <t>verfügbar</t>
        </is>
      </c>
      <c r="AA285" s="19" t="n"/>
      <c r="AB285" s="19" t="n"/>
      <c r="AC285" s="19" t="n"/>
      <c r="AD285" s="19" t="n"/>
      <c r="AE285" s="20" t="n"/>
      <c r="AF285" s="21">
        <f>IF(K285="","",K285*AE285)</f>
        <v/>
      </c>
      <c r="AG285" s="19" t="n"/>
      <c r="AH285" s="19" t="n"/>
      <c r="AI285" s="19" t="n"/>
      <c r="AJ285" s="19" t="n"/>
      <c r="AK285" s="19" t="n"/>
      <c r="AL285" s="19" t="n"/>
      <c r="AM285" s="16" t="inlineStr">
        <is>
          <t>1 Tunnel. Das Foto zeigt den Originalkarton mit der Abbildung; der Tunnel selbst ist zusammengefaltet darin.</t>
        </is>
      </c>
      <c r="AN285" s="22" t="n"/>
    </row>
    <row r="286" ht="30" customHeight="1">
      <c r="A286" s="15" t="inlineStr">
        <is>
          <t>BA07-01</t>
        </is>
      </c>
      <c r="B286" s="15" t="n"/>
      <c r="C286" s="15" t="n"/>
      <c r="D286" s="15" t="inlineStr">
        <is>
          <t>BA07</t>
        </is>
      </c>
      <c r="E286" s="15" t="inlineStr">
        <is>
          <t>Kissen in Wolkenform, hellblau</t>
        </is>
      </c>
      <c r="F286" s="16" t="inlineStr">
        <is>
          <t>Dekokissen in Wolkenform aus hellblauem Samtstoff, mit aufgestickten Augen, Lächeln und rosa Wangen.</t>
        </is>
      </c>
      <c r="G286" s="15" t="inlineStr">
        <is>
          <t>Textilien</t>
        </is>
      </c>
      <c r="H286" s="15" t="inlineStr">
        <is>
          <t>Klassenzimmer</t>
        </is>
      </c>
      <c r="I286" s="15" t="inlineStr">
        <is>
          <t>C</t>
        </is>
      </c>
      <c r="J286" s="17" t="n">
        <v>2</v>
      </c>
      <c r="K286" s="17" t="n"/>
      <c r="L286" s="18">
        <f>J286-IF(K286="",0,K286)</f>
        <v/>
      </c>
      <c r="M286" s="15" t="inlineStr">
        <is>
          <t>Stück</t>
        </is>
      </c>
      <c r="N286" s="15" t="inlineStr">
        <is>
          <t>gut</t>
        </is>
      </c>
      <c r="O286" s="19" t="n"/>
      <c r="P286" s="19" t="inlineStr">
        <is>
          <t>ja</t>
        </is>
      </c>
      <c r="Q286" s="19" t="n"/>
      <c r="R286" s="20" t="n"/>
      <c r="S286" s="20" t="n">
        <v>12</v>
      </c>
      <c r="T286" s="19" t="inlineStr">
        <is>
          <t>VHB</t>
        </is>
      </c>
      <c r="U286" s="21">
        <f>L286*S286</f>
        <v/>
      </c>
      <c r="V286" s="15" t="inlineStr">
        <is>
          <t>Versand möglich</t>
        </is>
      </c>
      <c r="W286" s="15" t="inlineStr">
        <is>
          <t>F-337</t>
        </is>
      </c>
      <c r="X286" s="19" t="inlineStr">
        <is>
          <t>ja</t>
        </is>
      </c>
      <c r="Y286" s="19" t="n"/>
      <c r="Z286" s="19" t="inlineStr">
        <is>
          <t>verfügbar</t>
        </is>
      </c>
      <c r="AA286" s="19" t="n"/>
      <c r="AB286" s="19" t="n"/>
      <c r="AC286" s="19" t="n"/>
      <c r="AD286" s="19" t="n"/>
      <c r="AE286" s="20" t="n"/>
      <c r="AF286" s="21">
        <f>IF(K286="","",K286*AE286)</f>
        <v/>
      </c>
      <c r="AG286" s="19" t="n"/>
      <c r="AH286" s="19" t="n"/>
      <c r="AI286" s="19" t="n"/>
      <c r="AJ286" s="19" t="n"/>
      <c r="AK286" s="19" t="n"/>
      <c r="AL286" s="19" t="n"/>
      <c r="AM286" s="16" t="inlineStr">
        <is>
          <t>2 Kissen, beide abgebildet.</t>
        </is>
      </c>
      <c r="AN286" s="22" t="n"/>
    </row>
    <row r="287" ht="30" customHeight="1">
      <c r="A287" s="15" t="inlineStr">
        <is>
          <t>BA07-02</t>
        </is>
      </c>
      <c r="B287" s="15" t="n"/>
      <c r="C287" s="15" t="n"/>
      <c r="D287" s="15" t="inlineStr">
        <is>
          <t>BA07</t>
        </is>
      </c>
      <c r="E287" s="15" t="inlineStr">
        <is>
          <t>Wandleuchte rund mit Holzrand</t>
        </is>
      </c>
      <c r="F287" s="16" t="inlineStr">
        <is>
          <t>Runde Wandleuchte: Rahmen aus gebogenem Schichtholz mit satinierter Scheibe, flache Bauform, Zuleitung sichtbar verlegt. Zwei verschiedene Durchmesser.</t>
        </is>
      </c>
      <c r="G287" s="15" t="inlineStr">
        <is>
          <t>Leuchten</t>
        </is>
      </c>
      <c r="H287" s="15" t="inlineStr">
        <is>
          <t>Klassenzimmer</t>
        </is>
      </c>
      <c r="I287" s="15" t="inlineStr">
        <is>
          <t>B</t>
        </is>
      </c>
      <c r="J287" s="17" t="n">
        <v>2</v>
      </c>
      <c r="K287" s="17" t="n"/>
      <c r="L287" s="18">
        <f>J287-IF(K287="",0,K287)</f>
        <v/>
      </c>
      <c r="M287" s="15" t="inlineStr">
        <is>
          <t>Stück</t>
        </is>
      </c>
      <c r="N287" s="15" t="inlineStr">
        <is>
          <t>gebraucht</t>
        </is>
      </c>
      <c r="O287" s="19" t="n"/>
      <c r="P287" s="19" t="inlineStr">
        <is>
          <t>ja</t>
        </is>
      </c>
      <c r="Q287" s="19" t="n"/>
      <c r="R287" s="20" t="n"/>
      <c r="S287" s="20" t="n">
        <v>45</v>
      </c>
      <c r="T287" s="19" t="inlineStr">
        <is>
          <t>VHB</t>
        </is>
      </c>
      <c r="U287" s="21">
        <f>L287*S287</f>
        <v/>
      </c>
      <c r="V287" s="15" t="inlineStr">
        <is>
          <t>nur Abholung</t>
        </is>
      </c>
      <c r="W287" s="15" t="inlineStr">
        <is>
          <t>F-338</t>
        </is>
      </c>
      <c r="X287" s="19" t="inlineStr">
        <is>
          <t>ja</t>
        </is>
      </c>
      <c r="Y287" s="19" t="n"/>
      <c r="Z287" s="19" t="inlineStr">
        <is>
          <t>verfügbar</t>
        </is>
      </c>
      <c r="AA287" s="19" t="n"/>
      <c r="AB287" s="19" t="n"/>
      <c r="AC287" s="19" t="n"/>
      <c r="AD287" s="19" t="n"/>
      <c r="AE287" s="20" t="n"/>
      <c r="AF287" s="21">
        <f>IF(K287="","",K287*AE287)</f>
        <v/>
      </c>
      <c r="AG287" s="19" t="n"/>
      <c r="AH287" s="19" t="n"/>
      <c r="AI287" s="19" t="n"/>
      <c r="AJ287" s="19" t="n"/>
      <c r="AK287" s="19" t="n"/>
      <c r="AL287" s="19" t="n"/>
      <c r="AM287" s="16" t="inlineStr">
        <is>
          <t>2 Leuchten in unterschiedlicher Größe, beide abgebildet.</t>
        </is>
      </c>
      <c r="AN287" s="22" t="n"/>
    </row>
    <row r="288" ht="30" customHeight="1">
      <c r="A288" s="15" t="inlineStr">
        <is>
          <t>BA07-03</t>
        </is>
      </c>
      <c r="B288" s="15" t="n"/>
      <c r="C288" s="15" t="n"/>
      <c r="D288" s="15" t="inlineStr">
        <is>
          <t>BA07</t>
        </is>
      </c>
      <c r="E288" s="15" t="inlineStr">
        <is>
          <t>Standregal grau mit Wolkenaufsatz</t>
        </is>
      </c>
      <c r="F288" s="16" t="inlineStr">
        <is>
          <t>Schmales Standregal in Grau mit drei Ablagen und vorderen Haltelleisten, oben ein ausgesägter Wolkenaufsatz, auf schrägen Holzbeinen. Als Bücherregal genutzt.</t>
        </is>
      </c>
      <c r="G288" s="15" t="inlineStr">
        <is>
          <t>Kita-Ausstattung</t>
        </is>
      </c>
      <c r="H288" s="15" t="inlineStr">
        <is>
          <t>Klassenzimmer</t>
        </is>
      </c>
      <c r="I288" s="15" t="inlineStr">
        <is>
          <t>B</t>
        </is>
      </c>
      <c r="J288" s="17" t="n">
        <v>1</v>
      </c>
      <c r="K288" s="17" t="n"/>
      <c r="L288" s="18">
        <f>J288-IF(K288="",0,K288)</f>
        <v/>
      </c>
      <c r="M288" s="15" t="inlineStr">
        <is>
          <t>Stück</t>
        </is>
      </c>
      <c r="N288" s="15" t="inlineStr">
        <is>
          <t>gebraucht</t>
        </is>
      </c>
      <c r="O288" s="19" t="n"/>
      <c r="P288" s="19" t="inlineStr">
        <is>
          <t>ja</t>
        </is>
      </c>
      <c r="Q288" s="19" t="n"/>
      <c r="R288" s="20" t="n"/>
      <c r="S288" s="20" t="n">
        <v>45</v>
      </c>
      <c r="T288" s="19" t="inlineStr">
        <is>
          <t>VHB</t>
        </is>
      </c>
      <c r="U288" s="21">
        <f>L288*S288</f>
        <v/>
      </c>
      <c r="V288" s="15" t="inlineStr">
        <is>
          <t>nur Abholung</t>
        </is>
      </c>
      <c r="W288" s="15" t="inlineStr">
        <is>
          <t>F-339</t>
        </is>
      </c>
      <c r="X288" s="19" t="inlineStr">
        <is>
          <t>ja</t>
        </is>
      </c>
      <c r="Y288" s="19" t="n"/>
      <c r="Z288" s="19" t="inlineStr">
        <is>
          <t>verfügbar</t>
        </is>
      </c>
      <c r="AA288" s="19" t="n"/>
      <c r="AB288" s="19" t="n"/>
      <c r="AC288" s="19" t="n"/>
      <c r="AD288" s="19" t="n"/>
      <c r="AE288" s="20" t="n"/>
      <c r="AF288" s="21">
        <f>IF(K288="","",K288*AE288)</f>
        <v/>
      </c>
      <c r="AG288" s="19" t="n"/>
      <c r="AH288" s="19" t="n"/>
      <c r="AI288" s="19" t="n"/>
      <c r="AJ288" s="19" t="n"/>
      <c r="AK288" s="19" t="n"/>
      <c r="AL288" s="19" t="n"/>
      <c r="AM288" s="16" t="inlineStr">
        <is>
          <t>1 Regal.</t>
        </is>
      </c>
      <c r="AN288" s="22" t="n"/>
    </row>
    <row r="289" ht="30" customHeight="1">
      <c r="A289" s="15" t="inlineStr">
        <is>
          <t>BA07-05</t>
        </is>
      </c>
      <c r="B289" s="15" t="n"/>
      <c r="C289" s="15" t="n"/>
      <c r="D289" s="15" t="inlineStr">
        <is>
          <t>BA07</t>
        </is>
      </c>
      <c r="E289" s="15" t="inlineStr">
        <is>
          <t>Tisch weiß, lang, auf schwarzen Beinen</t>
        </is>
      </c>
      <c r="F289" s="16" t="inlineStr">
        <is>
          <t>Langer Tisch mit weißer Platte auf vier schwarzen Rundbeinen mit Gleitern. Als Arbeits- und Ablagefläche genutzt.</t>
        </is>
      </c>
      <c r="G289" s="15" t="inlineStr">
        <is>
          <t>Möbel</t>
        </is>
      </c>
      <c r="H289" s="15" t="inlineStr">
        <is>
          <t>Klassenzimmer</t>
        </is>
      </c>
      <c r="I289" s="15" t="inlineStr">
        <is>
          <t>B</t>
        </is>
      </c>
      <c r="J289" s="17" t="n">
        <v>1</v>
      </c>
      <c r="K289" s="17" t="n"/>
      <c r="L289" s="18">
        <f>J289-IF(K289="",0,K289)</f>
        <v/>
      </c>
      <c r="M289" s="15" t="inlineStr">
        <is>
          <t>Stück</t>
        </is>
      </c>
      <c r="N289" s="15" t="inlineStr">
        <is>
          <t>gebraucht</t>
        </is>
      </c>
      <c r="O289" s="19" t="n"/>
      <c r="P289" s="19" t="inlineStr">
        <is>
          <t>ja</t>
        </is>
      </c>
      <c r="Q289" s="19" t="n"/>
      <c r="R289" s="20" t="n"/>
      <c r="S289" s="20" t="n">
        <v>70</v>
      </c>
      <c r="T289" s="19" t="inlineStr">
        <is>
          <t>VHB</t>
        </is>
      </c>
      <c r="U289" s="21">
        <f>L289*S289</f>
        <v/>
      </c>
      <c r="V289" s="15" t="inlineStr">
        <is>
          <t>nur Abholung</t>
        </is>
      </c>
      <c r="W289" s="15" t="inlineStr">
        <is>
          <t>F-341</t>
        </is>
      </c>
      <c r="X289" s="19" t="inlineStr">
        <is>
          <t>ja</t>
        </is>
      </c>
      <c r="Y289" s="19" t="n"/>
      <c r="Z289" s="19" t="inlineStr">
        <is>
          <t>verfügbar</t>
        </is>
      </c>
      <c r="AA289" s="19" t="n"/>
      <c r="AB289" s="19" t="n"/>
      <c r="AC289" s="19" t="n"/>
      <c r="AD289" s="19" t="n"/>
      <c r="AE289" s="20" t="n"/>
      <c r="AF289" s="21">
        <f>IF(K289="","",K289*AE289)</f>
        <v/>
      </c>
      <c r="AG289" s="19" t="n"/>
      <c r="AH289" s="19" t="n"/>
      <c r="AI289" s="19" t="n"/>
      <c r="AJ289" s="19" t="n"/>
      <c r="AK289" s="19" t="n"/>
      <c r="AL289" s="19" t="n"/>
      <c r="AM289" s="16" t="inlineStr">
        <is>
          <t>1 Tisch.</t>
        </is>
      </c>
      <c r="AN289" s="22" t="n"/>
    </row>
    <row r="290" ht="30" customHeight="1">
      <c r="A290" s="15" t="inlineStr">
        <is>
          <t>BA07-06</t>
        </is>
      </c>
      <c r="B290" s="15" t="n"/>
      <c r="C290" s="15" t="n"/>
      <c r="D290" s="15" t="inlineStr">
        <is>
          <t>BA07</t>
        </is>
      </c>
      <c r="E290" s="15" t="inlineStr">
        <is>
          <t>Regal creme, 16 Fächer, auf Metallbeinen</t>
        </is>
      </c>
      <c r="F290" s="16" t="inlineStr">
        <is>
          <t>Großes Regal in Creme mit sechzehn Fächern in vier Reihen, auf schräg gestellten schwarzen Metallbeinen.</t>
        </is>
      </c>
      <c r="G290" s="15" t="inlineStr">
        <is>
          <t>Möbel</t>
        </is>
      </c>
      <c r="H290" s="15" t="inlineStr">
        <is>
          <t>Klassenzimmer</t>
        </is>
      </c>
      <c r="I290" s="15" t="inlineStr">
        <is>
          <t>B</t>
        </is>
      </c>
      <c r="J290" s="17" t="n">
        <v>1</v>
      </c>
      <c r="K290" s="17" t="n"/>
      <c r="L290" s="18">
        <f>J290-IF(K290="",0,K290)</f>
        <v/>
      </c>
      <c r="M290" s="15" t="inlineStr">
        <is>
          <t>Stück</t>
        </is>
      </c>
      <c r="N290" s="15" t="inlineStr">
        <is>
          <t>gebraucht</t>
        </is>
      </c>
      <c r="O290" s="19" t="n"/>
      <c r="P290" s="19" t="inlineStr">
        <is>
          <t>ja</t>
        </is>
      </c>
      <c r="Q290" s="19" t="n"/>
      <c r="R290" s="20" t="n"/>
      <c r="S290" s="20" t="n">
        <v>90</v>
      </c>
      <c r="T290" s="19" t="inlineStr">
        <is>
          <t>VHB</t>
        </is>
      </c>
      <c r="U290" s="21">
        <f>L290*S290</f>
        <v/>
      </c>
      <c r="V290" s="15" t="inlineStr">
        <is>
          <t>nur Abholung</t>
        </is>
      </c>
      <c r="W290" s="15" t="inlineStr">
        <is>
          <t>F-342</t>
        </is>
      </c>
      <c r="X290" s="19" t="inlineStr">
        <is>
          <t>ja</t>
        </is>
      </c>
      <c r="Y290" s="19" t="n"/>
      <c r="Z290" s="19" t="inlineStr">
        <is>
          <t>verfügbar</t>
        </is>
      </c>
      <c r="AA290" s="19" t="n"/>
      <c r="AB290" s="19" t="n"/>
      <c r="AC290" s="19" t="n"/>
      <c r="AD290" s="19" t="n"/>
      <c r="AE290" s="20" t="n"/>
      <c r="AF290" s="21">
        <f>IF(K290="","",K290*AE290)</f>
        <v/>
      </c>
      <c r="AG290" s="19" t="n"/>
      <c r="AH290" s="19" t="n"/>
      <c r="AI290" s="19" t="n"/>
      <c r="AJ290" s="19" t="n"/>
      <c r="AK290" s="19" t="n"/>
      <c r="AL290" s="19" t="n"/>
      <c r="AM290" s="16" t="inlineStr">
        <is>
          <t>1 Regal. Der Inhalt gehört nicht dazu.</t>
        </is>
      </c>
      <c r="AN290" s="22" t="n"/>
    </row>
    <row r="291" ht="30" customHeight="1">
      <c r="A291" s="15" t="inlineStr">
        <is>
          <t>BA08-05</t>
        </is>
      </c>
      <c r="B291" s="15" t="n"/>
      <c r="C291" s="15" t="n"/>
      <c r="D291" s="15" t="inlineStr">
        <is>
          <t>BA08</t>
        </is>
      </c>
      <c r="E291" s="15" t="inlineStr">
        <is>
          <t>Acrylbild schwarz-weiß, Kreise mit Punkten</t>
        </is>
      </c>
      <c r="F291" s="16" t="inlineStr">
        <is>
          <t>Acryl auf Leinwand, großes Quadrat: mit breitem Pinsel gezogene Kreise, darin je mehrere gemalte Punkte – die Anmutung von Würfeln. Eigenarbeit einer Privatperson, nicht signiert.</t>
        </is>
      </c>
      <c r="G291" s="15" t="inlineStr">
        <is>
          <t>Kunst</t>
        </is>
      </c>
      <c r="H291" s="15" t="inlineStr">
        <is>
          <t>Atelier</t>
        </is>
      </c>
      <c r="I291" s="15" t="inlineStr">
        <is>
          <t>B</t>
        </is>
      </c>
      <c r="J291" s="17" t="n">
        <v>1</v>
      </c>
      <c r="K291" s="17" t="n"/>
      <c r="L291" s="18">
        <f>J291-IF(K291="",0,K291)</f>
        <v/>
      </c>
      <c r="M291" s="15" t="inlineStr">
        <is>
          <t>Stück</t>
        </is>
      </c>
      <c r="N291" s="15" t="inlineStr">
        <is>
          <t>gut</t>
        </is>
      </c>
      <c r="O291" s="19" t="n"/>
      <c r="P291" s="19" t="inlineStr">
        <is>
          <t>ja</t>
        </is>
      </c>
      <c r="Q291" s="19" t="n"/>
      <c r="R291" s="20" t="n"/>
      <c r="S291" s="20" t="n">
        <v>150</v>
      </c>
      <c r="T291" s="19" t="inlineStr">
        <is>
          <t>VHB</t>
        </is>
      </c>
      <c r="U291" s="21">
        <f>L291*S291</f>
        <v/>
      </c>
      <c r="V291" s="15" t="inlineStr">
        <is>
          <t>Versand möglich</t>
        </is>
      </c>
      <c r="W291" s="15" t="inlineStr">
        <is>
          <t>F-344</t>
        </is>
      </c>
      <c r="X291" s="19" t="inlineStr">
        <is>
          <t>ja</t>
        </is>
      </c>
      <c r="Y291" s="19" t="n"/>
      <c r="Z291" s="19" t="inlineStr">
        <is>
          <t>verfügbar</t>
        </is>
      </c>
      <c r="AA291" s="19" t="n"/>
      <c r="AB291" s="19" t="n"/>
      <c r="AC291" s="19" t="n"/>
      <c r="AD291" s="19" t="n"/>
      <c r="AE291" s="20" t="n"/>
      <c r="AF291" s="21">
        <f>IF(K291="","",K291*AE291)</f>
        <v/>
      </c>
      <c r="AG291" s="19" t="n"/>
      <c r="AH291" s="19" t="n"/>
      <c r="AI291" s="19" t="n"/>
      <c r="AJ291" s="19" t="n"/>
      <c r="AK291" s="19" t="n"/>
      <c r="AL291" s="19" t="n"/>
      <c r="AM291" s="16" t="inlineStr">
        <is>
          <t>1 Bild.</t>
        </is>
      </c>
      <c r="AN291" s="22" t="n"/>
    </row>
    <row r="292" ht="30" customHeight="1">
      <c r="A292" s="15" t="inlineStr">
        <is>
          <t>BA08-06</t>
        </is>
      </c>
      <c r="B292" s="15" t="n"/>
      <c r="C292" s="15" t="inlineStr">
        <is>
          <t>BU05-08</t>
        </is>
      </c>
      <c r="D292" s="15" t="inlineStr">
        <is>
          <t>BA08</t>
        </is>
      </c>
      <c r="E292" s="15" t="inlineStr">
        <is>
          <t>VS Schalenstuhl grau, Vierfußgestell</t>
        </is>
      </c>
      <c r="F292" s="16" t="inlineStr">
        <is>
          <t>Schalenstuhl von VS (Vereinigte Spezialmöbelfabriken): graue Kunststoffschale mit Rautenstruktur und Griffloch in der Lehne, auf grauem Vierfußgestell aus Rohr. Auf den Stühlen aus dem Atelier sind Farbspritzer.</t>
        </is>
      </c>
      <c r="G292" s="15" t="inlineStr">
        <is>
          <t>Kita-Ausstattung</t>
        </is>
      </c>
      <c r="H292" s="15" t="inlineStr">
        <is>
          <t>Atelier</t>
        </is>
      </c>
      <c r="I292" s="15" t="inlineStr">
        <is>
          <t>B</t>
        </is>
      </c>
      <c r="J292" s="17" t="n">
        <v>12</v>
      </c>
      <c r="K292" s="17" t="n"/>
      <c r="L292" s="18">
        <f>J292-IF(K292="",0,K292)</f>
        <v/>
      </c>
      <c r="M292" s="15" t="inlineStr">
        <is>
          <t>Stück</t>
        </is>
      </c>
      <c r="N292" s="15" t="inlineStr">
        <is>
          <t>gebraucht</t>
        </is>
      </c>
      <c r="O292" s="19" t="n"/>
      <c r="P292" s="19" t="inlineStr">
        <is>
          <t>ja</t>
        </is>
      </c>
      <c r="Q292" s="19" t="n"/>
      <c r="R292" s="20" t="n"/>
      <c r="S292" s="20" t="n">
        <v>50</v>
      </c>
      <c r="T292" s="19" t="inlineStr">
        <is>
          <t>VHB</t>
        </is>
      </c>
      <c r="U292" s="21">
        <f>L292*S292</f>
        <v/>
      </c>
      <c r="V292" s="15" t="inlineStr">
        <is>
          <t>nur Abholung</t>
        </is>
      </c>
      <c r="W292" s="15" t="inlineStr">
        <is>
          <t>F-345</t>
        </is>
      </c>
      <c r="X292" s="19" t="inlineStr">
        <is>
          <t>ja</t>
        </is>
      </c>
      <c r="Y292" s="19" t="n"/>
      <c r="Z292" s="19" t="inlineStr">
        <is>
          <t>verfügbar</t>
        </is>
      </c>
      <c r="AA292" s="19" t="inlineStr">
        <is>
          <t>VS</t>
        </is>
      </c>
      <c r="AB292" s="19" t="n"/>
      <c r="AC292" s="19" t="n"/>
      <c r="AD292" s="19" t="n"/>
      <c r="AE292" s="20" t="n"/>
      <c r="AF292" s="21">
        <f>IF(K292="","",K292*AE292)</f>
        <v/>
      </c>
      <c r="AG292" s="19" t="n"/>
      <c r="AH292" s="19" t="n"/>
      <c r="AI292" s="19" t="n"/>
      <c r="AJ292" s="19" t="n"/>
      <c r="AK292" s="19" t="n"/>
      <c r="AL292" s="19" t="n"/>
      <c r="AM292" s="16" t="inlineStr">
        <is>
          <t>12 Stühle insgesamt: 9 im Atelier (BA08-06) und 3 im Schlafraum im Untergeschoss (BU05-08). Nur die neun Stühle aus dem Atelier haben Farbspritzer; die drei aus dem Schlafraum sind sauber. Das Logo ist auf Foto F-346 zu sehen, ein sauberer Stuhl auf Foto F-418.</t>
        </is>
      </c>
      <c r="AN292" s="22" t="inlineStr">
        <is>
          <t>Zusammengefasste Position über zwei Räume – Post-it-Nummer: BU05-08.</t>
        </is>
      </c>
    </row>
    <row r="293" ht="30" customHeight="1">
      <c r="A293" s="15" t="inlineStr">
        <is>
          <t>BA08-07</t>
        </is>
      </c>
      <c r="B293" s="15" t="n"/>
      <c r="C293" s="15" t="n"/>
      <c r="D293" s="15" t="inlineStr">
        <is>
          <t>BA08</t>
        </is>
      </c>
      <c r="E293" s="15" t="inlineStr">
        <is>
          <t>Konvolut Feinkrepp-Papier</t>
        </is>
      </c>
      <c r="F293" s="16" t="inlineStr">
        <is>
          <t>Rollen Feinkrepp von Marpa Jansen, je 50 × 250 cm, in Blau, Grün, Gelb, Rot, Orange und Braun. Teils angebrochen, dazu ein Beutel mit zugeschnittenen Schnipseln.</t>
        </is>
      </c>
      <c r="G293" s="15" t="inlineStr">
        <is>
          <t>Verbrauchsmaterial</t>
        </is>
      </c>
      <c r="H293" s="15" t="inlineStr">
        <is>
          <t>Atelier</t>
        </is>
      </c>
      <c r="I293" s="15" t="inlineStr">
        <is>
          <t>C</t>
        </is>
      </c>
      <c r="J293" s="17" t="n">
        <v>1</v>
      </c>
      <c r="K293" s="17" t="n"/>
      <c r="L293" s="18">
        <f>J293-IF(K293="",0,K293)</f>
        <v/>
      </c>
      <c r="M293" s="15" t="inlineStr">
        <is>
          <t>Konvolut</t>
        </is>
      </c>
      <c r="N293" s="15" t="inlineStr">
        <is>
          <t>gebraucht</t>
        </is>
      </c>
      <c r="O293" s="19" t="n"/>
      <c r="P293" s="19" t="inlineStr">
        <is>
          <t>ja</t>
        </is>
      </c>
      <c r="Q293" s="19" t="n"/>
      <c r="R293" s="20" t="n"/>
      <c r="S293" s="20" t="n">
        <v>20</v>
      </c>
      <c r="T293" s="19" t="inlineStr">
        <is>
          <t>VHB</t>
        </is>
      </c>
      <c r="U293" s="21">
        <f>L293*S293</f>
        <v/>
      </c>
      <c r="V293" s="15" t="inlineStr">
        <is>
          <t>nur Abholung</t>
        </is>
      </c>
      <c r="W293" s="15" t="inlineStr">
        <is>
          <t>F-347</t>
        </is>
      </c>
      <c r="X293" s="19" t="inlineStr">
        <is>
          <t>ja</t>
        </is>
      </c>
      <c r="Y293" s="19" t="n"/>
      <c r="Z293" s="19" t="inlineStr">
        <is>
          <t>verfügbar</t>
        </is>
      </c>
      <c r="AA293" s="19" t="inlineStr">
        <is>
          <t>Marpa Jansen</t>
        </is>
      </c>
      <c r="AB293" s="19" t="n"/>
      <c r="AC293" s="19" t="n"/>
      <c r="AD293" s="19" t="n"/>
      <c r="AE293" s="20" t="n"/>
      <c r="AF293" s="21">
        <f>IF(K293="","",K293*AE293)</f>
        <v/>
      </c>
      <c r="AG293" s="19" t="n"/>
      <c r="AH293" s="19" t="n"/>
      <c r="AI293" s="19" t="n"/>
      <c r="AJ293" s="19" t="n"/>
      <c r="AK293" s="19" t="n"/>
      <c r="AL293" s="19" t="n"/>
      <c r="AM293" s="16" t="inlineStr">
        <is>
          <t>1 Konvolut. Der Schubladeninhalt ist auf Foto F-348 zu sehen.</t>
        </is>
      </c>
      <c r="AN293" s="22" t="n"/>
    </row>
    <row r="294" ht="30" customHeight="1">
      <c r="A294" s="15" t="inlineStr">
        <is>
          <t>BA08-08</t>
        </is>
      </c>
      <c r="B294" s="15" t="n"/>
      <c r="C294" s="15" t="n"/>
      <c r="D294" s="15" t="inlineStr">
        <is>
          <t>BA08</t>
        </is>
      </c>
      <c r="E294" s="15" t="inlineStr">
        <is>
          <t>Deko-Pilze auf Holzfuß</t>
        </is>
      </c>
      <c r="F294" s="16" t="inlineStr">
        <is>
          <t>Dekopilze mit gedrechseltem Fuß aus Massivholz: zwei mit gehämmerter Metallkappe in Silberoptik, einer mit Kappe in Betonoptik.</t>
        </is>
      </c>
      <c r="G294" s="15" t="inlineStr">
        <is>
          <t>Deko</t>
        </is>
      </c>
      <c r="H294" s="15" t="inlineStr">
        <is>
          <t>Atelier</t>
        </is>
      </c>
      <c r="I294" s="15" t="inlineStr">
        <is>
          <t>C</t>
        </is>
      </c>
      <c r="J294" s="17" t="n">
        <v>3</v>
      </c>
      <c r="K294" s="17" t="n"/>
      <c r="L294" s="18">
        <f>J294-IF(K294="",0,K294)</f>
        <v/>
      </c>
      <c r="M294" s="15" t="inlineStr">
        <is>
          <t>Stück</t>
        </is>
      </c>
      <c r="N294" s="15" t="inlineStr">
        <is>
          <t>gut</t>
        </is>
      </c>
      <c r="O294" s="19" t="n"/>
      <c r="P294" s="19" t="inlineStr">
        <is>
          <t>ja</t>
        </is>
      </c>
      <c r="Q294" s="19" t="n"/>
      <c r="R294" s="20" t="n"/>
      <c r="S294" s="20" t="n">
        <v>18</v>
      </c>
      <c r="T294" s="19" t="inlineStr">
        <is>
          <t>VHB</t>
        </is>
      </c>
      <c r="U294" s="21">
        <f>L294*S294</f>
        <v/>
      </c>
      <c r="V294" s="15" t="inlineStr">
        <is>
          <t>Versand möglich</t>
        </is>
      </c>
      <c r="W294" s="15" t="inlineStr">
        <is>
          <t>F-349</t>
        </is>
      </c>
      <c r="X294" s="19" t="inlineStr">
        <is>
          <t>ja</t>
        </is>
      </c>
      <c r="Y294" s="19" t="n"/>
      <c r="Z294" s="19" t="inlineStr">
        <is>
          <t>verfügbar</t>
        </is>
      </c>
      <c r="AA294" s="19" t="n"/>
      <c r="AB294" s="19" t="n"/>
      <c r="AC294" s="19" t="n"/>
      <c r="AD294" s="19" t="n"/>
      <c r="AE294" s="20" t="n"/>
      <c r="AF294" s="21">
        <f>IF(K294="","",K294*AE294)</f>
        <v/>
      </c>
      <c r="AG294" s="19" t="n"/>
      <c r="AH294" s="19" t="n"/>
      <c r="AI294" s="19" t="n"/>
      <c r="AJ294" s="19" t="n"/>
      <c r="AK294" s="19" t="n"/>
      <c r="AL294" s="19" t="n"/>
      <c r="AM294" s="16" t="inlineStr">
        <is>
          <t>3 Pilze, alle abgebildet.</t>
        </is>
      </c>
      <c r="AN294" s="22" t="n"/>
    </row>
    <row r="295" ht="30" customHeight="1">
      <c r="A295" s="15" t="inlineStr">
        <is>
          <t>BA08-09</t>
        </is>
      </c>
      <c r="B295" s="15" t="n"/>
      <c r="C295" s="15" t="n"/>
      <c r="D295" s="15" t="inlineStr">
        <is>
          <t>BA08</t>
        </is>
      </c>
      <c r="E295" s="15" t="inlineStr">
        <is>
          <t>Bastelscheren im Betzold-Holzblock</t>
        </is>
      </c>
      <c r="F295" s="16" t="inlineStr">
        <is>
          <t>Kinder-Bastelscheren mit Kunststoffgriffen in gemischten Farben, dazu ein Holzblock mit Steckbohrungen von Betzold als Ablage.</t>
        </is>
      </c>
      <c r="G295" s="15" t="inlineStr">
        <is>
          <t>Kita-Ausstattung</t>
        </is>
      </c>
      <c r="H295" s="15" t="inlineStr">
        <is>
          <t>Atelier</t>
        </is>
      </c>
      <c r="I295" s="15" t="inlineStr">
        <is>
          <t>C</t>
        </is>
      </c>
      <c r="J295" s="17" t="n">
        <v>15</v>
      </c>
      <c r="K295" s="17" t="n"/>
      <c r="L295" s="18">
        <f>J295-IF(K295="",0,K295)</f>
        <v/>
      </c>
      <c r="M295" s="15" t="inlineStr">
        <is>
          <t>Stück</t>
        </is>
      </c>
      <c r="N295" s="15" t="inlineStr">
        <is>
          <t>gebraucht</t>
        </is>
      </c>
      <c r="O295" s="19" t="n"/>
      <c r="P295" s="19" t="inlineStr">
        <is>
          <t>ja</t>
        </is>
      </c>
      <c r="Q295" s="19" t="n"/>
      <c r="R295" s="20" t="n"/>
      <c r="S295" s="20" t="n">
        <v>2</v>
      </c>
      <c r="T295" s="19" t="inlineStr">
        <is>
          <t>VHB</t>
        </is>
      </c>
      <c r="U295" s="21">
        <f>L295*S295</f>
        <v/>
      </c>
      <c r="V295" s="15" t="inlineStr">
        <is>
          <t>nur Abholung</t>
        </is>
      </c>
      <c r="W295" s="15" t="inlineStr">
        <is>
          <t>F-350</t>
        </is>
      </c>
      <c r="X295" s="19" t="inlineStr">
        <is>
          <t>ja</t>
        </is>
      </c>
      <c r="Y295" s="19" t="n"/>
      <c r="Z295" s="19" t="inlineStr">
        <is>
          <t>verfügbar</t>
        </is>
      </c>
      <c r="AA295" s="19" t="inlineStr">
        <is>
          <t>Betzold</t>
        </is>
      </c>
      <c r="AB295" s="19" t="n"/>
      <c r="AC295" s="19" t="n"/>
      <c r="AD295" s="19" t="n"/>
      <c r="AE295" s="20" t="n"/>
      <c r="AF295" s="21">
        <f>IF(K295="","",K295*AE295)</f>
        <v/>
      </c>
      <c r="AG295" s="19" t="n"/>
      <c r="AH295" s="19" t="n"/>
      <c r="AI295" s="19" t="n"/>
      <c r="AJ295" s="19" t="n"/>
      <c r="AK295" s="19" t="n"/>
      <c r="AL295" s="19" t="n"/>
      <c r="AM295" s="16" t="inlineStr">
        <is>
          <t>15 Scheren, der Holzblock gehört dazu.</t>
        </is>
      </c>
      <c r="AN295" s="22" t="n"/>
    </row>
    <row r="296" ht="30" customHeight="1">
      <c r="A296" s="15" t="inlineStr">
        <is>
          <t>BA08-10</t>
        </is>
      </c>
      <c r="B296" s="15" t="n"/>
      <c r="C296" s="15" t="n"/>
      <c r="D296" s="15" t="inlineStr">
        <is>
          <t>BA08</t>
        </is>
      </c>
      <c r="E296" s="15" t="inlineStr">
        <is>
          <t>Kunstpflanze Gras im weißen Topf</t>
        </is>
      </c>
      <c r="F296" s="16" t="inlineStr">
        <is>
          <t>Künstliches Ziergras mit gedrehten Halmen in einem weißen Übertopf aus Metall mit durchbrochenem Spitzenrand.</t>
        </is>
      </c>
      <c r="G296" s="15" t="inlineStr">
        <is>
          <t>Deko</t>
        </is>
      </c>
      <c r="H296" s="15" t="inlineStr">
        <is>
          <t>Atelier</t>
        </is>
      </c>
      <c r="I296" s="15" t="inlineStr">
        <is>
          <t>C</t>
        </is>
      </c>
      <c r="J296" s="17" t="n">
        <v>2</v>
      </c>
      <c r="K296" s="17" t="n"/>
      <c r="L296" s="18">
        <f>J296-IF(K296="",0,K296)</f>
        <v/>
      </c>
      <c r="M296" s="15" t="inlineStr">
        <is>
          <t>Stück</t>
        </is>
      </c>
      <c r="N296" s="15" t="inlineStr">
        <is>
          <t>gut</t>
        </is>
      </c>
      <c r="O296" s="19" t="n"/>
      <c r="P296" s="19" t="inlineStr">
        <is>
          <t>ja</t>
        </is>
      </c>
      <c r="Q296" s="19" t="n"/>
      <c r="R296" s="20" t="n"/>
      <c r="S296" s="20" t="n">
        <v>15</v>
      </c>
      <c r="T296" s="19" t="inlineStr">
        <is>
          <t>VHB</t>
        </is>
      </c>
      <c r="U296" s="21">
        <f>L296*S296</f>
        <v/>
      </c>
      <c r="V296" s="15" t="inlineStr">
        <is>
          <t>Versand möglich</t>
        </is>
      </c>
      <c r="W296" s="15" t="inlineStr">
        <is>
          <t>F-351</t>
        </is>
      </c>
      <c r="X296" s="19" t="inlineStr">
        <is>
          <t>ja</t>
        </is>
      </c>
      <c r="Y296" s="19" t="n"/>
      <c r="Z296" s="19" t="inlineStr">
        <is>
          <t>verfügbar</t>
        </is>
      </c>
      <c r="AA296" s="19" t="n"/>
      <c r="AB296" s="19" t="n"/>
      <c r="AC296" s="19" t="n"/>
      <c r="AD296" s="19" t="n"/>
      <c r="AE296" s="20" t="n"/>
      <c r="AF296" s="21">
        <f>IF(K296="","",K296*AE296)</f>
        <v/>
      </c>
      <c r="AG296" s="19" t="n"/>
      <c r="AH296" s="19" t="n"/>
      <c r="AI296" s="19" t="n"/>
      <c r="AJ296" s="19" t="n"/>
      <c r="AK296" s="19" t="n"/>
      <c r="AL296" s="19" t="n"/>
      <c r="AM296" s="16" t="inlineStr">
        <is>
          <t>2 Stück, beide abgebildet.</t>
        </is>
      </c>
      <c r="AN296" s="22" t="n"/>
    </row>
    <row r="297" ht="30" customHeight="1">
      <c r="A297" s="15" t="inlineStr">
        <is>
          <t>BA08-11</t>
        </is>
      </c>
      <c r="B297" s="15" t="n"/>
      <c r="C297" s="15" t="n"/>
      <c r="D297" s="15" t="inlineStr">
        <is>
          <t>BA08</t>
        </is>
      </c>
      <c r="E297" s="15" t="inlineStr">
        <is>
          <t>Bilderrahmen mit Zeichenwerkzeug</t>
        </is>
      </c>
      <c r="F297" s="16" t="inlineStr">
        <is>
          <t>Zwei schwarze Rahmen hinter Glas, gepunkteter Hintergrund: einer mit Bleistift, Lineal und gefaltetem Papier, einer mit sechs Pinseln in verschiedenen Breiten. Passend für ein Atelier oder Arbeitszimmer.</t>
        </is>
      </c>
      <c r="G297" s="15" t="inlineStr">
        <is>
          <t>Deko</t>
        </is>
      </c>
      <c r="H297" s="15" t="inlineStr">
        <is>
          <t>Atelier</t>
        </is>
      </c>
      <c r="I297" s="15" t="inlineStr">
        <is>
          <t>C</t>
        </is>
      </c>
      <c r="J297" s="17" t="n">
        <v>2</v>
      </c>
      <c r="K297" s="17" t="n"/>
      <c r="L297" s="18">
        <f>J297-IF(K297="",0,K297)</f>
        <v/>
      </c>
      <c r="M297" s="15" t="inlineStr">
        <is>
          <t>Stück</t>
        </is>
      </c>
      <c r="N297" s="15" t="inlineStr">
        <is>
          <t>gut</t>
        </is>
      </c>
      <c r="O297" s="19" t="n"/>
      <c r="P297" s="19" t="inlineStr">
        <is>
          <t>ja</t>
        </is>
      </c>
      <c r="Q297" s="19" t="n"/>
      <c r="R297" s="20" t="n"/>
      <c r="S297" s="20" t="n">
        <v>25</v>
      </c>
      <c r="T297" s="19" t="inlineStr">
        <is>
          <t>VHB</t>
        </is>
      </c>
      <c r="U297" s="21">
        <f>L297*S297</f>
        <v/>
      </c>
      <c r="V297" s="15" t="inlineStr">
        <is>
          <t>Versand möglich</t>
        </is>
      </c>
      <c r="W297" s="15" t="inlineStr">
        <is>
          <t>F-352</t>
        </is>
      </c>
      <c r="X297" s="19" t="inlineStr">
        <is>
          <t>ja</t>
        </is>
      </c>
      <c r="Y297" s="19" t="n"/>
      <c r="Z297" s="19" t="inlineStr">
        <is>
          <t>verfügbar</t>
        </is>
      </c>
      <c r="AA297" s="19" t="n"/>
      <c r="AB297" s="19" t="n"/>
      <c r="AC297" s="19" t="n"/>
      <c r="AD297" s="19" t="n"/>
      <c r="AE297" s="20" t="n"/>
      <c r="AF297" s="21">
        <f>IF(K297="","",K297*AE297)</f>
        <v/>
      </c>
      <c r="AG297" s="19" t="n"/>
      <c r="AH297" s="19" t="n"/>
      <c r="AI297" s="19" t="n"/>
      <c r="AJ297" s="19" t="n"/>
      <c r="AK297" s="19" t="n"/>
      <c r="AL297" s="19" t="n"/>
      <c r="AM297" s="16" t="inlineStr">
        <is>
          <t>2 Bilder, beide abgebildet.</t>
        </is>
      </c>
      <c r="AN297" s="22" t="n"/>
    </row>
    <row r="298" ht="30" customHeight="1">
      <c r="A298" s="15" t="inlineStr">
        <is>
          <t>BA08-12</t>
        </is>
      </c>
      <c r="B298" s="15" t="n"/>
      <c r="C298" s="15" t="inlineStr">
        <is>
          <t>BU02-08</t>
        </is>
      </c>
      <c r="D298" s="15" t="inlineStr">
        <is>
          <t>BA08</t>
        </is>
      </c>
      <c r="E298" s="15" t="inlineStr">
        <is>
          <t>Wandregalbrett weiß</t>
        </is>
      </c>
      <c r="F298" s="16" t="inlineStr">
        <is>
          <t>Schmales weißes Wandregalbrett mit vorderer Kante, zum Anschrauben.</t>
        </is>
      </c>
      <c r="G298" s="15" t="inlineStr">
        <is>
          <t>Möbel</t>
        </is>
      </c>
      <c r="H298" s="15" t="inlineStr">
        <is>
          <t>Atelier</t>
        </is>
      </c>
      <c r="I298" s="15" t="inlineStr">
        <is>
          <t>C</t>
        </is>
      </c>
      <c r="J298" s="17" t="n">
        <v>4</v>
      </c>
      <c r="K298" s="17" t="n"/>
      <c r="L298" s="18">
        <f>J298-IF(K298="",0,K298)</f>
        <v/>
      </c>
      <c r="M298" s="15" t="inlineStr">
        <is>
          <t>Stück</t>
        </is>
      </c>
      <c r="N298" s="15" t="inlineStr">
        <is>
          <t>gebraucht</t>
        </is>
      </c>
      <c r="O298" s="19" t="n"/>
      <c r="P298" s="19" t="inlineStr">
        <is>
          <t>ja</t>
        </is>
      </c>
      <c r="Q298" s="19" t="n"/>
      <c r="R298" s="20" t="n"/>
      <c r="S298" s="20" t="n">
        <v>15</v>
      </c>
      <c r="T298" s="19" t="inlineStr">
        <is>
          <t>VHB</t>
        </is>
      </c>
      <c r="U298" s="21">
        <f>L298*S298</f>
        <v/>
      </c>
      <c r="V298" s="15" t="inlineStr">
        <is>
          <t>nur Abholung</t>
        </is>
      </c>
      <c r="W298" s="15" t="inlineStr">
        <is>
          <t>F-353</t>
        </is>
      </c>
      <c r="X298" s="19" t="inlineStr">
        <is>
          <t>ja</t>
        </is>
      </c>
      <c r="Y298" s="19" t="n"/>
      <c r="Z298" s="19" t="inlineStr">
        <is>
          <t>verfügbar</t>
        </is>
      </c>
      <c r="AA298" s="19" t="n"/>
      <c r="AB298" s="19" t="n"/>
      <c r="AC298" s="19" t="n"/>
      <c r="AD298" s="19" t="n"/>
      <c r="AE298" s="20" t="n"/>
      <c r="AF298" s="21">
        <f>IF(K298="","",K298*AE298)</f>
        <v/>
      </c>
      <c r="AG298" s="19" t="n"/>
      <c r="AH298" s="19" t="n"/>
      <c r="AI298" s="19" t="n"/>
      <c r="AJ298" s="19" t="n"/>
      <c r="AK298" s="19" t="n"/>
      <c r="AL298" s="19" t="n"/>
      <c r="AM298" s="16" t="inlineStr">
        <is>
          <t>4 Bretter insgesamt: 2 im Atelier (BA08-12) und 2 im Flur 2 im Untergeschoss des Bestandsgebäudes (BU02-08). Die blauen Becher auf dem Foto gehören nicht dazu.</t>
        </is>
      </c>
      <c r="AN298" s="22" t="inlineStr">
        <is>
          <t>Zusammengefasste Position über zwei Räume – Post-it-Nummer: BU02-08.</t>
        </is>
      </c>
    </row>
    <row r="299" ht="30" customHeight="1">
      <c r="A299" s="15" t="inlineStr">
        <is>
          <t>BU01-01</t>
        </is>
      </c>
      <c r="B299" s="15" t="n"/>
      <c r="C299" s="15" t="n"/>
      <c r="D299" s="15" t="inlineStr">
        <is>
          <t>BU01</t>
        </is>
      </c>
      <c r="E299" s="15" t="inlineStr">
        <is>
          <t>Hausbett Buche massiv</t>
        </is>
      </c>
      <c r="F299" s="16" t="inlineStr">
        <is>
          <t>Kinderbett in Hausform aus massiver Buche, natur geölt, mit Dachgiebel und umlaufendem Rahmen. Einschließlich Matratze.</t>
        </is>
      </c>
      <c r="G299" s="15" t="inlineStr">
        <is>
          <t>Kita-Ausstattung</t>
        </is>
      </c>
      <c r="H299" s="15" t="inlineStr">
        <is>
          <t>Flur 1</t>
        </is>
      </c>
      <c r="I299" s="15" t="inlineStr">
        <is>
          <t>A</t>
        </is>
      </c>
      <c r="J299" s="17" t="n">
        <v>1</v>
      </c>
      <c r="K299" s="17" t="n"/>
      <c r="L299" s="18">
        <f>J299-IF(K299="",0,K299)</f>
        <v/>
      </c>
      <c r="M299" s="15" t="inlineStr">
        <is>
          <t>Stück</t>
        </is>
      </c>
      <c r="N299" s="15" t="inlineStr">
        <is>
          <t>gut</t>
        </is>
      </c>
      <c r="O299" s="19" t="n"/>
      <c r="P299" s="19" t="inlineStr">
        <is>
          <t>ja</t>
        </is>
      </c>
      <c r="Q299" s="19" t="n"/>
      <c r="R299" s="20" t="n"/>
      <c r="S299" s="20" t="n">
        <v>220</v>
      </c>
      <c r="T299" s="19" t="inlineStr">
        <is>
          <t>VHB</t>
        </is>
      </c>
      <c r="U299" s="21">
        <f>L299*S299</f>
        <v/>
      </c>
      <c r="V299" s="15" t="inlineStr">
        <is>
          <t>nur Abholung</t>
        </is>
      </c>
      <c r="W299" s="15" t="inlineStr">
        <is>
          <t>F-356</t>
        </is>
      </c>
      <c r="X299" s="19" t="inlineStr">
        <is>
          <t>ja</t>
        </is>
      </c>
      <c r="Y299" s="19" t="n"/>
      <c r="Z299" s="19" t="inlineStr">
        <is>
          <t>verfügbar</t>
        </is>
      </c>
      <c r="AA299" s="19" t="n"/>
      <c r="AB299" s="19" t="n"/>
      <c r="AC299" s="19" t="n"/>
      <c r="AD299" s="19" t="n"/>
      <c r="AE299" s="20" t="n"/>
      <c r="AF299" s="21">
        <f>IF(K299="","",K299*AE299)</f>
        <v/>
      </c>
      <c r="AG299" s="19" t="n"/>
      <c r="AH299" s="19" t="n"/>
      <c r="AI299" s="19" t="n"/>
      <c r="AJ299" s="19" t="n"/>
      <c r="AK299" s="19" t="n"/>
      <c r="AL299" s="19" t="n"/>
      <c r="AM299" s="16" t="inlineStr">
        <is>
          <t>1 Bett einschließlich Matratze. Kissen und Bettschlange gehören nicht dazu.</t>
        </is>
      </c>
      <c r="AN299" s="22" t="n"/>
    </row>
    <row r="300" ht="30" customHeight="1">
      <c r="A300" s="15" t="inlineStr">
        <is>
          <t>BU01-02</t>
        </is>
      </c>
      <c r="B300" s="15" t="n"/>
      <c r="C300" s="15" t="n"/>
      <c r="D300" s="15" t="inlineStr">
        <is>
          <t>BU01</t>
        </is>
      </c>
      <c r="E300" s="15" t="inlineStr">
        <is>
          <t>Spielküche klein mit Mikrowelle</t>
        </is>
      </c>
      <c r="F300" s="16" t="inlineStr">
        <is>
          <t>Kleine Spielküche aus Birke-Multiplex mit weißen Fronten: Aufsatz mit Mikrowelle und zwei offenen Fächern, Arbeitsplatte mit Kochfeld, Spülbecken und Wasserhahn, darunter Backofen mit Sichtfenster und ein Schrank.</t>
        </is>
      </c>
      <c r="G300" s="15" t="inlineStr">
        <is>
          <t>Kita-Ausstattung</t>
        </is>
      </c>
      <c r="H300" s="15" t="inlineStr">
        <is>
          <t>Flur 1</t>
        </is>
      </c>
      <c r="I300" s="15" t="inlineStr">
        <is>
          <t>B</t>
        </is>
      </c>
      <c r="J300" s="17" t="n">
        <v>1</v>
      </c>
      <c r="K300" s="17" t="n"/>
      <c r="L300" s="18">
        <f>J300-IF(K300="",0,K300)</f>
        <v/>
      </c>
      <c r="M300" s="15" t="inlineStr">
        <is>
          <t>Stück</t>
        </is>
      </c>
      <c r="N300" s="15" t="inlineStr">
        <is>
          <t>gebraucht</t>
        </is>
      </c>
      <c r="O300" s="19" t="n"/>
      <c r="P300" s="19" t="inlineStr">
        <is>
          <t>ja</t>
        </is>
      </c>
      <c r="Q300" s="19" t="n"/>
      <c r="R300" s="20" t="n"/>
      <c r="S300" s="20" t="n">
        <v>60</v>
      </c>
      <c r="T300" s="19" t="inlineStr">
        <is>
          <t>VHB</t>
        </is>
      </c>
      <c r="U300" s="21">
        <f>L300*S300</f>
        <v/>
      </c>
      <c r="V300" s="15" t="inlineStr">
        <is>
          <t>nur Abholung</t>
        </is>
      </c>
      <c r="W300" s="15" t="inlineStr">
        <is>
          <t>F-355</t>
        </is>
      </c>
      <c r="X300" s="19" t="inlineStr">
        <is>
          <t>ja</t>
        </is>
      </c>
      <c r="Y300" s="19" t="n"/>
      <c r="Z300" s="19" t="inlineStr">
        <is>
          <t>verfügbar</t>
        </is>
      </c>
      <c r="AA300" s="19" t="n"/>
      <c r="AB300" s="19" t="n"/>
      <c r="AC300" s="19" t="n"/>
      <c r="AD300" s="19" t="n"/>
      <c r="AE300" s="20" t="n"/>
      <c r="AF300" s="21">
        <f>IF(K300="","",K300*AE300)</f>
        <v/>
      </c>
      <c r="AG300" s="19" t="n"/>
      <c r="AH300" s="19" t="n"/>
      <c r="AI300" s="19" t="n"/>
      <c r="AJ300" s="19" t="n"/>
      <c r="AK300" s="19" t="n"/>
      <c r="AL300" s="19" t="n"/>
      <c r="AM300" s="16" t="inlineStr">
        <is>
          <t>1 Küche. Spielgeschirr und Zubehör gehören nicht dazu. Weitere Spielküchen stehen unter NU03-03, NU07-03, BA03-02 und BU02-05.</t>
        </is>
      </c>
      <c r="AN300" s="22" t="n"/>
    </row>
    <row r="301" ht="30" customHeight="1">
      <c r="A301" s="15" t="inlineStr">
        <is>
          <t>BU01-04</t>
        </is>
      </c>
      <c r="B301" s="15" t="n"/>
      <c r="C301" s="15" t="n"/>
      <c r="D301" s="15" t="inlineStr">
        <is>
          <t>BU01</t>
        </is>
      </c>
      <c r="E301" s="15" t="inlineStr">
        <is>
          <t>Gestell Kiefer mit sechs Wannen</t>
        </is>
      </c>
      <c r="F301" s="16" t="inlineStr">
        <is>
          <t>Gestell aus Kiefer massiv mit sechs weißen Kunststoffwannen in zwei Reihen, als Spielzeugaufbewahrung genutzt.</t>
        </is>
      </c>
      <c r="G301" s="15" t="inlineStr">
        <is>
          <t>Kita-Ausstattung</t>
        </is>
      </c>
      <c r="H301" s="15" t="inlineStr">
        <is>
          <t>Flur 1</t>
        </is>
      </c>
      <c r="I301" s="15" t="inlineStr">
        <is>
          <t>B</t>
        </is>
      </c>
      <c r="J301" s="17" t="n">
        <v>1</v>
      </c>
      <c r="K301" s="17" t="n"/>
      <c r="L301" s="18">
        <f>J301-IF(K301="",0,K301)</f>
        <v/>
      </c>
      <c r="M301" s="15" t="inlineStr">
        <is>
          <t>Stück</t>
        </is>
      </c>
      <c r="N301" s="15" t="inlineStr">
        <is>
          <t>gebraucht</t>
        </is>
      </c>
      <c r="O301" s="19" t="n"/>
      <c r="P301" s="19" t="inlineStr">
        <is>
          <t>ja</t>
        </is>
      </c>
      <c r="Q301" s="19" t="n"/>
      <c r="R301" s="20" t="n"/>
      <c r="S301" s="20" t="n">
        <v>55</v>
      </c>
      <c r="T301" s="19" t="inlineStr">
        <is>
          <t>VHB</t>
        </is>
      </c>
      <c r="U301" s="21">
        <f>L301*S301</f>
        <v/>
      </c>
      <c r="V301" s="15" t="inlineStr">
        <is>
          <t>nur Abholung</t>
        </is>
      </c>
      <c r="W301" s="15" t="inlineStr">
        <is>
          <t>F-358</t>
        </is>
      </c>
      <c r="X301" s="19" t="inlineStr">
        <is>
          <t>ja</t>
        </is>
      </c>
      <c r="Y301" s="19" t="n"/>
      <c r="Z301" s="19" t="inlineStr">
        <is>
          <t>verfügbar</t>
        </is>
      </c>
      <c r="AA301" s="19" t="n"/>
      <c r="AB301" s="19" t="n"/>
      <c r="AC301" s="19" t="n"/>
      <c r="AD301" s="19" t="n"/>
      <c r="AE301" s="20" t="n"/>
      <c r="AF301" s="21">
        <f>IF(K301="","",K301*AE301)</f>
        <v/>
      </c>
      <c r="AG301" s="19" t="n"/>
      <c r="AH301" s="19" t="n"/>
      <c r="AI301" s="19" t="n"/>
      <c r="AJ301" s="19" t="n"/>
      <c r="AK301" s="19" t="n"/>
      <c r="AL301" s="19" t="n"/>
      <c r="AM301" s="16" t="inlineStr">
        <is>
          <t>1 Gestell einschließlich der Wannen. Der Inhalt gehört nicht dazu.</t>
        </is>
      </c>
      <c r="AN301" s="22" t="n"/>
    </row>
    <row r="302" ht="30" customHeight="1">
      <c r="A302" s="15" t="inlineStr">
        <is>
          <t>BU01-05</t>
        </is>
      </c>
      <c r="B302" s="15" t="n"/>
      <c r="C302" s="15" t="n"/>
      <c r="D302" s="15" t="inlineStr">
        <is>
          <t>BU01</t>
        </is>
      </c>
      <c r="E302" s="15" t="inlineStr">
        <is>
          <t>IKEA Småstad Kindertisch weiß</t>
        </is>
      </c>
      <c r="F302" s="16" t="inlineStr">
        <is>
          <t>Niedriger Kindertisch von IKEA in Weiß mit Seitenwangen, Etikett an der Unterseite: Småstad, 804.335.42. Die Platte ist stark verkratzt und mit einer Schutzfolie belegt.</t>
        </is>
      </c>
      <c r="G302" s="15" t="inlineStr">
        <is>
          <t>Kita-Ausstattung</t>
        </is>
      </c>
      <c r="H302" s="15" t="inlineStr">
        <is>
          <t>Flur 1</t>
        </is>
      </c>
      <c r="I302" s="15" t="inlineStr">
        <is>
          <t>B</t>
        </is>
      </c>
      <c r="J302" s="17" t="n">
        <v>2</v>
      </c>
      <c r="K302" s="17" t="n"/>
      <c r="L302" s="18">
        <f>J302-IF(K302="",0,K302)</f>
        <v/>
      </c>
      <c r="M302" s="15" t="inlineStr">
        <is>
          <t>Stück</t>
        </is>
      </c>
      <c r="N302" s="15" t="inlineStr">
        <is>
          <t>stark gebraucht</t>
        </is>
      </c>
      <c r="O302" s="19" t="n"/>
      <c r="P302" s="19" t="inlineStr">
        <is>
          <t>ja</t>
        </is>
      </c>
      <c r="Q302" s="19" t="n"/>
      <c r="R302" s="20" t="n"/>
      <c r="S302" s="20" t="n">
        <v>35</v>
      </c>
      <c r="T302" s="19" t="inlineStr">
        <is>
          <t>VHB</t>
        </is>
      </c>
      <c r="U302" s="21">
        <f>L302*S302</f>
        <v/>
      </c>
      <c r="V302" s="15" t="inlineStr">
        <is>
          <t>nur Abholung</t>
        </is>
      </c>
      <c r="W302" s="15" t="inlineStr">
        <is>
          <t>F-359</t>
        </is>
      </c>
      <c r="X302" s="19" t="inlineStr">
        <is>
          <t>ja</t>
        </is>
      </c>
      <c r="Y302" s="19" t="n"/>
      <c r="Z302" s="19" t="inlineStr">
        <is>
          <t>verfügbar</t>
        </is>
      </c>
      <c r="AA302" s="19" t="inlineStr">
        <is>
          <t>IKEA</t>
        </is>
      </c>
      <c r="AB302" s="19" t="n"/>
      <c r="AC302" s="19" t="n"/>
      <c r="AD302" s="19" t="n"/>
      <c r="AE302" s="20" t="n"/>
      <c r="AF302" s="21">
        <f>IF(K302="","",K302*AE302)</f>
        <v/>
      </c>
      <c r="AG302" s="19" t="n"/>
      <c r="AH302" s="19" t="n"/>
      <c r="AI302" s="19" t="n"/>
      <c r="AJ302" s="19" t="n"/>
      <c r="AK302" s="19" t="n"/>
      <c r="AL302" s="19" t="n"/>
      <c r="AM302" s="16" t="inlineStr">
        <is>
          <t>2 Tische – abgebildet ist einer davon. Das Etikett ist auf Foto F-360 zu sehen.</t>
        </is>
      </c>
      <c r="AN302" s="22" t="n"/>
    </row>
    <row r="303" ht="30" customHeight="1">
      <c r="A303" s="15" t="inlineStr">
        <is>
          <t>BU01-06</t>
        </is>
      </c>
      <c r="B303" s="15" t="n"/>
      <c r="C303" s="15" t="inlineStr">
        <is>
          <t>BU02-13</t>
        </is>
      </c>
      <c r="D303" s="15" t="inlineStr">
        <is>
          <t>BU01</t>
        </is>
      </c>
      <c r="E303" s="15" t="inlineStr">
        <is>
          <t>Wanddeko Lama, Steckwand</t>
        </is>
      </c>
      <c r="F303" s="16" t="inlineStr">
        <is>
          <t>Wandelement in Lamaform aus weiß lackiertem Holz mit grauen Ohren, Gesicht und Füßen, durchgehend gelocht zum Einstecken von Haken oder Stäben.</t>
        </is>
      </c>
      <c r="G303" s="15" t="inlineStr">
        <is>
          <t>Deko</t>
        </is>
      </c>
      <c r="H303" s="15" t="inlineStr">
        <is>
          <t>Flur 1</t>
        </is>
      </c>
      <c r="I303" s="15" t="inlineStr">
        <is>
          <t>C</t>
        </is>
      </c>
      <c r="J303" s="17" t="n">
        <v>3</v>
      </c>
      <c r="K303" s="17" t="n"/>
      <c r="L303" s="18">
        <f>J303-IF(K303="",0,K303)</f>
        <v/>
      </c>
      <c r="M303" s="15" t="inlineStr">
        <is>
          <t>Stück</t>
        </is>
      </c>
      <c r="N303" s="15" t="inlineStr">
        <is>
          <t>gebraucht</t>
        </is>
      </c>
      <c r="O303" s="19" t="n"/>
      <c r="P303" s="19" t="inlineStr">
        <is>
          <t>ja</t>
        </is>
      </c>
      <c r="Q303" s="19" t="n"/>
      <c r="R303" s="20" t="n"/>
      <c r="S303" s="20" t="n">
        <v>25</v>
      </c>
      <c r="T303" s="19" t="inlineStr">
        <is>
          <t>VHB</t>
        </is>
      </c>
      <c r="U303" s="21">
        <f>L303*S303</f>
        <v/>
      </c>
      <c r="V303" s="15" t="inlineStr">
        <is>
          <t>nur Abholung</t>
        </is>
      </c>
      <c r="W303" s="15" t="inlineStr">
        <is>
          <t>F-361</t>
        </is>
      </c>
      <c r="X303" s="19" t="inlineStr">
        <is>
          <t>ja</t>
        </is>
      </c>
      <c r="Y303" s="19" t="n"/>
      <c r="Z303" s="19" t="inlineStr">
        <is>
          <t>verfügbar</t>
        </is>
      </c>
      <c r="AA303" s="19" t="n"/>
      <c r="AB303" s="19" t="n"/>
      <c r="AC303" s="19" t="n"/>
      <c r="AD303" s="19" t="n"/>
      <c r="AE303" s="20" t="n"/>
      <c r="AF303" s="21">
        <f>IF(K303="","",K303*AE303)</f>
        <v/>
      </c>
      <c r="AG303" s="19" t="n"/>
      <c r="AH303" s="19" t="n"/>
      <c r="AI303" s="19" t="n"/>
      <c r="AJ303" s="19" t="n"/>
      <c r="AK303" s="19" t="n"/>
      <c r="AL303" s="19" t="n"/>
      <c r="AM303" s="16" t="inlineStr">
        <is>
          <t>3 Stück insgesamt: 2 im Flur 1 (BU01-06) und 1 im Flur 2 (BU02-13), beide im Untergeschoss des Bestandsgebäudes. Abgebildet ist eines davon.</t>
        </is>
      </c>
      <c r="AN303" s="22" t="inlineStr">
        <is>
          <t>Zusammengefasste Position über zwei Räume – Post-it-Nummer: BU02-13.</t>
        </is>
      </c>
    </row>
    <row r="304" ht="30" customHeight="1">
      <c r="A304" s="15" t="inlineStr">
        <is>
          <t>BU01-07</t>
        </is>
      </c>
      <c r="B304" s="15" t="n"/>
      <c r="C304" s="15" t="n"/>
      <c r="D304" s="15" t="inlineStr">
        <is>
          <t>BU01</t>
        </is>
      </c>
      <c r="E304" s="15" t="inlineStr">
        <is>
          <t>IKEA Grua Wandspiegel, schwarzer Rahmen</t>
        </is>
      </c>
      <c r="F304" s="16" t="inlineStr">
        <is>
          <t>Wandspiegel mit schmalem schwarzem Rahmen und abgerundeten Ecken. Etikett auf der Rückseite: Grua, IKEA.</t>
        </is>
      </c>
      <c r="G304" s="15" t="inlineStr">
        <is>
          <t>Deko</t>
        </is>
      </c>
      <c r="H304" s="15" t="inlineStr">
        <is>
          <t>Flur 1</t>
        </is>
      </c>
      <c r="I304" s="15" t="inlineStr">
        <is>
          <t>C</t>
        </is>
      </c>
      <c r="J304" s="17" t="n">
        <v>1</v>
      </c>
      <c r="K304" s="17" t="n"/>
      <c r="L304" s="18">
        <f>J304-IF(K304="",0,K304)</f>
        <v/>
      </c>
      <c r="M304" s="15" t="inlineStr">
        <is>
          <t>Stück</t>
        </is>
      </c>
      <c r="N304" s="15" t="inlineStr">
        <is>
          <t>gebraucht</t>
        </is>
      </c>
      <c r="O304" s="19" t="n"/>
      <c r="P304" s="19" t="inlineStr">
        <is>
          <t>ja</t>
        </is>
      </c>
      <c r="Q304" s="19" t="n"/>
      <c r="R304" s="20" t="n"/>
      <c r="S304" s="20" t="n">
        <v>25</v>
      </c>
      <c r="T304" s="19" t="inlineStr">
        <is>
          <t>VHB</t>
        </is>
      </c>
      <c r="U304" s="21">
        <f>L304*S304</f>
        <v/>
      </c>
      <c r="V304" s="15" t="inlineStr">
        <is>
          <t>nur Abholung</t>
        </is>
      </c>
      <c r="W304" s="15" t="inlineStr">
        <is>
          <t>F-362</t>
        </is>
      </c>
      <c r="X304" s="19" t="inlineStr">
        <is>
          <t>ja</t>
        </is>
      </c>
      <c r="Y304" s="19" t="n"/>
      <c r="Z304" s="19" t="inlineStr">
        <is>
          <t>verfügbar</t>
        </is>
      </c>
      <c r="AA304" s="19" t="inlineStr">
        <is>
          <t>IKEA</t>
        </is>
      </c>
      <c r="AB304" s="19" t="n"/>
      <c r="AC304" s="19" t="n"/>
      <c r="AD304" s="19" t="n"/>
      <c r="AE304" s="20" t="n"/>
      <c r="AF304" s="21">
        <f>IF(K304="","",K304*AE304)</f>
        <v/>
      </c>
      <c r="AG304" s="19" t="n"/>
      <c r="AH304" s="19" t="n"/>
      <c r="AI304" s="19" t="n"/>
      <c r="AJ304" s="19" t="n"/>
      <c r="AK304" s="19" t="n"/>
      <c r="AL304" s="19" t="n"/>
      <c r="AM304" s="16" t="inlineStr">
        <is>
          <t>1 Spiegel. Das Etikett ist auf Foto F-363 zu sehen.</t>
        </is>
      </c>
      <c r="AN304" s="22" t="n"/>
    </row>
    <row r="305" ht="30" customHeight="1">
      <c r="A305" s="15" t="inlineStr">
        <is>
          <t>BU02-01</t>
        </is>
      </c>
      <c r="B305" s="15" t="n"/>
      <c r="C305" s="15" t="n"/>
      <c r="D305" s="15" t="inlineStr">
        <is>
          <t>BU02</t>
        </is>
      </c>
      <c r="E305" s="15" t="inlineStr">
        <is>
          <t>Hausbett Holz natur mit Stoffdach</t>
        </is>
      </c>
      <c r="F305" s="16" t="inlineStr">
        <is>
          <t>Bodenbett in Hausform aus hellem Massivholz mit vier Pfosten und aufgelegtem Stoffdach in Creme mit schwarzer Zackenkante und aufgesticktem Wolkenmotiv. Einschließlich Matratze.</t>
        </is>
      </c>
      <c r="G305" s="15" t="inlineStr">
        <is>
          <t>Kita-Ausstattung</t>
        </is>
      </c>
      <c r="H305" s="15" t="inlineStr">
        <is>
          <t>Flur 2</t>
        </is>
      </c>
      <c r="I305" s="15" t="inlineStr">
        <is>
          <t>A</t>
        </is>
      </c>
      <c r="J305" s="17" t="n">
        <v>1</v>
      </c>
      <c r="K305" s="17" t="n"/>
      <c r="L305" s="18">
        <f>J305-IF(K305="",0,K305)</f>
        <v/>
      </c>
      <c r="M305" s="15" t="inlineStr">
        <is>
          <t>Stück</t>
        </is>
      </c>
      <c r="N305" s="15" t="inlineStr">
        <is>
          <t>gut</t>
        </is>
      </c>
      <c r="O305" s="19" t="n"/>
      <c r="P305" s="19" t="inlineStr">
        <is>
          <t>ja</t>
        </is>
      </c>
      <c r="Q305" s="19" t="n"/>
      <c r="R305" s="20" t="n"/>
      <c r="S305" s="20" t="n">
        <v>180</v>
      </c>
      <c r="T305" s="19" t="inlineStr">
        <is>
          <t>VHB</t>
        </is>
      </c>
      <c r="U305" s="21">
        <f>L305*S305</f>
        <v/>
      </c>
      <c r="V305" s="15" t="inlineStr">
        <is>
          <t>nur Abholung</t>
        </is>
      </c>
      <c r="W305" s="15" t="inlineStr">
        <is>
          <t>F-365</t>
        </is>
      </c>
      <c r="X305" s="19" t="inlineStr">
        <is>
          <t>ja</t>
        </is>
      </c>
      <c r="Y305" s="19" t="n"/>
      <c r="Z305" s="19" t="inlineStr">
        <is>
          <t>verfügbar</t>
        </is>
      </c>
      <c r="AA305" s="19" t="n"/>
      <c r="AB305" s="19" t="n"/>
      <c r="AC305" s="19" t="n"/>
      <c r="AD305" s="19" t="n"/>
      <c r="AE305" s="20" t="n"/>
      <c r="AF305" s="21">
        <f>IF(K305="","",K305*AE305)</f>
        <v/>
      </c>
      <c r="AG305" s="19" t="n"/>
      <c r="AH305" s="19" t="n"/>
      <c r="AI305" s="19" t="n"/>
      <c r="AJ305" s="19" t="n"/>
      <c r="AK305" s="19" t="n"/>
      <c r="AL305" s="19" t="n"/>
      <c r="AM305" s="16" t="inlineStr">
        <is>
          <t>1 Bett mit Stoffdach und Matratze. Kissen, Decke und Puppe gehören nicht dazu. Weitere Hausbetten stehen unter BU01-01 und NU07-01.</t>
        </is>
      </c>
      <c r="AN305" s="22" t="n"/>
    </row>
    <row r="306" ht="30" customHeight="1">
      <c r="A306" s="15" t="inlineStr">
        <is>
          <t>BU02-02</t>
        </is>
      </c>
      <c r="B306" s="15" t="n"/>
      <c r="C306" s="15" t="n"/>
      <c r="D306" s="15" t="inlineStr">
        <is>
          <t>BU02</t>
        </is>
      </c>
      <c r="E306" s="15" t="inlineStr">
        <is>
          <t>Nachtlicht Marienkäfer, schwarz</t>
        </is>
      </c>
      <c r="F306" s="16" t="inlineStr">
        <is>
          <t>Steckdosen-Nachtlicht in Marienkäferform aus schwarzem Kunststoff mit geprägten Punkten und Fühlern.</t>
        </is>
      </c>
      <c r="G306" s="15" t="inlineStr">
        <is>
          <t>Leuchten</t>
        </is>
      </c>
      <c r="H306" s="15" t="inlineStr">
        <is>
          <t>Flur 2</t>
        </is>
      </c>
      <c r="I306" s="15" t="inlineStr">
        <is>
          <t>C</t>
        </is>
      </c>
      <c r="J306" s="17" t="n">
        <v>2</v>
      </c>
      <c r="K306" s="17" t="n"/>
      <c r="L306" s="18">
        <f>J306-IF(K306="",0,K306)</f>
        <v/>
      </c>
      <c r="M306" s="15" t="inlineStr">
        <is>
          <t>Stück</t>
        </is>
      </c>
      <c r="N306" s="15" t="inlineStr">
        <is>
          <t>gebraucht</t>
        </is>
      </c>
      <c r="O306" s="19" t="n"/>
      <c r="P306" s="19" t="inlineStr">
        <is>
          <t>ja</t>
        </is>
      </c>
      <c r="Q306" s="19" t="n"/>
      <c r="R306" s="20" t="n"/>
      <c r="S306" s="20" t="n">
        <v>15</v>
      </c>
      <c r="T306" s="19" t="inlineStr">
        <is>
          <t>VHB</t>
        </is>
      </c>
      <c r="U306" s="21">
        <f>L306*S306</f>
        <v/>
      </c>
      <c r="V306" s="15" t="inlineStr">
        <is>
          <t>Versand möglich</t>
        </is>
      </c>
      <c r="W306" s="15" t="inlineStr">
        <is>
          <t>F-366</t>
        </is>
      </c>
      <c r="X306" s="19" t="inlineStr">
        <is>
          <t>ja</t>
        </is>
      </c>
      <c r="Y306" s="19" t="n"/>
      <c r="Z306" s="19" t="inlineStr">
        <is>
          <t>verfügbar</t>
        </is>
      </c>
      <c r="AA306" s="19" t="n"/>
      <c r="AB306" s="19" t="n"/>
      <c r="AC306" s="19" t="n"/>
      <c r="AD306" s="19" t="n"/>
      <c r="AE306" s="20" t="n"/>
      <c r="AF306" s="21">
        <f>IF(K306="","",K306*AE306)</f>
        <v/>
      </c>
      <c r="AG306" s="19" t="n"/>
      <c r="AH306" s="19" t="n"/>
      <c r="AI306" s="19" t="n"/>
      <c r="AJ306" s="19" t="n"/>
      <c r="AK306" s="19" t="n"/>
      <c r="AL306" s="19" t="n"/>
      <c r="AM306" s="16" t="inlineStr">
        <is>
          <t>2 Stück – abgebildet ist eines davon.</t>
        </is>
      </c>
      <c r="AN306" s="22" t="n"/>
    </row>
    <row r="307" ht="30" customHeight="1">
      <c r="A307" s="15" t="inlineStr">
        <is>
          <t>BU02-03</t>
        </is>
      </c>
      <c r="B307" s="15" t="n"/>
      <c r="C307" s="15" t="n"/>
      <c r="D307" s="15" t="inlineStr">
        <is>
          <t>BU02</t>
        </is>
      </c>
      <c r="E307" s="15" t="inlineStr">
        <is>
          <t>Kindertisch weiß, oval, aus vier Segmenten</t>
        </is>
      </c>
      <c r="F307" s="16" t="inlineStr">
        <is>
          <t>Vier Tischsegmente mit weißer Platte und Multiplex-Kante auf verchromten Rundfüßen in Kinderhöhe: zwei halbrunde Endstücke und zwei Mittelstücke. Zusammengestellt ergeben sie einen großen ovalen Gruppentisch, einzeln sind sie frei kombinierbar.</t>
        </is>
      </c>
      <c r="G307" s="15" t="inlineStr">
        <is>
          <t>Möbel</t>
        </is>
      </c>
      <c r="H307" s="15" t="inlineStr">
        <is>
          <t>Flur 2</t>
        </is>
      </c>
      <c r="I307" s="15" t="inlineStr">
        <is>
          <t>A</t>
        </is>
      </c>
      <c r="J307" s="17" t="n">
        <v>1</v>
      </c>
      <c r="K307" s="17" t="n"/>
      <c r="L307" s="18">
        <f>J307-IF(K307="",0,K307)</f>
        <v/>
      </c>
      <c r="M307" s="15" t="inlineStr">
        <is>
          <t>Set</t>
        </is>
      </c>
      <c r="N307" s="15" t="inlineStr">
        <is>
          <t>gebraucht</t>
        </is>
      </c>
      <c r="O307" s="19" t="n"/>
      <c r="P307" s="19" t="inlineStr">
        <is>
          <t>ja</t>
        </is>
      </c>
      <c r="Q307" s="19" t="n"/>
      <c r="R307" s="20" t="n"/>
      <c r="S307" s="20" t="n">
        <v>160</v>
      </c>
      <c r="T307" s="19" t="inlineStr">
        <is>
          <t>VHB</t>
        </is>
      </c>
      <c r="U307" s="21">
        <f>L307*S307</f>
        <v/>
      </c>
      <c r="V307" s="15" t="inlineStr">
        <is>
          <t>nur Abholung</t>
        </is>
      </c>
      <c r="W307" s="15" t="inlineStr">
        <is>
          <t>F-367</t>
        </is>
      </c>
      <c r="X307" s="19" t="inlineStr">
        <is>
          <t>ja</t>
        </is>
      </c>
      <c r="Y307" s="19" t="n"/>
      <c r="Z307" s="19" t="inlineStr">
        <is>
          <t>verfügbar</t>
        </is>
      </c>
      <c r="AA307" s="19" t="n"/>
      <c r="AB307" s="19" t="n"/>
      <c r="AC307" s="19" t="n"/>
      <c r="AD307" s="19" t="n"/>
      <c r="AE307" s="20" t="n"/>
      <c r="AF307" s="21">
        <f>IF(K307="","",K307*AE307)</f>
        <v/>
      </c>
      <c r="AG307" s="19" t="n"/>
      <c r="AH307" s="19" t="n"/>
      <c r="AI307" s="19" t="n"/>
      <c r="AJ307" s="19" t="n"/>
      <c r="AK307" s="19" t="n"/>
      <c r="AL307" s="19" t="n"/>
      <c r="AM307" s="16" t="inlineStr">
        <is>
          <t>1 Tischgruppe aus vier Segmenten. Eine zweite Tischgruppe in Sechseckform steht unter NU02-23.</t>
        </is>
      </c>
      <c r="AN307" s="22" t="n"/>
    </row>
    <row r="308" ht="30" customHeight="1">
      <c r="A308" s="15" t="inlineStr">
        <is>
          <t>BU02-05</t>
        </is>
      </c>
      <c r="B308" s="15" t="n"/>
      <c r="C308" s="15" t="n"/>
      <c r="D308" s="15" t="inlineStr">
        <is>
          <t>BU02</t>
        </is>
      </c>
      <c r="E308" s="15" t="inlineStr">
        <is>
          <t>IKEA Duktig Spielküche mit Mikrowelle</t>
        </is>
      </c>
      <c r="F308" s="16" t="inlineStr">
        <is>
          <t>Spielküche von IKEA aus Birkenholz mit weißen Fronten: Aufsatz mit Mikrowelle und offenen Fächern, Arbeitsplatte mit Kochfeld, Spülbecken und Wasserhahn, darunter Backofen mit Sichtfenster und ein Schrank.</t>
        </is>
      </c>
      <c r="G308" s="15" t="inlineStr">
        <is>
          <t>Kita-Ausstattung</t>
        </is>
      </c>
      <c r="H308" s="15" t="inlineStr">
        <is>
          <t>Flur 2</t>
        </is>
      </c>
      <c r="I308" s="15" t="inlineStr">
        <is>
          <t>B</t>
        </is>
      </c>
      <c r="J308" s="17" t="n">
        <v>1</v>
      </c>
      <c r="K308" s="17" t="n"/>
      <c r="L308" s="18">
        <f>J308-IF(K308="",0,K308)</f>
        <v/>
      </c>
      <c r="M308" s="15" t="inlineStr">
        <is>
          <t>Stück</t>
        </is>
      </c>
      <c r="N308" s="15" t="inlineStr">
        <is>
          <t>gebraucht</t>
        </is>
      </c>
      <c r="O308" s="19" t="n"/>
      <c r="P308" s="19" t="inlineStr">
        <is>
          <t>ja</t>
        </is>
      </c>
      <c r="Q308" s="19" t="n"/>
      <c r="R308" s="20" t="n"/>
      <c r="S308" s="20" t="n">
        <v>60</v>
      </c>
      <c r="T308" s="19" t="inlineStr">
        <is>
          <t>VHB</t>
        </is>
      </c>
      <c r="U308" s="21">
        <f>L308*S308</f>
        <v/>
      </c>
      <c r="V308" s="15" t="inlineStr">
        <is>
          <t>nur Abholung</t>
        </is>
      </c>
      <c r="W308" s="15" t="inlineStr">
        <is>
          <t>F-369</t>
        </is>
      </c>
      <c r="X308" s="19" t="inlineStr">
        <is>
          <t>ja</t>
        </is>
      </c>
      <c r="Y308" s="19" t="n"/>
      <c r="Z308" s="19" t="inlineStr">
        <is>
          <t>verfügbar</t>
        </is>
      </c>
      <c r="AA308" s="19" t="inlineStr">
        <is>
          <t>IKEA</t>
        </is>
      </c>
      <c r="AB308" s="19" t="n"/>
      <c r="AC308" s="19" t="n"/>
      <c r="AD308" s="19" t="n"/>
      <c r="AE308" s="20" t="n"/>
      <c r="AF308" s="21">
        <f>IF(K308="","",K308*AE308)</f>
        <v/>
      </c>
      <c r="AG308" s="19" t="n"/>
      <c r="AH308" s="19" t="n"/>
      <c r="AI308" s="19" t="n"/>
      <c r="AJ308" s="19" t="n"/>
      <c r="AK308" s="19" t="n"/>
      <c r="AL308" s="19" t="n"/>
      <c r="AM308" s="16" t="inlineStr">
        <is>
          <t>1 Küche. Spielgeschirr, Vorratsgläser und Zubehör gehören nicht dazu. Weitere Spielküchen stehen unter NU03-03, NU07-03, BA03-02 und BU01-02.</t>
        </is>
      </c>
      <c r="AN308" s="22" t="n"/>
    </row>
    <row r="309" ht="30" customHeight="1">
      <c r="A309" s="15" t="inlineStr">
        <is>
          <t>BU02-06</t>
        </is>
      </c>
      <c r="B309" s="15" t="n"/>
      <c r="C309" s="15" t="n"/>
      <c r="D309" s="15" t="inlineStr">
        <is>
          <t>BU02</t>
        </is>
      </c>
      <c r="E309" s="15" t="inlineStr">
        <is>
          <t>Kinder-Putzständer, fünfteilig</t>
        </is>
      </c>
      <c r="F309" s="16" t="inlineStr">
        <is>
          <t>Ständer aus Holz und Metall in Weiß mit Ablagekasten und aufgehängtem Kinder-Reinigungsgerät: Besen, Schrubber, Kehrblech und Staubwedel.</t>
        </is>
      </c>
      <c r="G309" s="15" t="inlineStr">
        <is>
          <t>Kita-Ausstattung</t>
        </is>
      </c>
      <c r="H309" s="15" t="inlineStr">
        <is>
          <t>Flur 2</t>
        </is>
      </c>
      <c r="I309" s="15" t="inlineStr">
        <is>
          <t>C</t>
        </is>
      </c>
      <c r="J309" s="17" t="n">
        <v>1</v>
      </c>
      <c r="K309" s="17" t="n"/>
      <c r="L309" s="18">
        <f>J309-IF(K309="",0,K309)</f>
        <v/>
      </c>
      <c r="M309" s="15" t="inlineStr">
        <is>
          <t>Stück</t>
        </is>
      </c>
      <c r="N309" s="15" t="inlineStr">
        <is>
          <t>gebraucht</t>
        </is>
      </c>
      <c r="O309" s="19" t="n"/>
      <c r="P309" s="19" t="inlineStr">
        <is>
          <t>ja</t>
        </is>
      </c>
      <c r="Q309" s="19" t="n"/>
      <c r="R309" s="20" t="n"/>
      <c r="S309" s="20" t="n">
        <v>25</v>
      </c>
      <c r="T309" s="19" t="inlineStr">
        <is>
          <t>VHB</t>
        </is>
      </c>
      <c r="U309" s="21">
        <f>L309*S309</f>
        <v/>
      </c>
      <c r="V309" s="15" t="inlineStr">
        <is>
          <t>nur Abholung</t>
        </is>
      </c>
      <c r="W309" s="15" t="inlineStr">
        <is>
          <t>F-370</t>
        </is>
      </c>
      <c r="X309" s="19" t="inlineStr">
        <is>
          <t>ja</t>
        </is>
      </c>
      <c r="Y309" s="19" t="n"/>
      <c r="Z309" s="19" t="inlineStr">
        <is>
          <t>verfügbar</t>
        </is>
      </c>
      <c r="AA309" s="19" t="n"/>
      <c r="AB309" s="19" t="n"/>
      <c r="AC309" s="19" t="n"/>
      <c r="AD309" s="19" t="n"/>
      <c r="AE309" s="20" t="n"/>
      <c r="AF309" s="21">
        <f>IF(K309="","",K309*AE309)</f>
        <v/>
      </c>
      <c r="AG309" s="19" t="n"/>
      <c r="AH309" s="19" t="n"/>
      <c r="AI309" s="19" t="n"/>
      <c r="AJ309" s="19" t="n"/>
      <c r="AK309" s="19" t="n"/>
      <c r="AL309" s="19" t="n"/>
      <c r="AM309" s="16" t="inlineStr">
        <is>
          <t>1 Ständer mit fünf Teilen.</t>
        </is>
      </c>
      <c r="AN309" s="22" t="n"/>
    </row>
    <row r="310" ht="30" customHeight="1">
      <c r="A310" s="15" t="inlineStr">
        <is>
          <t>BU02-09</t>
        </is>
      </c>
      <c r="B310" s="15" t="n"/>
      <c r="C310" s="15" t="n"/>
      <c r="D310" s="15" t="inlineStr">
        <is>
          <t>BU02</t>
        </is>
      </c>
      <c r="E310" s="15" t="inlineStr">
        <is>
          <t>Acrylbild Herz auf Strahlenkranz</t>
        </is>
      </c>
      <c r="F310" s="16" t="inlineStr">
        <is>
          <t>Acryl auf Leinwand im Hochformat: breite Pinselstriche in Pink, Magenta und Grau strahlenförmig um ein ausgespartes weißes Herz. Eigenarbeit einer Privatperson, nicht signiert.</t>
        </is>
      </c>
      <c r="G310" s="15" t="inlineStr">
        <is>
          <t>Kunst</t>
        </is>
      </c>
      <c r="H310" s="15" t="inlineStr">
        <is>
          <t>Flur 2</t>
        </is>
      </c>
      <c r="I310" s="15" t="inlineStr">
        <is>
          <t>B</t>
        </is>
      </c>
      <c r="J310" s="17" t="n">
        <v>1</v>
      </c>
      <c r="K310" s="17" t="n"/>
      <c r="L310" s="18">
        <f>J310-IF(K310="",0,K310)</f>
        <v/>
      </c>
      <c r="M310" s="15" t="inlineStr">
        <is>
          <t>Stück</t>
        </is>
      </c>
      <c r="N310" s="15" t="inlineStr">
        <is>
          <t>gut</t>
        </is>
      </c>
      <c r="O310" s="19" t="n"/>
      <c r="P310" s="19" t="inlineStr">
        <is>
          <t>ja</t>
        </is>
      </c>
      <c r="Q310" s="19" t="n"/>
      <c r="R310" s="20" t="n"/>
      <c r="S310" s="20" t="n">
        <v>80</v>
      </c>
      <c r="T310" s="19" t="inlineStr">
        <is>
          <t>VHB</t>
        </is>
      </c>
      <c r="U310" s="21">
        <f>L310*S310</f>
        <v/>
      </c>
      <c r="V310" s="15" t="inlineStr">
        <is>
          <t>Versand möglich</t>
        </is>
      </c>
      <c r="W310" s="15" t="inlineStr">
        <is>
          <t>F-373</t>
        </is>
      </c>
      <c r="X310" s="19" t="inlineStr">
        <is>
          <t>ja</t>
        </is>
      </c>
      <c r="Y310" s="19" t="n"/>
      <c r="Z310" s="19" t="inlineStr">
        <is>
          <t>verfügbar</t>
        </is>
      </c>
      <c r="AA310" s="19" t="n"/>
      <c r="AB310" s="19" t="n"/>
      <c r="AC310" s="19" t="n"/>
      <c r="AD310" s="19" t="n"/>
      <c r="AE310" s="20" t="n"/>
      <c r="AF310" s="21">
        <f>IF(K310="","",K310*AE310)</f>
        <v/>
      </c>
      <c r="AG310" s="19" t="n"/>
      <c r="AH310" s="19" t="n"/>
      <c r="AI310" s="19" t="n"/>
      <c r="AJ310" s="19" t="n"/>
      <c r="AK310" s="19" t="n"/>
      <c r="AL310" s="19" t="n"/>
      <c r="AM310" s="16" t="inlineStr">
        <is>
          <t>1 Bild auf Keilrahmen, ungerahmt.</t>
        </is>
      </c>
      <c r="AN310" s="22" t="n"/>
    </row>
    <row r="311" ht="30" customHeight="1">
      <c r="A311" s="15" t="inlineStr">
        <is>
          <t>BU02-10</t>
        </is>
      </c>
      <c r="B311" s="15" t="n"/>
      <c r="C311" s="15" t="n"/>
      <c r="D311" s="15" t="inlineStr">
        <is>
          <t>BU02</t>
        </is>
      </c>
      <c r="E311" s="15" t="inlineStr">
        <is>
          <t>Spieltisch Kiefer mit herausnehmbaren Platten</t>
        </is>
      </c>
      <c r="F311" s="16" t="inlineStr">
        <is>
          <t>Kindertisch aus Kiefer massiv mit zwei herausnehmbaren weißen Platten. Darunter liegen Wannen, sodass der Tisch als Spiel- und Materialtisch genutzt werden kann. Die Platten sind an den Kanten großflächig abgeplatzt.</t>
        </is>
      </c>
      <c r="G311" s="15" t="inlineStr">
        <is>
          <t>Kita-Ausstattung</t>
        </is>
      </c>
      <c r="H311" s="15" t="inlineStr">
        <is>
          <t>Flur 2</t>
        </is>
      </c>
      <c r="I311" s="15" t="inlineStr">
        <is>
          <t>B</t>
        </is>
      </c>
      <c r="J311" s="17" t="n">
        <v>2</v>
      </c>
      <c r="K311" s="17" t="n"/>
      <c r="L311" s="18">
        <f>J311-IF(K311="",0,K311)</f>
        <v/>
      </c>
      <c r="M311" s="15" t="inlineStr">
        <is>
          <t>Stück</t>
        </is>
      </c>
      <c r="N311" s="15" t="inlineStr">
        <is>
          <t>stark gebraucht</t>
        </is>
      </c>
      <c r="O311" s="19" t="n"/>
      <c r="P311" s="19" t="inlineStr">
        <is>
          <t>ja</t>
        </is>
      </c>
      <c r="Q311" s="19" t="n"/>
      <c r="R311" s="20" t="n"/>
      <c r="S311" s="20" t="n">
        <v>40</v>
      </c>
      <c r="T311" s="19" t="inlineStr">
        <is>
          <t>VHB</t>
        </is>
      </c>
      <c r="U311" s="21">
        <f>L311*S311</f>
        <v/>
      </c>
      <c r="V311" s="15" t="inlineStr">
        <is>
          <t>nur Abholung</t>
        </is>
      </c>
      <c r="W311" s="15" t="inlineStr">
        <is>
          <t>F-374</t>
        </is>
      </c>
      <c r="X311" s="19" t="inlineStr">
        <is>
          <t>ja</t>
        </is>
      </c>
      <c r="Y311" s="19" t="n"/>
      <c r="Z311" s="19" t="inlineStr">
        <is>
          <t>verfügbar</t>
        </is>
      </c>
      <c r="AA311" s="19" t="n"/>
      <c r="AB311" s="19" t="n"/>
      <c r="AC311" s="19" t="n"/>
      <c r="AD311" s="19" t="n"/>
      <c r="AE311" s="20" t="n"/>
      <c r="AF311" s="21">
        <f>IF(K311="","",K311*AE311)</f>
        <v/>
      </c>
      <c r="AG311" s="19" t="n"/>
      <c r="AH311" s="19" t="n"/>
      <c r="AI311" s="19" t="n"/>
      <c r="AJ311" s="19" t="n"/>
      <c r="AK311" s="19" t="n"/>
      <c r="AL311" s="19" t="n"/>
      <c r="AM311" s="16" t="inlineStr">
        <is>
          <t>2 Tische einschließlich der Platten und Wannen – abgebildet ist einer davon. Der Inhalt gehört nicht dazu.</t>
        </is>
      </c>
      <c r="AN311" s="22" t="n"/>
    </row>
    <row r="312" ht="30" customHeight="1">
      <c r="A312" s="15" t="inlineStr">
        <is>
          <t>BU02-12</t>
        </is>
      </c>
      <c r="B312" s="15" t="n"/>
      <c r="C312" s="15" t="n"/>
      <c r="D312" s="15" t="inlineStr">
        <is>
          <t>BU02</t>
        </is>
      </c>
      <c r="E312" s="15" t="inlineStr">
        <is>
          <t>Wandregal weiß mit drei Wannen, geschwungen</t>
        </is>
      </c>
      <c r="F312" s="16" t="inlineStr">
        <is>
          <t>Weißes Wandelement mit geschwungener Front, drei Fächern und drei eingeschobenen Kunststoffwannen.</t>
        </is>
      </c>
      <c r="G312" s="15" t="inlineStr">
        <is>
          <t>Kita-Ausstattung</t>
        </is>
      </c>
      <c r="H312" s="15" t="inlineStr">
        <is>
          <t>Flur 2</t>
        </is>
      </c>
      <c r="I312" s="15" t="inlineStr">
        <is>
          <t>B</t>
        </is>
      </c>
      <c r="J312" s="17" t="n">
        <v>1</v>
      </c>
      <c r="K312" s="17" t="n"/>
      <c r="L312" s="18">
        <f>J312-IF(K312="",0,K312)</f>
        <v/>
      </c>
      <c r="M312" s="15" t="inlineStr">
        <is>
          <t>Stück</t>
        </is>
      </c>
      <c r="N312" s="15" t="inlineStr">
        <is>
          <t>gebraucht</t>
        </is>
      </c>
      <c r="O312" s="19" t="n"/>
      <c r="P312" s="19" t="inlineStr">
        <is>
          <t>ja</t>
        </is>
      </c>
      <c r="Q312" s="19" t="n"/>
      <c r="R312" s="20" t="n"/>
      <c r="S312" s="20" t="n">
        <v>35</v>
      </c>
      <c r="T312" s="19" t="inlineStr">
        <is>
          <t>VHB</t>
        </is>
      </c>
      <c r="U312" s="21">
        <f>L312*S312</f>
        <v/>
      </c>
      <c r="V312" s="15" t="inlineStr">
        <is>
          <t>nur Abholung</t>
        </is>
      </c>
      <c r="W312" s="15" t="inlineStr">
        <is>
          <t>F-376</t>
        </is>
      </c>
      <c r="X312" s="19" t="inlineStr">
        <is>
          <t>ja</t>
        </is>
      </c>
      <c r="Y312" s="19" t="n"/>
      <c r="Z312" s="19" t="inlineStr">
        <is>
          <t>verfügbar</t>
        </is>
      </c>
      <c r="AA312" s="19" t="n"/>
      <c r="AB312" s="19" t="n"/>
      <c r="AC312" s="19" t="n"/>
      <c r="AD312" s="19" t="n"/>
      <c r="AE312" s="20" t="n"/>
      <c r="AF312" s="21">
        <f>IF(K312="","",K312*AE312)</f>
        <v/>
      </c>
      <c r="AG312" s="19" t="n"/>
      <c r="AH312" s="19" t="n"/>
      <c r="AI312" s="19" t="n"/>
      <c r="AJ312" s="19" t="n"/>
      <c r="AK312" s="19" t="n"/>
      <c r="AL312" s="19" t="n"/>
      <c r="AM312" s="16" t="inlineStr">
        <is>
          <t>1 Regal einschließlich der Wannen. Gerade Wandregale gleicher Bauart stehen unter NE01-21.</t>
        </is>
      </c>
      <c r="AN312" s="22" t="n"/>
    </row>
    <row r="313" ht="30" customHeight="1">
      <c r="A313" s="15" t="inlineStr">
        <is>
          <t>BU02-15</t>
        </is>
      </c>
      <c r="B313" s="15" t="n"/>
      <c r="C313" s="15" t="n"/>
      <c r="D313" s="15" t="inlineStr">
        <is>
          <t>BU02</t>
        </is>
      </c>
      <c r="E313" s="15" t="inlineStr">
        <is>
          <t>Bodensitzkissen beige, selbststehend</t>
        </is>
      </c>
      <c r="F313" s="16" t="inlineStr">
        <is>
          <t>Selbststehendes Bodensitzkissen aus beigem Leinenstoff mit gesteppten Feldern, Rückenlehne und langer Sitzfläche. Die Lehne lässt sich flach ausklappen.</t>
        </is>
      </c>
      <c r="G313" s="15" t="inlineStr">
        <is>
          <t>Textilien</t>
        </is>
      </c>
      <c r="H313" s="15" t="inlineStr">
        <is>
          <t>Flur 2</t>
        </is>
      </c>
      <c r="I313" s="15" t="inlineStr">
        <is>
          <t>C</t>
        </is>
      </c>
      <c r="J313" s="17" t="n">
        <v>2</v>
      </c>
      <c r="K313" s="17" t="n"/>
      <c r="L313" s="18">
        <f>J313-IF(K313="",0,K313)</f>
        <v/>
      </c>
      <c r="M313" s="15" t="inlineStr">
        <is>
          <t>Stück</t>
        </is>
      </c>
      <c r="N313" s="15" t="inlineStr">
        <is>
          <t>gebraucht</t>
        </is>
      </c>
      <c r="O313" s="19" t="n"/>
      <c r="P313" s="19" t="inlineStr">
        <is>
          <t>ja</t>
        </is>
      </c>
      <c r="Q313" s="19" t="n"/>
      <c r="R313" s="20" t="n"/>
      <c r="S313" s="20" t="n">
        <v>25</v>
      </c>
      <c r="T313" s="19" t="inlineStr">
        <is>
          <t>VHB</t>
        </is>
      </c>
      <c r="U313" s="21">
        <f>L313*S313</f>
        <v/>
      </c>
      <c r="V313" s="15" t="inlineStr">
        <is>
          <t>nur Abholung</t>
        </is>
      </c>
      <c r="W313" s="15" t="inlineStr">
        <is>
          <t>F-379</t>
        </is>
      </c>
      <c r="X313" s="19" t="inlineStr">
        <is>
          <t>ja</t>
        </is>
      </c>
      <c r="Y313" s="19" t="n"/>
      <c r="Z313" s="19" t="inlineStr">
        <is>
          <t>verfügbar</t>
        </is>
      </c>
      <c r="AA313" s="19" t="n"/>
      <c r="AB313" s="19" t="n"/>
      <c r="AC313" s="19" t="n"/>
      <c r="AD313" s="19" t="n"/>
      <c r="AE313" s="20" t="n"/>
      <c r="AF313" s="21">
        <f>IF(K313="","",K313*AE313)</f>
        <v/>
      </c>
      <c r="AG313" s="19" t="n"/>
      <c r="AH313" s="19" t="n"/>
      <c r="AI313" s="19" t="n"/>
      <c r="AJ313" s="19" t="n"/>
      <c r="AK313" s="19" t="n"/>
      <c r="AL313" s="19" t="n"/>
      <c r="AM313" s="16" t="inlineStr">
        <is>
          <t>2 Stück – abgebildet ist eines davon.</t>
        </is>
      </c>
      <c r="AN313" s="22" t="n"/>
    </row>
    <row r="314" ht="30" customHeight="1">
      <c r="A314" s="15" t="inlineStr">
        <is>
          <t>BU02-16</t>
        </is>
      </c>
      <c r="B314" s="15" t="n"/>
      <c r="C314" s="15" t="n"/>
      <c r="D314" s="15" t="inlineStr">
        <is>
          <t>BU02</t>
        </is>
      </c>
      <c r="E314" s="15" t="inlineStr">
        <is>
          <t>Servierwagen Metall schwarz, drei Ebenen</t>
        </is>
      </c>
      <c r="F314" s="16" t="inlineStr">
        <is>
          <t>Rollwagen aus schwarz lackiertem Metall mit drei Ablageebenen und Lochblechböden, auf vier Rollen.</t>
        </is>
      </c>
      <c r="G314" s="15" t="inlineStr">
        <is>
          <t>Möbel</t>
        </is>
      </c>
      <c r="H314" s="15" t="inlineStr">
        <is>
          <t>Flur 2</t>
        </is>
      </c>
      <c r="I314" s="15" t="inlineStr">
        <is>
          <t>B</t>
        </is>
      </c>
      <c r="J314" s="17" t="n">
        <v>1</v>
      </c>
      <c r="K314" s="17" t="n"/>
      <c r="L314" s="18">
        <f>J314-IF(K314="",0,K314)</f>
        <v/>
      </c>
      <c r="M314" s="15" t="inlineStr">
        <is>
          <t>Stück</t>
        </is>
      </c>
      <c r="N314" s="15" t="inlineStr">
        <is>
          <t>gebraucht</t>
        </is>
      </c>
      <c r="O314" s="19" t="n"/>
      <c r="P314" s="19" t="inlineStr">
        <is>
          <t>ja</t>
        </is>
      </c>
      <c r="Q314" s="19" t="n"/>
      <c r="R314" s="20" t="n"/>
      <c r="S314" s="20" t="n">
        <v>30</v>
      </c>
      <c r="T314" s="19" t="inlineStr">
        <is>
          <t>VHB</t>
        </is>
      </c>
      <c r="U314" s="21">
        <f>L314*S314</f>
        <v/>
      </c>
      <c r="V314" s="15" t="inlineStr">
        <is>
          <t>nur Abholung</t>
        </is>
      </c>
      <c r="W314" s="15" t="inlineStr">
        <is>
          <t>F-380</t>
        </is>
      </c>
      <c r="X314" s="19" t="inlineStr">
        <is>
          <t>ja</t>
        </is>
      </c>
      <c r="Y314" s="19" t="n"/>
      <c r="Z314" s="19" t="inlineStr">
        <is>
          <t>verfügbar</t>
        </is>
      </c>
      <c r="AA314" s="19" t="n"/>
      <c r="AB314" s="19" t="n"/>
      <c r="AC314" s="19" t="n"/>
      <c r="AD314" s="19" t="n"/>
      <c r="AE314" s="20" t="n"/>
      <c r="AF314" s="21">
        <f>IF(K314="","",K314*AE314)</f>
        <v/>
      </c>
      <c r="AG314" s="19" t="n"/>
      <c r="AH314" s="19" t="n"/>
      <c r="AI314" s="19" t="n"/>
      <c r="AJ314" s="19" t="n"/>
      <c r="AK314" s="19" t="n"/>
      <c r="AL314" s="19" t="n"/>
      <c r="AM314" s="16" t="inlineStr">
        <is>
          <t>1 Wagen. Der Inhalt gehört nicht dazu.</t>
        </is>
      </c>
      <c r="AN314" s="22" t="n"/>
    </row>
    <row r="315" ht="30" customHeight="1">
      <c r="A315" s="15" t="inlineStr">
        <is>
          <t>BU02-17</t>
        </is>
      </c>
      <c r="B315" s="15" t="n"/>
      <c r="C315" s="15" t="n"/>
      <c r="D315" s="15" t="inlineStr">
        <is>
          <t>BU02</t>
        </is>
      </c>
      <c r="E315" s="15" t="inlineStr">
        <is>
          <t>Kommode weiß, drei Schubladen</t>
        </is>
      </c>
      <c r="F315" s="16" t="inlineStr">
        <is>
          <t>Kommode in Weiß mit drei breiten Schubladen und mittig ausgeschnittenen Griffmulden, auf umlaufendem Sockel.</t>
        </is>
      </c>
      <c r="G315" s="15" t="inlineStr">
        <is>
          <t>Möbel</t>
        </is>
      </c>
      <c r="H315" s="15" t="inlineStr">
        <is>
          <t>Flur 2</t>
        </is>
      </c>
      <c r="I315" s="15" t="inlineStr">
        <is>
          <t>B</t>
        </is>
      </c>
      <c r="J315" s="17" t="n">
        <v>1</v>
      </c>
      <c r="K315" s="17" t="n"/>
      <c r="L315" s="18">
        <f>J315-IF(K315="",0,K315)</f>
        <v/>
      </c>
      <c r="M315" s="15" t="inlineStr">
        <is>
          <t>Stück</t>
        </is>
      </c>
      <c r="N315" s="15" t="inlineStr">
        <is>
          <t>gebraucht</t>
        </is>
      </c>
      <c r="O315" s="19" t="n"/>
      <c r="P315" s="19" t="inlineStr">
        <is>
          <t>ja</t>
        </is>
      </c>
      <c r="Q315" s="19" t="n"/>
      <c r="R315" s="20" t="n"/>
      <c r="S315" s="20" t="n">
        <v>60</v>
      </c>
      <c r="T315" s="19" t="inlineStr">
        <is>
          <t>VHB</t>
        </is>
      </c>
      <c r="U315" s="21">
        <f>L315*S315</f>
        <v/>
      </c>
      <c r="V315" s="15" t="inlineStr">
        <is>
          <t>nur Abholung</t>
        </is>
      </c>
      <c r="W315" s="15" t="inlineStr">
        <is>
          <t>F-381</t>
        </is>
      </c>
      <c r="X315" s="19" t="inlineStr">
        <is>
          <t>ja</t>
        </is>
      </c>
      <c r="Y315" s="19" t="n"/>
      <c r="Z315" s="19" t="inlineStr">
        <is>
          <t>verfügbar</t>
        </is>
      </c>
      <c r="AA315" s="19" t="n"/>
      <c r="AB315" s="19" t="n"/>
      <c r="AC315" s="19" t="n"/>
      <c r="AD315" s="19" t="n"/>
      <c r="AE315" s="20" t="n"/>
      <c r="AF315" s="21">
        <f>IF(K315="","",K315*AE315)</f>
        <v/>
      </c>
      <c r="AG315" s="19" t="n"/>
      <c r="AH315" s="19" t="n"/>
      <c r="AI315" s="19" t="n"/>
      <c r="AJ315" s="19" t="n"/>
      <c r="AK315" s="19" t="n"/>
      <c r="AL315" s="19" t="n"/>
      <c r="AM315" s="16" t="inlineStr">
        <is>
          <t>1 Kommode.</t>
        </is>
      </c>
      <c r="AN315" s="22" t="n"/>
    </row>
    <row r="316" ht="30" customHeight="1">
      <c r="A316" s="15" t="inlineStr">
        <is>
          <t>BU02-18</t>
        </is>
      </c>
      <c r="B316" s="15" t="n"/>
      <c r="C316" s="15" t="n"/>
      <c r="D316" s="15" t="inlineStr">
        <is>
          <t>BU02</t>
        </is>
      </c>
      <c r="E316" s="15" t="inlineStr">
        <is>
          <t>Hochflorteppich grau</t>
        </is>
      </c>
      <c r="F316" s="16" t="inlineStr">
        <is>
          <t>Hochflorteppich in Grau, rechteckig. Maße laut Etikett auf der Rückseite: 160 × 230 cm.</t>
        </is>
      </c>
      <c r="G316" s="15" t="inlineStr">
        <is>
          <t>Textilien</t>
        </is>
      </c>
      <c r="H316" s="15" t="inlineStr">
        <is>
          <t>Flur 2</t>
        </is>
      </c>
      <c r="I316" s="15" t="inlineStr">
        <is>
          <t>C</t>
        </is>
      </c>
      <c r="J316" s="17" t="n">
        <v>1</v>
      </c>
      <c r="K316" s="17" t="n"/>
      <c r="L316" s="18">
        <f>J316-IF(K316="",0,K316)</f>
        <v/>
      </c>
      <c r="M316" s="15" t="inlineStr">
        <is>
          <t>Stück</t>
        </is>
      </c>
      <c r="N316" s="15" t="inlineStr">
        <is>
          <t>gebraucht</t>
        </is>
      </c>
      <c r="O316" s="19" t="inlineStr">
        <is>
          <t>160 × 230 cm</t>
        </is>
      </c>
      <c r="P316" s="19" t="inlineStr">
        <is>
          <t>ja</t>
        </is>
      </c>
      <c r="Q316" s="19" t="n"/>
      <c r="R316" s="20" t="n"/>
      <c r="S316" s="20" t="n">
        <v>40</v>
      </c>
      <c r="T316" s="19" t="inlineStr">
        <is>
          <t>VHB</t>
        </is>
      </c>
      <c r="U316" s="21">
        <f>L316*S316</f>
        <v/>
      </c>
      <c r="V316" s="15" t="inlineStr">
        <is>
          <t>Versand möglich</t>
        </is>
      </c>
      <c r="W316" s="15" t="inlineStr">
        <is>
          <t>F-382</t>
        </is>
      </c>
      <c r="X316" s="19" t="inlineStr">
        <is>
          <t>ja</t>
        </is>
      </c>
      <c r="Y316" s="19" t="n"/>
      <c r="Z316" s="19" t="inlineStr">
        <is>
          <t>verfügbar</t>
        </is>
      </c>
      <c r="AA316" s="19" t="n"/>
      <c r="AB316" s="19" t="n"/>
      <c r="AC316" s="19" t="n"/>
      <c r="AD316" s="19" t="n"/>
      <c r="AE316" s="20" t="n"/>
      <c r="AF316" s="21">
        <f>IF(K316="","",K316*AE316)</f>
        <v/>
      </c>
      <c r="AG316" s="19" t="n"/>
      <c r="AH316" s="19" t="n"/>
      <c r="AI316" s="19" t="n"/>
      <c r="AJ316" s="19" t="n"/>
      <c r="AK316" s="19" t="n"/>
      <c r="AL316" s="19" t="n"/>
      <c r="AM316" s="16" t="inlineStr">
        <is>
          <t>1 Teppich. Das Etikett ist auf Foto F-384 zu sehen.</t>
        </is>
      </c>
      <c r="AN316" s="22" t="n"/>
    </row>
    <row r="317" ht="30" customHeight="1">
      <c r="A317" s="15" t="inlineStr">
        <is>
          <t>BU02-19</t>
        </is>
      </c>
      <c r="B317" s="15" t="n"/>
      <c r="C317" s="15" t="inlineStr">
        <is>
          <t>BU04-09</t>
        </is>
      </c>
      <c r="D317" s="15" t="inlineStr">
        <is>
          <t>BU02</t>
        </is>
      </c>
      <c r="E317" s="15" t="inlineStr">
        <is>
          <t>Spielmöbel Kiefer, dreiteilig</t>
        </is>
      </c>
      <c r="F317" s="16" t="inlineStr">
        <is>
          <t>Dreiteilige Kombination aus Kiefer massiv: Wandregal mit zwei Kunststoffwannen, niedrige Werkbank mit offenem Unterbau und zwei Wannen sowie ein hohes Seitenteil mit Wanne.</t>
        </is>
      </c>
      <c r="G317" s="15" t="inlineStr">
        <is>
          <t>Kita-Ausstattung</t>
        </is>
      </c>
      <c r="H317" s="15" t="inlineStr">
        <is>
          <t>Flur 2</t>
        </is>
      </c>
      <c r="I317" s="15" t="inlineStr">
        <is>
          <t>B</t>
        </is>
      </c>
      <c r="J317" s="17" t="n">
        <v>2</v>
      </c>
      <c r="K317" s="17" t="n"/>
      <c r="L317" s="18">
        <f>J317-IF(K317="",0,K317)</f>
        <v/>
      </c>
      <c r="M317" s="15" t="inlineStr">
        <is>
          <t>Set</t>
        </is>
      </c>
      <c r="N317" s="15" t="inlineStr">
        <is>
          <t>gebraucht</t>
        </is>
      </c>
      <c r="O317" s="19" t="n"/>
      <c r="P317" s="19" t="inlineStr">
        <is>
          <t>ja</t>
        </is>
      </c>
      <c r="Q317" s="19" t="n"/>
      <c r="R317" s="20" t="n"/>
      <c r="S317" s="20" t="n">
        <v>90</v>
      </c>
      <c r="T317" s="19" t="inlineStr">
        <is>
          <t>VHB</t>
        </is>
      </c>
      <c r="U317" s="21">
        <f>L317*S317</f>
        <v/>
      </c>
      <c r="V317" s="15" t="inlineStr">
        <is>
          <t>nur Abholung</t>
        </is>
      </c>
      <c r="W317" s="15" t="inlineStr">
        <is>
          <t>F-385</t>
        </is>
      </c>
      <c r="X317" s="19" t="inlineStr">
        <is>
          <t>ja</t>
        </is>
      </c>
      <c r="Y317" s="19" t="n"/>
      <c r="Z317" s="19" t="inlineStr">
        <is>
          <t>verfügbar</t>
        </is>
      </c>
      <c r="AA317" s="19" t="n"/>
      <c r="AB317" s="19" t="n"/>
      <c r="AC317" s="19" t="n"/>
      <c r="AD317" s="19" t="n"/>
      <c r="AE317" s="20" t="n"/>
      <c r="AF317" s="21">
        <f>IF(K317="","",K317*AE317)</f>
        <v/>
      </c>
      <c r="AG317" s="19" t="n"/>
      <c r="AH317" s="19" t="n"/>
      <c r="AI317" s="19" t="n"/>
      <c r="AJ317" s="19" t="n"/>
      <c r="AK317" s="19" t="n"/>
      <c r="AL317" s="19" t="n"/>
      <c r="AM317" s="16" t="inlineStr">
        <is>
          <t>2 Kombinationen aus je drei Teilen einschließlich der Wannen: 1 im Flur 2 (BU02-19, Foto F-385) und 1 im Gruppenraum (BU04-09, Foto F-399), beide im Untergeschoss des Bestandsgebäudes. Die beiden Kombinationen sind unterschiedlich zusammengestellt. Das Spielzeug gehört nicht dazu.</t>
        </is>
      </c>
      <c r="AN317" s="22" t="inlineStr">
        <is>
          <t>Zusammengefasste Position über zwei Räume – Post-it-Nummer: BU04-09.</t>
        </is>
      </c>
    </row>
    <row r="318" ht="30" customHeight="1">
      <c r="A318" s="15" t="inlineStr">
        <is>
          <t>BU03-01</t>
        </is>
      </c>
      <c r="B318" s="15" t="n"/>
      <c r="C318" s="15" t="n"/>
      <c r="D318" s="15" t="inlineStr">
        <is>
          <t>BU03</t>
        </is>
      </c>
      <c r="E318" s="15" t="inlineStr">
        <is>
          <t>Pinnwand Holz mit Klammerleinen</t>
        </is>
      </c>
      <c r="F318" s="16" t="inlineStr">
        <is>
          <t>Großes Wandelement aus hellem Massivholz mit vier waagerechten Bändern und Holzklammern zum Aufhängen von Bildern und Bastelarbeiten. Zwei zusätzliche Querbretter als Ablage.</t>
        </is>
      </c>
      <c r="G318" s="15" t="inlineStr">
        <is>
          <t>Kita-Ausstattung</t>
        </is>
      </c>
      <c r="H318" s="15" t="inlineStr">
        <is>
          <t>Flur 3</t>
        </is>
      </c>
      <c r="I318" s="15" t="inlineStr">
        <is>
          <t>B</t>
        </is>
      </c>
      <c r="J318" s="17" t="n">
        <v>1</v>
      </c>
      <c r="K318" s="17" t="n"/>
      <c r="L318" s="18">
        <f>J318-IF(K318="",0,K318)</f>
        <v/>
      </c>
      <c r="M318" s="15" t="inlineStr">
        <is>
          <t>Stück</t>
        </is>
      </c>
      <c r="N318" s="15" t="inlineStr">
        <is>
          <t>gebraucht</t>
        </is>
      </c>
      <c r="O318" s="19" t="n"/>
      <c r="P318" s="19" t="inlineStr">
        <is>
          <t>ja</t>
        </is>
      </c>
      <c r="Q318" s="19" t="n"/>
      <c r="R318" s="20" t="n"/>
      <c r="S318" s="20" t="n">
        <v>45</v>
      </c>
      <c r="T318" s="19" t="inlineStr">
        <is>
          <t>VHB</t>
        </is>
      </c>
      <c r="U318" s="21">
        <f>L318*S318</f>
        <v/>
      </c>
      <c r="V318" s="15" t="inlineStr">
        <is>
          <t>nur Abholung</t>
        </is>
      </c>
      <c r="W318" s="15" t="inlineStr">
        <is>
          <t>F-387</t>
        </is>
      </c>
      <c r="X318" s="19" t="inlineStr">
        <is>
          <t>ja</t>
        </is>
      </c>
      <c r="Y318" s="19" t="n"/>
      <c r="Z318" s="19" t="inlineStr">
        <is>
          <t>verfügbar</t>
        </is>
      </c>
      <c r="AA318" s="19" t="n"/>
      <c r="AB318" s="19" t="n"/>
      <c r="AC318" s="19" t="n"/>
      <c r="AD318" s="19" t="n"/>
      <c r="AE318" s="20" t="n"/>
      <c r="AF318" s="21">
        <f>IF(K318="","",K318*AE318)</f>
        <v/>
      </c>
      <c r="AG318" s="19" t="n"/>
      <c r="AH318" s="19" t="n"/>
      <c r="AI318" s="19" t="n"/>
      <c r="AJ318" s="19" t="n"/>
      <c r="AK318" s="19" t="n"/>
      <c r="AL318" s="19" t="n"/>
      <c r="AM318" s="16" t="inlineStr">
        <is>
          <t>1 Wand einschließlich der Klammern. Die Deko-Ringe und Quasten gehören nicht dazu.</t>
        </is>
      </c>
      <c r="AN318" s="22" t="n"/>
    </row>
    <row r="319" ht="30" customHeight="1">
      <c r="A319" s="15" t="inlineStr">
        <is>
          <t>BU03-02</t>
        </is>
      </c>
      <c r="B319" s="15" t="n"/>
      <c r="C319" s="15" t="n"/>
      <c r="D319" s="15" t="inlineStr">
        <is>
          <t>BU03</t>
        </is>
      </c>
      <c r="E319" s="15" t="inlineStr">
        <is>
          <t>Schwingspiegel, geschwungene Form</t>
        </is>
      </c>
      <c r="F319" s="16" t="inlineStr">
        <is>
          <t>Hoher Wandspiegel mit geschwungener Außenkante ohne Rahmen, zum Anschrauben.</t>
        </is>
      </c>
      <c r="G319" s="15" t="inlineStr">
        <is>
          <t>Deko</t>
        </is>
      </c>
      <c r="H319" s="15" t="inlineStr">
        <is>
          <t>Flur 3</t>
        </is>
      </c>
      <c r="I319" s="15" t="inlineStr">
        <is>
          <t>C</t>
        </is>
      </c>
      <c r="J319" s="17" t="n">
        <v>2</v>
      </c>
      <c r="K319" s="17" t="n"/>
      <c r="L319" s="18">
        <f>J319-IF(K319="",0,K319)</f>
        <v/>
      </c>
      <c r="M319" s="15" t="inlineStr">
        <is>
          <t>Stück</t>
        </is>
      </c>
      <c r="N319" s="15" t="inlineStr">
        <is>
          <t>gebraucht</t>
        </is>
      </c>
      <c r="O319" s="19" t="n"/>
      <c r="P319" s="19" t="inlineStr">
        <is>
          <t>ja</t>
        </is>
      </c>
      <c r="Q319" s="19" t="n"/>
      <c r="R319" s="20" t="n"/>
      <c r="S319" s="20" t="n">
        <v>25</v>
      </c>
      <c r="T319" s="19" t="inlineStr">
        <is>
          <t>VHB</t>
        </is>
      </c>
      <c r="U319" s="21">
        <f>L319*S319</f>
        <v/>
      </c>
      <c r="V319" s="15" t="inlineStr">
        <is>
          <t>nur Abholung</t>
        </is>
      </c>
      <c r="W319" s="15" t="inlineStr">
        <is>
          <t>F-388</t>
        </is>
      </c>
      <c r="X319" s="19" t="inlineStr">
        <is>
          <t>ja</t>
        </is>
      </c>
      <c r="Y319" s="19" t="n"/>
      <c r="Z319" s="19" t="inlineStr">
        <is>
          <t>verfügbar</t>
        </is>
      </c>
      <c r="AA319" s="19" t="n"/>
      <c r="AB319" s="19" t="n"/>
      <c r="AC319" s="19" t="n"/>
      <c r="AD319" s="19" t="n"/>
      <c r="AE319" s="20" t="n"/>
      <c r="AF319" s="21">
        <f>IF(K319="","",K319*AE319)</f>
        <v/>
      </c>
      <c r="AG319" s="19" t="n"/>
      <c r="AH319" s="19" t="n"/>
      <c r="AI319" s="19" t="n"/>
      <c r="AJ319" s="19" t="n"/>
      <c r="AK319" s="19" t="n"/>
      <c r="AL319" s="19" t="n"/>
      <c r="AM319" s="16" t="inlineStr">
        <is>
          <t>2 Spiegel – abgebildet ist einer davon.</t>
        </is>
      </c>
      <c r="AN319" s="22" t="n"/>
    </row>
    <row r="320" ht="30" customHeight="1">
      <c r="A320" s="15" t="inlineStr">
        <is>
          <t>BU03-03</t>
        </is>
      </c>
      <c r="B320" s="15" t="n"/>
      <c r="C320" s="15" t="n"/>
      <c r="D320" s="15" t="inlineStr">
        <is>
          <t>BU03</t>
        </is>
      </c>
      <c r="E320" s="15" t="inlineStr">
        <is>
          <t>Schuhregal schwarz mit Chromstangen</t>
        </is>
      </c>
      <c r="F320" s="16" t="inlineStr">
        <is>
          <t>Niedriges Schuhregal aus schwarz lackiertem Holz mit schwarzer Deckplatte und drei Ebenen aus verchromten Rundstangen, auch als Sitzbank nutzbar.</t>
        </is>
      </c>
      <c r="G320" s="15" t="inlineStr">
        <is>
          <t>Möbel</t>
        </is>
      </c>
      <c r="H320" s="15" t="inlineStr">
        <is>
          <t>Flur 3</t>
        </is>
      </c>
      <c r="I320" s="15" t="inlineStr">
        <is>
          <t>C</t>
        </is>
      </c>
      <c r="J320" s="17" t="n">
        <v>2</v>
      </c>
      <c r="K320" s="17" t="n"/>
      <c r="L320" s="18">
        <f>J320-IF(K320="",0,K320)</f>
        <v/>
      </c>
      <c r="M320" s="15" t="inlineStr">
        <is>
          <t>Stück</t>
        </is>
      </c>
      <c r="N320" s="15" t="inlineStr">
        <is>
          <t>gebraucht</t>
        </is>
      </c>
      <c r="O320" s="19" t="n"/>
      <c r="P320" s="19" t="inlineStr">
        <is>
          <t>ja</t>
        </is>
      </c>
      <c r="Q320" s="19" t="n"/>
      <c r="R320" s="20" t="n"/>
      <c r="S320" s="20" t="n">
        <v>25</v>
      </c>
      <c r="T320" s="19" t="inlineStr">
        <is>
          <t>VHB</t>
        </is>
      </c>
      <c r="U320" s="21">
        <f>L320*S320</f>
        <v/>
      </c>
      <c r="V320" s="15" t="inlineStr">
        <is>
          <t>nur Abholung</t>
        </is>
      </c>
      <c r="W320" s="15" t="inlineStr">
        <is>
          <t>F-389</t>
        </is>
      </c>
      <c r="X320" s="19" t="inlineStr">
        <is>
          <t>ja</t>
        </is>
      </c>
      <c r="Y320" s="19" t="n"/>
      <c r="Z320" s="19" t="inlineStr">
        <is>
          <t>verfügbar</t>
        </is>
      </c>
      <c r="AA320" s="19" t="n"/>
      <c r="AB320" s="19" t="n"/>
      <c r="AC320" s="19" t="n"/>
      <c r="AD320" s="19" t="n"/>
      <c r="AE320" s="20" t="n"/>
      <c r="AF320" s="21">
        <f>IF(K320="","",K320*AE320)</f>
        <v/>
      </c>
      <c r="AG320" s="19" t="n"/>
      <c r="AH320" s="19" t="n"/>
      <c r="AI320" s="19" t="n"/>
      <c r="AJ320" s="19" t="n"/>
      <c r="AK320" s="19" t="n"/>
      <c r="AL320" s="19" t="n"/>
      <c r="AM320" s="16" t="inlineStr">
        <is>
          <t>2 Regale – abgebildet ist eines davon.</t>
        </is>
      </c>
      <c r="AN320" s="22" t="n"/>
    </row>
    <row r="321" ht="30" customHeight="1">
      <c r="A321" s="15" t="inlineStr">
        <is>
          <t>BU03-04</t>
        </is>
      </c>
      <c r="B321" s="15" t="n"/>
      <c r="C321" s="15" t="n"/>
      <c r="D321" s="15" t="inlineStr">
        <is>
          <t>BU03</t>
        </is>
      </c>
      <c r="E321" s="15" t="inlineStr">
        <is>
          <t>Metallregal weiß, vier Böden</t>
        </is>
      </c>
      <c r="F321" s="16" t="inlineStr">
        <is>
          <t>Offenes Regal mit weißem Metallgestell, Kreuzstrebe auf der Rückseite und vier weißen Böden.</t>
        </is>
      </c>
      <c r="G321" s="15" t="inlineStr">
        <is>
          <t>Möbel</t>
        </is>
      </c>
      <c r="H321" s="15" t="inlineStr">
        <is>
          <t>Flur 3</t>
        </is>
      </c>
      <c r="I321" s="15" t="inlineStr">
        <is>
          <t>B</t>
        </is>
      </c>
      <c r="J321" s="17" t="n">
        <v>2</v>
      </c>
      <c r="K321" s="17" t="n"/>
      <c r="L321" s="18">
        <f>J321-IF(K321="",0,K321)</f>
        <v/>
      </c>
      <c r="M321" s="15" t="inlineStr">
        <is>
          <t>Stück</t>
        </is>
      </c>
      <c r="N321" s="15" t="inlineStr">
        <is>
          <t>gebraucht</t>
        </is>
      </c>
      <c r="O321" s="19" t="n"/>
      <c r="P321" s="19" t="inlineStr">
        <is>
          <t>ja</t>
        </is>
      </c>
      <c r="Q321" s="19" t="n"/>
      <c r="R321" s="20" t="n"/>
      <c r="S321" s="20" t="n">
        <v>35</v>
      </c>
      <c r="T321" s="19" t="inlineStr">
        <is>
          <t>VHB</t>
        </is>
      </c>
      <c r="U321" s="21">
        <f>L321*S321</f>
        <v/>
      </c>
      <c r="V321" s="15" t="inlineStr">
        <is>
          <t>nur Abholung</t>
        </is>
      </c>
      <c r="W321" s="15" t="inlineStr">
        <is>
          <t>F-390</t>
        </is>
      </c>
      <c r="X321" s="19" t="inlineStr">
        <is>
          <t>ja</t>
        </is>
      </c>
      <c r="Y321" s="19" t="n"/>
      <c r="Z321" s="19" t="inlineStr">
        <is>
          <t>verfügbar</t>
        </is>
      </c>
      <c r="AA321" s="19" t="n"/>
      <c r="AB321" s="19" t="n"/>
      <c r="AC321" s="19" t="n"/>
      <c r="AD321" s="19" t="n"/>
      <c r="AE321" s="20" t="n"/>
      <c r="AF321" s="21">
        <f>IF(K321="","",K321*AE321)</f>
        <v/>
      </c>
      <c r="AG321" s="19" t="n"/>
      <c r="AH321" s="19" t="n"/>
      <c r="AI321" s="19" t="n"/>
      <c r="AJ321" s="19" t="n"/>
      <c r="AK321" s="19" t="n"/>
      <c r="AL321" s="19" t="n"/>
      <c r="AM321" s="16" t="inlineStr">
        <is>
          <t>2 Regale – abgebildet ist eines davon.</t>
        </is>
      </c>
      <c r="AN321" s="22" t="n"/>
    </row>
    <row r="322" ht="30" customHeight="1">
      <c r="A322" s="15" t="inlineStr">
        <is>
          <t>BU03-05</t>
        </is>
      </c>
      <c r="B322" s="15" t="n"/>
      <c r="C322" s="15" t="n"/>
      <c r="D322" s="15" t="inlineStr">
        <is>
          <t>BU03</t>
        </is>
      </c>
      <c r="E322" s="15" t="inlineStr">
        <is>
          <t>Schuhschrank weiß mit Klappfächern</t>
        </is>
      </c>
      <c r="F322" s="16" t="inlineStr">
        <is>
          <t>Schmaler Schuhschrank in Weiß mit zwei Klappfächern und schwarzen Knöpfen. Die Schuhablagen sind innen verschmutzt und an den Kanten abgestoßen.</t>
        </is>
      </c>
      <c r="G322" s="15" t="inlineStr">
        <is>
          <t>Möbel</t>
        </is>
      </c>
      <c r="H322" s="15" t="inlineStr">
        <is>
          <t>Flur 3</t>
        </is>
      </c>
      <c r="I322" s="15" t="inlineStr">
        <is>
          <t>B</t>
        </is>
      </c>
      <c r="J322" s="17" t="n">
        <v>1</v>
      </c>
      <c r="K322" s="17" t="n"/>
      <c r="L322" s="18">
        <f>J322-IF(K322="",0,K322)</f>
        <v/>
      </c>
      <c r="M322" s="15" t="inlineStr">
        <is>
          <t>Stück</t>
        </is>
      </c>
      <c r="N322" s="15" t="inlineStr">
        <is>
          <t>gebraucht</t>
        </is>
      </c>
      <c r="O322" s="19" t="n"/>
      <c r="P322" s="19" t="inlineStr">
        <is>
          <t>ja</t>
        </is>
      </c>
      <c r="Q322" s="19" t="n"/>
      <c r="R322" s="20" t="n"/>
      <c r="S322" s="20" t="n">
        <v>60</v>
      </c>
      <c r="T322" s="19" t="inlineStr">
        <is>
          <t>VHB</t>
        </is>
      </c>
      <c r="U322" s="21">
        <f>L322*S322</f>
        <v/>
      </c>
      <c r="V322" s="15" t="inlineStr">
        <is>
          <t>nur Abholung</t>
        </is>
      </c>
      <c r="W322" s="15" t="inlineStr">
        <is>
          <t>F-391</t>
        </is>
      </c>
      <c r="X322" s="19" t="inlineStr">
        <is>
          <t>ja</t>
        </is>
      </c>
      <c r="Y322" s="19" t="n"/>
      <c r="Z322" s="19" t="inlineStr">
        <is>
          <t>verfügbar</t>
        </is>
      </c>
      <c r="AA322" s="19" t="n"/>
      <c r="AB322" s="19" t="n"/>
      <c r="AC322" s="19" t="n"/>
      <c r="AD322" s="19" t="n"/>
      <c r="AE322" s="20" t="n"/>
      <c r="AF322" s="21">
        <f>IF(K322="","",K322*AE322)</f>
        <v/>
      </c>
      <c r="AG322" s="19" t="n"/>
      <c r="AH322" s="19" t="n"/>
      <c r="AI322" s="19" t="n"/>
      <c r="AJ322" s="19" t="n"/>
      <c r="AK322" s="19" t="n"/>
      <c r="AL322" s="19" t="n"/>
      <c r="AM322" s="16" t="inlineStr">
        <is>
          <t>1 Schrank.</t>
        </is>
      </c>
      <c r="AN322" s="22" t="n"/>
    </row>
    <row r="323" ht="30" customHeight="1">
      <c r="A323" s="15" t="inlineStr">
        <is>
          <t>BU03-06</t>
        </is>
      </c>
      <c r="B323" s="15" t="n"/>
      <c r="C323" s="15" t="n"/>
      <c r="D323" s="15" t="inlineStr">
        <is>
          <t>BU03</t>
        </is>
      </c>
      <c r="E323" s="15" t="inlineStr">
        <is>
          <t>Wäschekorb anthrazit mit Deckel, hoch</t>
        </is>
      </c>
      <c r="F323" s="16" t="inlineStr">
        <is>
          <t>Hoher Wäschekorb aus Kunststoff in Flechtoptik, anthrazit, nach unten verjüngt, mit aufklappbarem Deckel und Griffloch.</t>
        </is>
      </c>
      <c r="G323" s="15" t="inlineStr">
        <is>
          <t>Sonstiges</t>
        </is>
      </c>
      <c r="H323" s="15" t="inlineStr">
        <is>
          <t>Flur 3</t>
        </is>
      </c>
      <c r="I323" s="15" t="inlineStr">
        <is>
          <t>C</t>
        </is>
      </c>
      <c r="J323" s="17" t="n">
        <v>1</v>
      </c>
      <c r="K323" s="17" t="n"/>
      <c r="L323" s="18">
        <f>J323-IF(K323="",0,K323)</f>
        <v/>
      </c>
      <c r="M323" s="15" t="inlineStr">
        <is>
          <t>Stück</t>
        </is>
      </c>
      <c r="N323" s="15" t="inlineStr">
        <is>
          <t>gebraucht</t>
        </is>
      </c>
      <c r="O323" s="19" t="n"/>
      <c r="P323" s="19" t="inlineStr">
        <is>
          <t>ja</t>
        </is>
      </c>
      <c r="Q323" s="19" t="n"/>
      <c r="R323" s="20" t="n"/>
      <c r="S323" s="20" t="n">
        <v>12</v>
      </c>
      <c r="T323" s="19" t="inlineStr">
        <is>
          <t>VHB</t>
        </is>
      </c>
      <c r="U323" s="21">
        <f>L323*S323</f>
        <v/>
      </c>
      <c r="V323" s="15" t="inlineStr">
        <is>
          <t>Versand möglich</t>
        </is>
      </c>
      <c r="W323" s="15" t="inlineStr">
        <is>
          <t>F-392</t>
        </is>
      </c>
      <c r="X323" s="19" t="inlineStr">
        <is>
          <t>ja</t>
        </is>
      </c>
      <c r="Y323" s="19" t="n"/>
      <c r="Z323" s="19" t="inlineStr">
        <is>
          <t>verfügbar</t>
        </is>
      </c>
      <c r="AA323" s="19" t="n"/>
      <c r="AB323" s="19" t="n"/>
      <c r="AC323" s="19" t="n"/>
      <c r="AD323" s="19" t="n"/>
      <c r="AE323" s="20" t="n"/>
      <c r="AF323" s="21">
        <f>IF(K323="","",K323*AE323)</f>
        <v/>
      </c>
      <c r="AG323" s="19" t="n"/>
      <c r="AH323" s="19" t="n"/>
      <c r="AI323" s="19" t="n"/>
      <c r="AJ323" s="19" t="n"/>
      <c r="AK323" s="19" t="n"/>
      <c r="AL323" s="19" t="n"/>
      <c r="AM323" s="16" t="inlineStr">
        <is>
          <t>1 Korb. Drei niedrigere Wäschekörbe stehen unter NE02-03.</t>
        </is>
      </c>
      <c r="AN323" s="22" t="n"/>
    </row>
    <row r="324" ht="30" customHeight="1">
      <c r="A324" s="15" t="inlineStr">
        <is>
          <t>BU03-07</t>
        </is>
      </c>
      <c r="B324" s="15" t="n"/>
      <c r="C324" s="15" t="n"/>
      <c r="D324" s="15" t="inlineStr">
        <is>
          <t>BU03</t>
        </is>
      </c>
      <c r="E324" s="15" t="inlineStr">
        <is>
          <t>Tischleuchte Holzgestell mit Stoffschirm</t>
        </is>
      </c>
      <c r="F324" s="16" t="inlineStr">
        <is>
          <t>Tischleuchte mit dreieckigem Gestell aus hellem Holz und zylindrischem Stoffschirm in Hellgrau, mit Schnurschalter.</t>
        </is>
      </c>
      <c r="G324" s="15" t="inlineStr">
        <is>
          <t>Leuchten</t>
        </is>
      </c>
      <c r="H324" s="15" t="inlineStr">
        <is>
          <t>Flur 3</t>
        </is>
      </c>
      <c r="I324" s="15" t="inlineStr">
        <is>
          <t>C</t>
        </is>
      </c>
      <c r="J324" s="17" t="n">
        <v>1</v>
      </c>
      <c r="K324" s="17" t="n"/>
      <c r="L324" s="18">
        <f>J324-IF(K324="",0,K324)</f>
        <v/>
      </c>
      <c r="M324" s="15" t="inlineStr">
        <is>
          <t>Stück</t>
        </is>
      </c>
      <c r="N324" s="15" t="inlineStr">
        <is>
          <t>gebraucht</t>
        </is>
      </c>
      <c r="O324" s="19" t="n"/>
      <c r="P324" s="19" t="inlineStr">
        <is>
          <t>ja</t>
        </is>
      </c>
      <c r="Q324" s="19" t="n"/>
      <c r="R324" s="20" t="n"/>
      <c r="S324" s="20" t="n">
        <v>25</v>
      </c>
      <c r="T324" s="19" t="inlineStr">
        <is>
          <t>VHB</t>
        </is>
      </c>
      <c r="U324" s="21">
        <f>L324*S324</f>
        <v/>
      </c>
      <c r="V324" s="15" t="inlineStr">
        <is>
          <t>Versand möglich</t>
        </is>
      </c>
      <c r="W324" s="15" t="inlineStr">
        <is>
          <t>F-393</t>
        </is>
      </c>
      <c r="X324" s="19" t="inlineStr">
        <is>
          <t>ja</t>
        </is>
      </c>
      <c r="Y324" s="19" t="n"/>
      <c r="Z324" s="19" t="inlineStr">
        <is>
          <t>verfügbar</t>
        </is>
      </c>
      <c r="AA324" s="19" t="n"/>
      <c r="AB324" s="19" t="n"/>
      <c r="AC324" s="19" t="n"/>
      <c r="AD324" s="19" t="n"/>
      <c r="AE324" s="20" t="n"/>
      <c r="AF324" s="21">
        <f>IF(K324="","",K324*AE324)</f>
        <v/>
      </c>
      <c r="AG324" s="19" t="n"/>
      <c r="AH324" s="19" t="n"/>
      <c r="AI324" s="19" t="n"/>
      <c r="AJ324" s="19" t="n"/>
      <c r="AK324" s="19" t="n"/>
      <c r="AL324" s="19" t="n"/>
      <c r="AM324" s="16" t="inlineStr">
        <is>
          <t>1 Leuchte ohne Leuchtmittel. Auf dem Erfassungsblatt als Stehlampe geführt – es ist eine Tischleuchte.</t>
        </is>
      </c>
      <c r="AN324" s="22" t="n"/>
    </row>
    <row r="325" ht="30" customHeight="1">
      <c r="A325" s="15" t="inlineStr">
        <is>
          <t>BU03-08</t>
        </is>
      </c>
      <c r="B325" s="15" t="n"/>
      <c r="C325" s="15" t="n"/>
      <c r="D325" s="15" t="inlineStr">
        <is>
          <t>BU03</t>
        </is>
      </c>
      <c r="E325" s="15" t="inlineStr">
        <is>
          <t>Beistelltisch rund türkis mit Hairpin-Beinen</t>
        </is>
      </c>
      <c r="F325" s="16" t="inlineStr">
        <is>
          <t>Kleiner runder Beistelltisch mit türkis lackierter Holzplatte auf drei schwarzen Hairpin-Beinen aus Rundstahl. Die Platte ist leicht verkratzt.</t>
        </is>
      </c>
      <c r="G325" s="15" t="inlineStr">
        <is>
          <t>Möbel</t>
        </is>
      </c>
      <c r="H325" s="15" t="inlineStr">
        <is>
          <t>Flur 3</t>
        </is>
      </c>
      <c r="I325" s="15" t="inlineStr">
        <is>
          <t>C</t>
        </is>
      </c>
      <c r="J325" s="17" t="n">
        <v>1</v>
      </c>
      <c r="K325" s="17" t="n"/>
      <c r="L325" s="18">
        <f>J325-IF(K325="",0,K325)</f>
        <v/>
      </c>
      <c r="M325" s="15" t="inlineStr">
        <is>
          <t>Stück</t>
        </is>
      </c>
      <c r="N325" s="15" t="inlineStr">
        <is>
          <t>gebraucht</t>
        </is>
      </c>
      <c r="O325" s="19" t="n"/>
      <c r="P325" s="19" t="inlineStr">
        <is>
          <t>ja</t>
        </is>
      </c>
      <c r="Q325" s="19" t="n"/>
      <c r="R325" s="20" t="n"/>
      <c r="S325" s="20" t="n">
        <v>35</v>
      </c>
      <c r="T325" s="19" t="inlineStr">
        <is>
          <t>VHB</t>
        </is>
      </c>
      <c r="U325" s="21">
        <f>L325*S325</f>
        <v/>
      </c>
      <c r="V325" s="15" t="inlineStr">
        <is>
          <t>Versand möglich</t>
        </is>
      </c>
      <c r="W325" s="15" t="inlineStr">
        <is>
          <t>F-394</t>
        </is>
      </c>
      <c r="X325" s="19" t="inlineStr">
        <is>
          <t>ja</t>
        </is>
      </c>
      <c r="Y325" s="19" t="n"/>
      <c r="Z325" s="19" t="inlineStr">
        <is>
          <t>verfügbar</t>
        </is>
      </c>
      <c r="AA325" s="19" t="n"/>
      <c r="AB325" s="19" t="n"/>
      <c r="AC325" s="19" t="n"/>
      <c r="AD325" s="19" t="n"/>
      <c r="AE325" s="20" t="n"/>
      <c r="AF325" s="21">
        <f>IF(K325="","",K325*AE325)</f>
        <v/>
      </c>
      <c r="AG325" s="19" t="n"/>
      <c r="AH325" s="19" t="n"/>
      <c r="AI325" s="19" t="n"/>
      <c r="AJ325" s="19" t="n"/>
      <c r="AK325" s="19" t="n"/>
      <c r="AL325" s="19" t="n"/>
      <c r="AM325" s="16" t="inlineStr">
        <is>
          <t>1 Tisch.</t>
        </is>
      </c>
      <c r="AN325" s="22" t="n"/>
    </row>
    <row r="326" ht="30" customHeight="1">
      <c r="A326" s="15" t="inlineStr">
        <is>
          <t>BU04-06</t>
        </is>
      </c>
      <c r="B326" s="15" t="n"/>
      <c r="C326" s="15" t="n"/>
      <c r="D326" s="15" t="inlineStr">
        <is>
          <t>BU04</t>
        </is>
      </c>
      <c r="E326" s="15" t="inlineStr">
        <is>
          <t>Kindertisch weiß, lang, zweiteilig</t>
        </is>
      </c>
      <c r="F326" s="16" t="inlineStr">
        <is>
          <t>Langer Kindertisch aus zwei aneinandergestellten Platten in Weiß mit cremefarbener Kante, auf cremefarbenen Vierkantfüßen aus Metall mit Gleitern. Die Platten sind an den Kanten abgestoßen.</t>
        </is>
      </c>
      <c r="G326" s="15" t="inlineStr">
        <is>
          <t>Möbel</t>
        </is>
      </c>
      <c r="H326" s="15" t="inlineStr">
        <is>
          <t>Gruppenraum</t>
        </is>
      </c>
      <c r="I326" s="15" t="inlineStr">
        <is>
          <t>B</t>
        </is>
      </c>
      <c r="J326" s="17" t="n">
        <v>1</v>
      </c>
      <c r="K326" s="17" t="n"/>
      <c r="L326" s="18">
        <f>J326-IF(K326="",0,K326)</f>
        <v/>
      </c>
      <c r="M326" s="15" t="inlineStr">
        <is>
          <t>Set</t>
        </is>
      </c>
      <c r="N326" s="15" t="inlineStr">
        <is>
          <t>gebraucht</t>
        </is>
      </c>
      <c r="O326" s="19" t="n"/>
      <c r="P326" s="19" t="inlineStr">
        <is>
          <t>ja</t>
        </is>
      </c>
      <c r="Q326" s="19" t="n"/>
      <c r="R326" s="20" t="n"/>
      <c r="S326" s="20" t="n">
        <v>90</v>
      </c>
      <c r="T326" s="19" t="inlineStr">
        <is>
          <t>VHB</t>
        </is>
      </c>
      <c r="U326" s="21">
        <f>L326*S326</f>
        <v/>
      </c>
      <c r="V326" s="15" t="inlineStr">
        <is>
          <t>nur Abholung</t>
        </is>
      </c>
      <c r="W326" s="15" t="inlineStr">
        <is>
          <t>F-406</t>
        </is>
      </c>
      <c r="X326" s="19" t="inlineStr">
        <is>
          <t>ja</t>
        </is>
      </c>
      <c r="Y326" s="19" t="n"/>
      <c r="Z326" s="19" t="inlineStr">
        <is>
          <t>verfügbar</t>
        </is>
      </c>
      <c r="AA326" s="19" t="n"/>
      <c r="AB326" s="19" t="n"/>
      <c r="AC326" s="19" t="n"/>
      <c r="AD326" s="19" t="n"/>
      <c r="AE326" s="20" t="n"/>
      <c r="AF326" s="21">
        <f>IF(K326="","",K326*AE326)</f>
        <v/>
      </c>
      <c r="AG326" s="19" t="n"/>
      <c r="AH326" s="19" t="n"/>
      <c r="AI326" s="19" t="n"/>
      <c r="AJ326" s="19" t="n"/>
      <c r="AK326" s="19" t="n"/>
      <c r="AL326" s="19" t="n"/>
      <c r="AM326" s="16" t="inlineStr">
        <is>
          <t>1 Tisch aus zwei Platten. Das Spielzeug gehört nicht dazu. Der ganze Tisch ist auf Foto F-404 zu sehen.</t>
        </is>
      </c>
      <c r="AN326" s="22" t="n"/>
    </row>
    <row r="327" ht="30" customHeight="1">
      <c r="A327" s="15" t="inlineStr">
        <is>
          <t>BU04-07</t>
        </is>
      </c>
      <c r="B327" s="15" t="n"/>
      <c r="C327" s="15" t="n"/>
      <c r="D327" s="15" t="inlineStr">
        <is>
          <t>BU04</t>
        </is>
      </c>
      <c r="E327" s="15" t="inlineStr">
        <is>
          <t>Gemälde Schwarzwaldfrau mit Planeten</t>
        </is>
      </c>
      <c r="F327" s="16" t="inlineStr">
        <is>
          <t>Acryl auf Leinwand im Hochformat: Frau in Schwarzwälder Tracht mit Bollenhut, umgeben von gemalten Planeten und Sternen. Eigenarbeit einer Privatperson, nicht signiert.</t>
        </is>
      </c>
      <c r="G327" s="15" t="inlineStr">
        <is>
          <t>Kunst</t>
        </is>
      </c>
      <c r="H327" s="15" t="inlineStr">
        <is>
          <t>Gruppenraum</t>
        </is>
      </c>
      <c r="I327" s="15" t="inlineStr">
        <is>
          <t>B</t>
        </is>
      </c>
      <c r="J327" s="17" t="n">
        <v>1</v>
      </c>
      <c r="K327" s="17" t="n"/>
      <c r="L327" s="18">
        <f>J327-IF(K327="",0,K327)</f>
        <v/>
      </c>
      <c r="M327" s="15" t="inlineStr">
        <is>
          <t>Stück</t>
        </is>
      </c>
      <c r="N327" s="15" t="inlineStr">
        <is>
          <t>gut</t>
        </is>
      </c>
      <c r="O327" s="19" t="n"/>
      <c r="P327" s="19" t="inlineStr">
        <is>
          <t>ja</t>
        </is>
      </c>
      <c r="Q327" s="19" t="n"/>
      <c r="R327" s="20" t="n"/>
      <c r="S327" s="20" t="n">
        <v>250</v>
      </c>
      <c r="T327" s="19" t="inlineStr">
        <is>
          <t>VHB</t>
        </is>
      </c>
      <c r="U327" s="21">
        <f>L327*S327</f>
        <v/>
      </c>
      <c r="V327" s="15" t="inlineStr">
        <is>
          <t>nur Abholung</t>
        </is>
      </c>
      <c r="W327" s="15" t="inlineStr">
        <is>
          <t>F-397</t>
        </is>
      </c>
      <c r="X327" s="19" t="inlineStr">
        <is>
          <t>ja</t>
        </is>
      </c>
      <c r="Y327" s="19" t="n"/>
      <c r="Z327" s="19" t="inlineStr">
        <is>
          <t>verfügbar</t>
        </is>
      </c>
      <c r="AA327" s="19" t="n"/>
      <c r="AB327" s="19" t="inlineStr">
        <is>
          <t>Schwarzwald</t>
        </is>
      </c>
      <c r="AC327" s="19" t="n"/>
      <c r="AD327" s="19" t="n"/>
      <c r="AE327" s="20" t="n"/>
      <c r="AF327" s="21">
        <f>IF(K327="","",K327*AE327)</f>
        <v/>
      </c>
      <c r="AG327" s="19" t="n"/>
      <c r="AH327" s="19" t="n"/>
      <c r="AI327" s="19" t="n"/>
      <c r="AJ327" s="19" t="n"/>
      <c r="AK327" s="19" t="n"/>
      <c r="AL327" s="19" t="n"/>
      <c r="AM327" s="16" t="inlineStr">
        <is>
          <t>1 Bild auf Keilrahmen, ungerahmt.</t>
        </is>
      </c>
      <c r="AN327" s="22" t="n"/>
    </row>
    <row r="328" ht="30" customHeight="1">
      <c r="A328" s="15" t="inlineStr">
        <is>
          <t>BU04-08</t>
        </is>
      </c>
      <c r="B328" s="15" t="n"/>
      <c r="C328" s="15" t="n"/>
      <c r="D328" s="15" t="inlineStr">
        <is>
          <t>BU04</t>
        </is>
      </c>
      <c r="E328" s="15" t="inlineStr">
        <is>
          <t>Garderobenständer bunt, Stangenform</t>
        </is>
      </c>
      <c r="F328" s="16" t="inlineStr">
        <is>
          <t>Stehender Garderobenständer: weiße Rundstange mit farbig lackierten Ringen in Grün, Blau, Rot, Orange und Gelb und passenden Haken in mehreren Höhen, auf Tellerfuß.</t>
        </is>
      </c>
      <c r="G328" s="15" t="inlineStr">
        <is>
          <t>Kita-Ausstattung</t>
        </is>
      </c>
      <c r="H328" s="15" t="inlineStr">
        <is>
          <t>Gruppenraum</t>
        </is>
      </c>
      <c r="I328" s="15" t="inlineStr">
        <is>
          <t>C</t>
        </is>
      </c>
      <c r="J328" s="17" t="n">
        <v>2</v>
      </c>
      <c r="K328" s="17" t="n"/>
      <c r="L328" s="18">
        <f>J328-IF(K328="",0,K328)</f>
        <v/>
      </c>
      <c r="M328" s="15" t="inlineStr">
        <is>
          <t>Stück</t>
        </is>
      </c>
      <c r="N328" s="15" t="inlineStr">
        <is>
          <t>gebraucht</t>
        </is>
      </c>
      <c r="O328" s="19" t="n"/>
      <c r="P328" s="19" t="inlineStr">
        <is>
          <t>ja</t>
        </is>
      </c>
      <c r="Q328" s="19" t="n"/>
      <c r="R328" s="20" t="n"/>
      <c r="S328" s="20" t="n">
        <v>35</v>
      </c>
      <c r="T328" s="19" t="inlineStr">
        <is>
          <t>VHB</t>
        </is>
      </c>
      <c r="U328" s="21">
        <f>L328*S328</f>
        <v/>
      </c>
      <c r="V328" s="15" t="inlineStr">
        <is>
          <t>nur Abholung</t>
        </is>
      </c>
      <c r="W328" s="15" t="inlineStr">
        <is>
          <t>F-398</t>
        </is>
      </c>
      <c r="X328" s="19" t="inlineStr">
        <is>
          <t>ja</t>
        </is>
      </c>
      <c r="Y328" s="19" t="n"/>
      <c r="Z328" s="19" t="inlineStr">
        <is>
          <t>verfügbar</t>
        </is>
      </c>
      <c r="AA328" s="19" t="n"/>
      <c r="AB328" s="19" t="n"/>
      <c r="AC328" s="19" t="n"/>
      <c r="AD328" s="19" t="n"/>
      <c r="AE328" s="20" t="n"/>
      <c r="AF328" s="21">
        <f>IF(K328="","",K328*AE328)</f>
        <v/>
      </c>
      <c r="AG328" s="19" t="n"/>
      <c r="AH328" s="19" t="n"/>
      <c r="AI328" s="19" t="n"/>
      <c r="AJ328" s="19" t="n"/>
      <c r="AK328" s="19" t="n"/>
      <c r="AL328" s="19" t="n"/>
      <c r="AM328" s="16" t="inlineStr">
        <is>
          <t>2 Ständer – beide auf dem Foto zu sehen.</t>
        </is>
      </c>
      <c r="AN328" s="22" t="n"/>
    </row>
    <row r="329" ht="30" customHeight="1">
      <c r="A329" s="15" t="inlineStr">
        <is>
          <t>BU04-10</t>
        </is>
      </c>
      <c r="B329" s="15" t="n"/>
      <c r="C329" s="15" t="n"/>
      <c r="D329" s="15" t="inlineStr">
        <is>
          <t>BU04</t>
        </is>
      </c>
      <c r="E329" s="15" t="inlineStr">
        <is>
          <t>Kindertisch weiß aus fünf Segmenten</t>
        </is>
      </c>
      <c r="F329" s="16" t="inlineStr">
        <is>
          <t>Fünf Tischsegmente mit weißer Platte, Multiplex-Kante und verchromten Rundfüßen in Kinderhöhe. Zusammengestellt ergeben sie einen großen Gruppentisch, einzeln sind sie frei kombinierbar.</t>
        </is>
      </c>
      <c r="G329" s="15" t="inlineStr">
        <is>
          <t>Möbel</t>
        </is>
      </c>
      <c r="H329" s="15" t="inlineStr">
        <is>
          <t>Gruppenraum</t>
        </is>
      </c>
      <c r="I329" s="15" t="inlineStr">
        <is>
          <t>A</t>
        </is>
      </c>
      <c r="J329" s="17" t="n">
        <v>1</v>
      </c>
      <c r="K329" s="17" t="n"/>
      <c r="L329" s="18">
        <f>J329-IF(K329="",0,K329)</f>
        <v/>
      </c>
      <c r="M329" s="15" t="inlineStr">
        <is>
          <t>Set</t>
        </is>
      </c>
      <c r="N329" s="15" t="inlineStr">
        <is>
          <t>gebraucht</t>
        </is>
      </c>
      <c r="O329" s="19" t="n"/>
      <c r="P329" s="19" t="inlineStr">
        <is>
          <t>ja</t>
        </is>
      </c>
      <c r="Q329" s="19" t="n"/>
      <c r="R329" s="20" t="n"/>
      <c r="S329" s="20" t="n">
        <v>190</v>
      </c>
      <c r="T329" s="19" t="inlineStr">
        <is>
          <t>VHB</t>
        </is>
      </c>
      <c r="U329" s="21">
        <f>L329*S329</f>
        <v/>
      </c>
      <c r="V329" s="15" t="inlineStr">
        <is>
          <t>nur Abholung</t>
        </is>
      </c>
      <c r="W329" s="15" t="inlineStr">
        <is>
          <t>F-400</t>
        </is>
      </c>
      <c r="X329" s="19" t="inlineStr">
        <is>
          <t>ja</t>
        </is>
      </c>
      <c r="Y329" s="19" t="n"/>
      <c r="Z329" s="19" t="inlineStr">
        <is>
          <t>verfügbar</t>
        </is>
      </c>
      <c r="AA329" s="19" t="n"/>
      <c r="AB329" s="19" t="n"/>
      <c r="AC329" s="19" t="n"/>
      <c r="AD329" s="19" t="n"/>
      <c r="AE329" s="20" t="n"/>
      <c r="AF329" s="21">
        <f>IF(K329="","",K329*AE329)</f>
        <v/>
      </c>
      <c r="AG329" s="19" t="n"/>
      <c r="AH329" s="19" t="n"/>
      <c r="AI329" s="19" t="n"/>
      <c r="AJ329" s="19" t="n"/>
      <c r="AK329" s="19" t="n"/>
      <c r="AL329" s="19" t="n"/>
      <c r="AM329" s="16" t="inlineStr">
        <is>
          <t>1 Tischgruppe aus fünf Segmenten. Weitere Tischgruppen gleicher Bauart stehen unter NU02-23 und BU02-03.</t>
        </is>
      </c>
      <c r="AN329" s="22" t="n"/>
    </row>
    <row r="330" ht="30" customHeight="1">
      <c r="A330" s="15" t="inlineStr">
        <is>
          <t>BU04-11</t>
        </is>
      </c>
      <c r="B330" s="15" t="n"/>
      <c r="C330" s="15" t="n"/>
      <c r="D330" s="15" t="inlineStr">
        <is>
          <t>BU04</t>
        </is>
      </c>
      <c r="E330" s="15" t="inlineStr">
        <is>
          <t>Regal weiß, vier Böden</t>
        </is>
      </c>
      <c r="F330" s="16" t="inlineStr">
        <is>
          <t>Offenes Regal in Weiß mit vier Böden, eines der beiden Regale hat zusätzlich zwei Schubladen. Böden und Kanten sind großflächig verschmutzt und abgestoßen.</t>
        </is>
      </c>
      <c r="G330" s="15" t="inlineStr">
        <is>
          <t>Möbel</t>
        </is>
      </c>
      <c r="H330" s="15" t="inlineStr">
        <is>
          <t>Gruppenraum</t>
        </is>
      </c>
      <c r="I330" s="15" t="inlineStr">
        <is>
          <t>C</t>
        </is>
      </c>
      <c r="J330" s="17" t="n">
        <v>2</v>
      </c>
      <c r="K330" s="17" t="n"/>
      <c r="L330" s="18">
        <f>J330-IF(K330="",0,K330)</f>
        <v/>
      </c>
      <c r="M330" s="15" t="inlineStr">
        <is>
          <t>Stück</t>
        </is>
      </c>
      <c r="N330" s="15" t="inlineStr">
        <is>
          <t>stark gebraucht</t>
        </is>
      </c>
      <c r="O330" s="19" t="n"/>
      <c r="P330" s="19" t="inlineStr">
        <is>
          <t>ja</t>
        </is>
      </c>
      <c r="Q330" s="19" t="n"/>
      <c r="R330" s="20" t="n"/>
      <c r="S330" s="20" t="n">
        <v>30</v>
      </c>
      <c r="T330" s="19" t="inlineStr">
        <is>
          <t>VHB</t>
        </is>
      </c>
      <c r="U330" s="21">
        <f>L330*S330</f>
        <v/>
      </c>
      <c r="V330" s="15" t="inlineStr">
        <is>
          <t>nur Abholung</t>
        </is>
      </c>
      <c r="W330" s="15" t="inlineStr">
        <is>
          <t>F-405</t>
        </is>
      </c>
      <c r="X330" s="19" t="inlineStr">
        <is>
          <t>ja</t>
        </is>
      </c>
      <c r="Y330" s="19" t="n"/>
      <c r="Z330" s="19" t="inlineStr">
        <is>
          <t>verfügbar</t>
        </is>
      </c>
      <c r="AA330" s="19" t="n"/>
      <c r="AB330" s="19" t="n"/>
      <c r="AC330" s="19" t="n"/>
      <c r="AD330" s="19" t="n"/>
      <c r="AE330" s="20" t="n"/>
      <c r="AF330" s="21">
        <f>IF(K330="","",K330*AE330)</f>
        <v/>
      </c>
      <c r="AG330" s="19" t="n"/>
      <c r="AH330" s="19" t="n"/>
      <c r="AI330" s="19" t="n"/>
      <c r="AJ330" s="19" t="n"/>
      <c r="AK330" s="19" t="n"/>
      <c r="AL330" s="19" t="n"/>
      <c r="AM330" s="16" t="inlineStr">
        <is>
          <t>2 Regale, davon eines mit zwei Schubladen – abgebildet ist eines davon. Der Inhalt gehört nicht dazu.</t>
        </is>
      </c>
      <c r="AN330" s="22" t="n"/>
    </row>
    <row r="331" ht="30" customHeight="1">
      <c r="A331" s="15" t="inlineStr">
        <is>
          <t>BU04-13</t>
        </is>
      </c>
      <c r="B331" s="15" t="n"/>
      <c r="C331" s="15" t="n"/>
      <c r="D331" s="15" t="inlineStr">
        <is>
          <t>BU04</t>
        </is>
      </c>
      <c r="E331" s="15" t="inlineStr">
        <is>
          <t>Servierwagen Metall grau, drei Ebenen</t>
        </is>
      </c>
      <c r="F331" s="16" t="inlineStr">
        <is>
          <t>Rollwagen aus dunkelgrau lackiertem Metall mit drei Ablageebenen und Lochblechböden, auf vier Rollen.</t>
        </is>
      </c>
      <c r="G331" s="15" t="inlineStr">
        <is>
          <t>Möbel</t>
        </is>
      </c>
      <c r="H331" s="15" t="inlineStr">
        <is>
          <t>Gruppenraum</t>
        </is>
      </c>
      <c r="I331" s="15" t="inlineStr">
        <is>
          <t>B</t>
        </is>
      </c>
      <c r="J331" s="17" t="n">
        <v>1</v>
      </c>
      <c r="K331" s="17" t="n"/>
      <c r="L331" s="18">
        <f>J331-IF(K331="",0,K331)</f>
        <v/>
      </c>
      <c r="M331" s="15" t="inlineStr">
        <is>
          <t>Stück</t>
        </is>
      </c>
      <c r="N331" s="15" t="inlineStr">
        <is>
          <t>gebraucht</t>
        </is>
      </c>
      <c r="O331" s="19" t="n"/>
      <c r="P331" s="19" t="inlineStr">
        <is>
          <t>ja</t>
        </is>
      </c>
      <c r="Q331" s="19" t="n"/>
      <c r="R331" s="20" t="n"/>
      <c r="S331" s="20" t="n">
        <v>30</v>
      </c>
      <c r="T331" s="19" t="inlineStr">
        <is>
          <t>VHB</t>
        </is>
      </c>
      <c r="U331" s="21">
        <f>L331*S331</f>
        <v/>
      </c>
      <c r="V331" s="15" t="inlineStr">
        <is>
          <t>nur Abholung</t>
        </is>
      </c>
      <c r="W331" s="15" t="inlineStr">
        <is>
          <t>F-402</t>
        </is>
      </c>
      <c r="X331" s="19" t="inlineStr">
        <is>
          <t>ja</t>
        </is>
      </c>
      <c r="Y331" s="19" t="n"/>
      <c r="Z331" s="19" t="inlineStr">
        <is>
          <t>verfügbar</t>
        </is>
      </c>
      <c r="AA331" s="19" t="n"/>
      <c r="AB331" s="19" t="n"/>
      <c r="AC331" s="19" t="n"/>
      <c r="AD331" s="19" t="n"/>
      <c r="AE331" s="20" t="n"/>
      <c r="AF331" s="21">
        <f>IF(K331="","",K331*AE331)</f>
        <v/>
      </c>
      <c r="AG331" s="19" t="n"/>
      <c r="AH331" s="19" t="n"/>
      <c r="AI331" s="19" t="n"/>
      <c r="AJ331" s="19" t="n"/>
      <c r="AK331" s="19" t="n"/>
      <c r="AL331" s="19" t="n"/>
      <c r="AM331" s="16" t="inlineStr">
        <is>
          <t>1 Wagen. Der Inhalt gehört nicht dazu. Ein baugleicher Wagen in Schwarz steht unter BU02-16.</t>
        </is>
      </c>
      <c r="AN331" s="22" t="n"/>
    </row>
    <row r="332" ht="30" customHeight="1">
      <c r="A332" s="15" t="inlineStr">
        <is>
          <t>BU04-14</t>
        </is>
      </c>
      <c r="B332" s="15" t="n"/>
      <c r="C332" s="15" t="n"/>
      <c r="D332" s="15" t="inlineStr">
        <is>
          <t>BU04</t>
        </is>
      </c>
      <c r="E332" s="15" t="inlineStr">
        <is>
          <t>Bücherregal creme mit Wolkenaufsatz</t>
        </is>
      </c>
      <c r="F332" s="16" t="inlineStr">
        <is>
          <t>Stehendes Bücherregal aus Holz, creme lackiert, mit geschwungenem Wolkenaufsatz und drei Ablagen mit vorderer Haltelatte für nach vorn zeigende Bilderbücher.</t>
        </is>
      </c>
      <c r="G332" s="15" t="inlineStr">
        <is>
          <t>Kita-Ausstattung</t>
        </is>
      </c>
      <c r="H332" s="15" t="inlineStr">
        <is>
          <t>Gruppenraum</t>
        </is>
      </c>
      <c r="I332" s="15" t="inlineStr">
        <is>
          <t>B</t>
        </is>
      </c>
      <c r="J332" s="17" t="n">
        <v>1</v>
      </c>
      <c r="K332" s="17" t="n"/>
      <c r="L332" s="18">
        <f>J332-IF(K332="",0,K332)</f>
        <v/>
      </c>
      <c r="M332" s="15" t="inlineStr">
        <is>
          <t>Stück</t>
        </is>
      </c>
      <c r="N332" s="15" t="inlineStr">
        <is>
          <t>gebraucht</t>
        </is>
      </c>
      <c r="O332" s="19" t="n"/>
      <c r="P332" s="19" t="inlineStr">
        <is>
          <t>ja</t>
        </is>
      </c>
      <c r="Q332" s="19" t="n"/>
      <c r="R332" s="20" t="n"/>
      <c r="S332" s="20" t="n">
        <v>45</v>
      </c>
      <c r="T332" s="19" t="inlineStr">
        <is>
          <t>VHB</t>
        </is>
      </c>
      <c r="U332" s="21">
        <f>L332*S332</f>
        <v/>
      </c>
      <c r="V332" s="15" t="inlineStr">
        <is>
          <t>nur Abholung</t>
        </is>
      </c>
      <c r="W332" s="15" t="inlineStr">
        <is>
          <t>F-403</t>
        </is>
      </c>
      <c r="X332" s="19" t="inlineStr">
        <is>
          <t>ja</t>
        </is>
      </c>
      <c r="Y332" s="19" t="n"/>
      <c r="Z332" s="19" t="inlineStr">
        <is>
          <t>verfügbar</t>
        </is>
      </c>
      <c r="AA332" s="19" t="n"/>
      <c r="AB332" s="19" t="n"/>
      <c r="AC332" s="19" t="n"/>
      <c r="AD332" s="19" t="n"/>
      <c r="AE332" s="20" t="n"/>
      <c r="AF332" s="21">
        <f>IF(K332="","",K332*AE332)</f>
        <v/>
      </c>
      <c r="AG332" s="19" t="n"/>
      <c r="AH332" s="19" t="n"/>
      <c r="AI332" s="19" t="n"/>
      <c r="AJ332" s="19" t="n"/>
      <c r="AK332" s="19" t="n"/>
      <c r="AL332" s="19" t="n"/>
      <c r="AM332" s="16" t="inlineStr">
        <is>
          <t>1 Regal. Die Bücher gehören nicht dazu.</t>
        </is>
      </c>
      <c r="AN332" s="22" t="n"/>
    </row>
    <row r="333" ht="30" customHeight="1">
      <c r="A333" s="15" t="inlineStr">
        <is>
          <t>BU04-15</t>
        </is>
      </c>
      <c r="B333" s="15" t="n"/>
      <c r="C333" s="15" t="n"/>
      <c r="D333" s="15" t="inlineStr">
        <is>
          <t>BU04</t>
        </is>
      </c>
      <c r="E333" s="15" t="inlineStr">
        <is>
          <t>Acrylbilder Roboter, schwarz-weiß</t>
        </is>
      </c>
      <c r="F333" s="16" t="inlineStr">
        <is>
          <t>Zwei Bilder auf Leinwand im Quadrat: Roboterfiguren mit breitem Pinsel in Schwarz auf weißem Grund. Eigenarbeit einer Privatperson, nicht signiert.</t>
        </is>
      </c>
      <c r="G333" s="15" t="inlineStr">
        <is>
          <t>Kunst</t>
        </is>
      </c>
      <c r="H333" s="15" t="inlineStr">
        <is>
          <t>Gruppenraum</t>
        </is>
      </c>
      <c r="I333" s="15" t="inlineStr">
        <is>
          <t>C</t>
        </is>
      </c>
      <c r="J333" s="17" t="n">
        <v>2</v>
      </c>
      <c r="K333" s="17" t="n"/>
      <c r="L333" s="18">
        <f>J333-IF(K333="",0,K333)</f>
        <v/>
      </c>
      <c r="M333" s="15" t="inlineStr">
        <is>
          <t>Stück</t>
        </is>
      </c>
      <c r="N333" s="15" t="inlineStr">
        <is>
          <t>gut</t>
        </is>
      </c>
      <c r="O333" s="19" t="n"/>
      <c r="P333" s="19" t="inlineStr">
        <is>
          <t>ja</t>
        </is>
      </c>
      <c r="Q333" s="19" t="n"/>
      <c r="R333" s="20" t="n"/>
      <c r="S333" s="20" t="n">
        <v>60</v>
      </c>
      <c r="T333" s="19" t="inlineStr">
        <is>
          <t>VHB</t>
        </is>
      </c>
      <c r="U333" s="21">
        <f>L333*S333</f>
        <v/>
      </c>
      <c r="V333" s="15" t="inlineStr">
        <is>
          <t>Versand möglich</t>
        </is>
      </c>
      <c r="W333" s="15" t="inlineStr">
        <is>
          <t>F-407</t>
        </is>
      </c>
      <c r="X333" s="19" t="inlineStr">
        <is>
          <t>ja</t>
        </is>
      </c>
      <c r="Y333" s="19" t="n"/>
      <c r="Z333" s="19" t="inlineStr">
        <is>
          <t>verfügbar</t>
        </is>
      </c>
      <c r="AA333" s="19" t="n"/>
      <c r="AB333" s="19" t="n"/>
      <c r="AC333" s="19" t="n"/>
      <c r="AD333" s="19" t="n"/>
      <c r="AE333" s="20" t="n"/>
      <c r="AF333" s="21">
        <f>IF(K333="","",K333*AE333)</f>
        <v/>
      </c>
      <c r="AG333" s="19" t="n"/>
      <c r="AH333" s="19" t="n"/>
      <c r="AI333" s="19" t="n"/>
      <c r="AJ333" s="19" t="n"/>
      <c r="AK333" s="19" t="n"/>
      <c r="AL333" s="19" t="n"/>
      <c r="AM333" s="16" t="inlineStr">
        <is>
          <t>2 Bilder auf Keilrahmen, ungerahmt – beide auf dem Foto zu sehen.</t>
        </is>
      </c>
      <c r="AN333" s="22" t="n"/>
    </row>
    <row r="334" ht="30" customHeight="1">
      <c r="A334" s="15" t="inlineStr">
        <is>
          <t>BU05-01</t>
        </is>
      </c>
      <c r="B334" s="15" t="n"/>
      <c r="C334" s="15" t="n"/>
      <c r="D334" s="15" t="inlineStr">
        <is>
          <t>BU05</t>
        </is>
      </c>
      <c r="E334" s="15" t="inlineStr">
        <is>
          <t>Spielhaus weiß mit Hochebene und Bett</t>
        </is>
      </c>
      <c r="F334" s="16" t="inlineStr">
        <is>
          <t>Große Spielhaus-Konstruktion in Weiß: obere Spielebene mit Brüstung, grüner Tafel und Ablagefach, darunter eine Liegefläche mit Matratze. Eine Seitenwand trägt eine goldene Krone als Aufkleber.</t>
        </is>
      </c>
      <c r="G334" s="15" t="inlineStr">
        <is>
          <t>Kita-Ausstattung</t>
        </is>
      </c>
      <c r="H334" s="15" t="inlineStr">
        <is>
          <t>Schlafraum</t>
        </is>
      </c>
      <c r="I334" s="15" t="inlineStr">
        <is>
          <t>A</t>
        </is>
      </c>
      <c r="J334" s="17" t="n">
        <v>1</v>
      </c>
      <c r="K334" s="17" t="n"/>
      <c r="L334" s="18">
        <f>J334-IF(K334="",0,K334)</f>
        <v/>
      </c>
      <c r="M334" s="15" t="inlineStr">
        <is>
          <t>Stück</t>
        </is>
      </c>
      <c r="N334" s="15" t="inlineStr">
        <is>
          <t>gebraucht</t>
        </is>
      </c>
      <c r="O334" s="19" t="n"/>
      <c r="P334" s="19" t="inlineStr">
        <is>
          <t>ja</t>
        </is>
      </c>
      <c r="Q334" s="19" t="n"/>
      <c r="R334" s="20" t="n"/>
      <c r="S334" s="20" t="n">
        <v>450</v>
      </c>
      <c r="T334" s="19" t="inlineStr">
        <is>
          <t>VHB</t>
        </is>
      </c>
      <c r="U334" s="21">
        <f>L334*S334</f>
        <v/>
      </c>
      <c r="V334" s="15" t="inlineStr">
        <is>
          <t>nur Abholung</t>
        </is>
      </c>
      <c r="W334" s="15" t="inlineStr">
        <is>
          <t>F-409</t>
        </is>
      </c>
      <c r="X334" s="19" t="inlineStr">
        <is>
          <t>ja</t>
        </is>
      </c>
      <c r="Y334" s="19" t="n"/>
      <c r="Z334" s="19" t="inlineStr">
        <is>
          <t>verfügbar</t>
        </is>
      </c>
      <c r="AA334" s="19" t="n"/>
      <c r="AB334" s="19" t="n"/>
      <c r="AC334" s="19" t="n"/>
      <c r="AD334" s="19" t="n"/>
      <c r="AE334" s="20" t="n"/>
      <c r="AF334" s="21">
        <f>IF(K334="","",K334*AE334)</f>
        <v/>
      </c>
      <c r="AG334" s="19" t="n"/>
      <c r="AH334" s="19" t="n"/>
      <c r="AI334" s="19" t="n"/>
      <c r="AJ334" s="19" t="n"/>
      <c r="AK334" s="19" t="n"/>
      <c r="AL334" s="19" t="n"/>
      <c r="AM334" s="16" t="inlineStr">
        <is>
          <t>1 Spielhaus einschließlich Matratze. Bettwäsche und Spielzeug gehören nicht dazu. Der Aufkleber ist auf Foto F-410 zu sehen.</t>
        </is>
      </c>
      <c r="AN334" s="22" t="n"/>
    </row>
    <row r="335" ht="30" customHeight="1">
      <c r="A335" s="15" t="inlineStr">
        <is>
          <t>BU05-02</t>
        </is>
      </c>
      <c r="B335" s="15" t="n"/>
      <c r="C335" s="15" t="n"/>
      <c r="D335" s="15" t="inlineStr">
        <is>
          <t>BU05</t>
        </is>
      </c>
      <c r="E335" s="15" t="inlineStr">
        <is>
          <t>Wesco Spielküche, vier Module mit Mikrowelle</t>
        </is>
      </c>
      <c r="F335" s="16" t="inlineStr">
        <is>
          <t>Spielküche von Wesco aus Birke-Multiplex: offenes Regalmodul, Backofenmodul mit Klappe, Spülenmodul mit Becken und Kochfeldmodul, dazu eine aufgesetzte Spielmikrowelle. Fronten mit aufgedruckten Bedienfeldern, Rückwände mit Fliesenmuster.</t>
        </is>
      </c>
      <c r="G335" s="15" t="inlineStr">
        <is>
          <t>Kita-Ausstattung</t>
        </is>
      </c>
      <c r="H335" s="15" t="inlineStr">
        <is>
          <t>Schlafraum</t>
        </is>
      </c>
      <c r="I335" s="15" t="inlineStr">
        <is>
          <t>A</t>
        </is>
      </c>
      <c r="J335" s="17" t="n">
        <v>1</v>
      </c>
      <c r="K335" s="17" t="n"/>
      <c r="L335" s="18">
        <f>J335-IF(K335="",0,K335)</f>
        <v/>
      </c>
      <c r="M335" s="15" t="inlineStr">
        <is>
          <t>Set</t>
        </is>
      </c>
      <c r="N335" s="15" t="inlineStr">
        <is>
          <t>gebraucht</t>
        </is>
      </c>
      <c r="O335" s="19" t="n"/>
      <c r="P335" s="19" t="inlineStr">
        <is>
          <t>ja</t>
        </is>
      </c>
      <c r="Q335" s="19" t="n"/>
      <c r="R335" s="20" t="n"/>
      <c r="S335" s="20" t="n">
        <v>550</v>
      </c>
      <c r="T335" s="19" t="inlineStr">
        <is>
          <t>VHB</t>
        </is>
      </c>
      <c r="U335" s="21">
        <f>L335*S335</f>
        <v/>
      </c>
      <c r="V335" s="15" t="inlineStr">
        <is>
          <t>nur Abholung</t>
        </is>
      </c>
      <c r="W335" s="15" t="inlineStr">
        <is>
          <t>F-411</t>
        </is>
      </c>
      <c r="X335" s="19" t="inlineStr">
        <is>
          <t>ja</t>
        </is>
      </c>
      <c r="Y335" s="19" t="n"/>
      <c r="Z335" s="19" t="inlineStr">
        <is>
          <t>verfügbar</t>
        </is>
      </c>
      <c r="AA335" s="19" t="inlineStr">
        <is>
          <t>Wesco</t>
        </is>
      </c>
      <c r="AB335" s="19" t="n"/>
      <c r="AC335" s="19" t="n"/>
      <c r="AD335" s="19" t="n"/>
      <c r="AE335" s="20" t="n"/>
      <c r="AF335" s="21">
        <f>IF(K335="","",K335*AE335)</f>
        <v/>
      </c>
      <c r="AG335" s="19" t="n"/>
      <c r="AH335" s="19" t="n"/>
      <c r="AI335" s="19" t="n"/>
      <c r="AJ335" s="19" t="n"/>
      <c r="AK335" s="19" t="n"/>
      <c r="AL335" s="19" t="n"/>
      <c r="AM335" s="16" t="inlineStr">
        <is>
          <t>1 Küchenzeile aus vier Modulen einschließlich Mikrowelle. Spielgeschirr, Vorratsgläser und Lebensmittel gehören nicht dazu. Weitere Wesco-Spielküchen stehen unter NU03-03 und NU07-03.</t>
        </is>
      </c>
      <c r="AN335" s="22" t="n"/>
    </row>
    <row r="336" ht="30" customHeight="1">
      <c r="A336" s="15" t="inlineStr">
        <is>
          <t>BU05-03</t>
        </is>
      </c>
      <c r="B336" s="15" t="n"/>
      <c r="C336" s="15" t="n"/>
      <c r="D336" s="15" t="inlineStr">
        <is>
          <t>BU05</t>
        </is>
      </c>
      <c r="E336" s="15" t="inlineStr">
        <is>
          <t>Treppenregal weiß mit Wannen</t>
        </is>
      </c>
      <c r="F336" s="16" t="inlineStr">
        <is>
          <t>Weißes Regal in Treppenform: zwei hohe Fächer mit eingeschobenen Kunststoffwannen, dazu eine niedrigere Stufe mit Ablage und Wanne, die als Sitzfläche dient.</t>
        </is>
      </c>
      <c r="G336" s="15" t="inlineStr">
        <is>
          <t>Kita-Ausstattung</t>
        </is>
      </c>
      <c r="H336" s="15" t="inlineStr">
        <is>
          <t>Schlafraum</t>
        </is>
      </c>
      <c r="I336" s="15" t="inlineStr">
        <is>
          <t>B</t>
        </is>
      </c>
      <c r="J336" s="17" t="n">
        <v>1</v>
      </c>
      <c r="K336" s="17" t="n"/>
      <c r="L336" s="18">
        <f>J336-IF(K336="",0,K336)</f>
        <v/>
      </c>
      <c r="M336" s="15" t="inlineStr">
        <is>
          <t>Stück</t>
        </is>
      </c>
      <c r="N336" s="15" t="inlineStr">
        <is>
          <t>gebraucht</t>
        </is>
      </c>
      <c r="O336" s="19" t="n"/>
      <c r="P336" s="19" t="inlineStr">
        <is>
          <t>ja</t>
        </is>
      </c>
      <c r="Q336" s="19" t="n"/>
      <c r="R336" s="20" t="n"/>
      <c r="S336" s="20" t="n">
        <v>60</v>
      </c>
      <c r="T336" s="19" t="inlineStr">
        <is>
          <t>VHB</t>
        </is>
      </c>
      <c r="U336" s="21">
        <f>L336*S336</f>
        <v/>
      </c>
      <c r="V336" s="15" t="inlineStr">
        <is>
          <t>nur Abholung</t>
        </is>
      </c>
      <c r="W336" s="15" t="inlineStr">
        <is>
          <t>F-412</t>
        </is>
      </c>
      <c r="X336" s="19" t="inlineStr">
        <is>
          <t>ja</t>
        </is>
      </c>
      <c r="Y336" s="19" t="n"/>
      <c r="Z336" s="19" t="inlineStr">
        <is>
          <t>verfügbar</t>
        </is>
      </c>
      <c r="AA336" s="19" t="n"/>
      <c r="AB336" s="19" t="n"/>
      <c r="AC336" s="19" t="n"/>
      <c r="AD336" s="19" t="n"/>
      <c r="AE336" s="20" t="n"/>
      <c r="AF336" s="21">
        <f>IF(K336="","",K336*AE336)</f>
        <v/>
      </c>
      <c r="AG336" s="19" t="n"/>
      <c r="AH336" s="19" t="n"/>
      <c r="AI336" s="19" t="n"/>
      <c r="AJ336" s="19" t="n"/>
      <c r="AK336" s="19" t="n"/>
      <c r="AL336" s="19" t="n"/>
      <c r="AM336" s="16" t="inlineStr">
        <is>
          <t>1 Regal einschließlich der Wannen. Der Inhalt gehört nicht dazu.</t>
        </is>
      </c>
      <c r="AN336" s="22" t="n"/>
    </row>
    <row r="337" ht="30" customHeight="1">
      <c r="A337" s="15" t="inlineStr">
        <is>
          <t>BU05-04</t>
        </is>
      </c>
      <c r="B337" s="15" t="n"/>
      <c r="C337" s="15" t="n"/>
      <c r="D337" s="15" t="inlineStr">
        <is>
          <t>BU05</t>
        </is>
      </c>
      <c r="E337" s="15" t="inlineStr">
        <is>
          <t>Schaukeltier Storch</t>
        </is>
      </c>
      <c r="F337" s="16" t="inlineStr">
        <is>
          <t>Plüsch-Schaukeltier in Storchenform: weißer Körper mit rotem Schnabel, gelber Zipfelmütze mit Bommeln und rot-weiß gepunktetem Sattel mit Haltegriff, auf hellen Holzkufen.</t>
        </is>
      </c>
      <c r="G337" s="15" t="inlineStr">
        <is>
          <t>Kita-Ausstattung</t>
        </is>
      </c>
      <c r="H337" s="15" t="inlineStr">
        <is>
          <t>Schlafraum</t>
        </is>
      </c>
      <c r="I337" s="15" t="inlineStr">
        <is>
          <t>C</t>
        </is>
      </c>
      <c r="J337" s="17" t="n">
        <v>1</v>
      </c>
      <c r="K337" s="17" t="n"/>
      <c r="L337" s="18">
        <f>J337-IF(K337="",0,K337)</f>
        <v/>
      </c>
      <c r="M337" s="15" t="inlineStr">
        <is>
          <t>Stück</t>
        </is>
      </c>
      <c r="N337" s="15" t="inlineStr">
        <is>
          <t>gebraucht</t>
        </is>
      </c>
      <c r="O337" s="19" t="n"/>
      <c r="P337" s="19" t="inlineStr">
        <is>
          <t>ja</t>
        </is>
      </c>
      <c r="Q337" s="19" t="n"/>
      <c r="R337" s="20" t="n"/>
      <c r="S337" s="20" t="n">
        <v>45</v>
      </c>
      <c r="T337" s="19" t="inlineStr">
        <is>
          <t>VHB</t>
        </is>
      </c>
      <c r="U337" s="21">
        <f>L337*S337</f>
        <v/>
      </c>
      <c r="V337" s="15" t="inlineStr">
        <is>
          <t>nur Abholung</t>
        </is>
      </c>
      <c r="W337" s="15" t="inlineStr">
        <is>
          <t>F-413</t>
        </is>
      </c>
      <c r="X337" s="19" t="inlineStr">
        <is>
          <t>ja</t>
        </is>
      </c>
      <c r="Y337" s="19" t="n"/>
      <c r="Z337" s="19" t="inlineStr">
        <is>
          <t>verfügbar</t>
        </is>
      </c>
      <c r="AA337" s="19" t="n"/>
      <c r="AB337" s="19" t="n"/>
      <c r="AC337" s="19" t="n"/>
      <c r="AD337" s="19" t="n"/>
      <c r="AE337" s="20" t="n"/>
      <c r="AF337" s="21">
        <f>IF(K337="","",K337*AE337)</f>
        <v/>
      </c>
      <c r="AG337" s="19" t="n"/>
      <c r="AH337" s="19" t="n"/>
      <c r="AI337" s="19" t="n"/>
      <c r="AJ337" s="19" t="n"/>
      <c r="AK337" s="19" t="n"/>
      <c r="AL337" s="19" t="n"/>
      <c r="AM337" s="16" t="inlineStr">
        <is>
          <t>1 Schaukeltier.</t>
        </is>
      </c>
      <c r="AN337" s="22" t="n"/>
    </row>
    <row r="338" ht="30" customHeight="1">
      <c r="A338" s="15" t="inlineStr">
        <is>
          <t>BU05-05</t>
        </is>
      </c>
      <c r="B338" s="15" t="n"/>
      <c r="C338" s="15" t="n"/>
      <c r="D338" s="15" t="inlineStr">
        <is>
          <t>BU05</t>
        </is>
      </c>
      <c r="E338" s="15" t="inlineStr">
        <is>
          <t>Kindersessel Teddyfell beige</t>
        </is>
      </c>
      <c r="F338" s="16" t="inlineStr">
        <is>
          <t>Kindersessel aus beigem Teddyfell mit runder Lehne, zwei aufgesetzten Ohren und breiten Armlehnen. Am Rücken ein Tragegriff; das Band am Griff ist eingerissen.</t>
        </is>
      </c>
      <c r="G338" s="15" t="inlineStr">
        <is>
          <t>Möbel</t>
        </is>
      </c>
      <c r="H338" s="15" t="inlineStr">
        <is>
          <t>Schlafraum</t>
        </is>
      </c>
      <c r="I338" s="15" t="inlineStr">
        <is>
          <t>C</t>
        </is>
      </c>
      <c r="J338" s="17" t="n">
        <v>1</v>
      </c>
      <c r="K338" s="17" t="n"/>
      <c r="L338" s="18">
        <f>J338-IF(K338="",0,K338)</f>
        <v/>
      </c>
      <c r="M338" s="15" t="inlineStr">
        <is>
          <t>Stück</t>
        </is>
      </c>
      <c r="N338" s="15" t="inlineStr">
        <is>
          <t>gebraucht</t>
        </is>
      </c>
      <c r="O338" s="19" t="n"/>
      <c r="P338" s="19" t="inlineStr">
        <is>
          <t>ja</t>
        </is>
      </c>
      <c r="Q338" s="19" t="n"/>
      <c r="R338" s="20" t="n"/>
      <c r="S338" s="20" t="n">
        <v>45</v>
      </c>
      <c r="T338" s="19" t="inlineStr">
        <is>
          <t>VHB</t>
        </is>
      </c>
      <c r="U338" s="21">
        <f>L338*S338</f>
        <v/>
      </c>
      <c r="V338" s="15" t="inlineStr">
        <is>
          <t>nur Abholung</t>
        </is>
      </c>
      <c r="W338" s="15" t="inlineStr">
        <is>
          <t>F-414</t>
        </is>
      </c>
      <c r="X338" s="19" t="inlineStr">
        <is>
          <t>ja</t>
        </is>
      </c>
      <c r="Y338" s="19" t="n"/>
      <c r="Z338" s="19" t="inlineStr">
        <is>
          <t>verfügbar</t>
        </is>
      </c>
      <c r="AA338" s="19" t="n"/>
      <c r="AB338" s="19" t="n"/>
      <c r="AC338" s="19" t="n"/>
      <c r="AD338" s="19" t="n"/>
      <c r="AE338" s="20" t="n"/>
      <c r="AF338" s="21">
        <f>IF(K338="","",K338*AE338)</f>
        <v/>
      </c>
      <c r="AG338" s="19" t="n"/>
      <c r="AH338" s="19" t="n"/>
      <c r="AI338" s="19" t="n"/>
      <c r="AJ338" s="19" t="n"/>
      <c r="AK338" s="19" t="n"/>
      <c r="AL338" s="19" t="n"/>
      <c r="AM338" s="16" t="inlineStr">
        <is>
          <t>1 Sessel.</t>
        </is>
      </c>
      <c r="AN338" s="22" t="n"/>
    </row>
    <row r="339" ht="30" customHeight="1">
      <c r="A339" s="15" t="inlineStr">
        <is>
          <t>BU05-06</t>
        </is>
      </c>
      <c r="B339" s="15" t="n"/>
      <c r="C339" s="15" t="n"/>
      <c r="D339" s="15" t="inlineStr">
        <is>
          <t>BU05</t>
        </is>
      </c>
      <c r="E339" s="15" t="inlineStr">
        <is>
          <t>Sitzbank gepolstert, hellgrau</t>
        </is>
      </c>
      <c r="F339" s="16" t="inlineStr">
        <is>
          <t>Niedrige gepolsterte Sitzbank in Kinderhöhe mit hellgrauem Chenillebezug und flacher Rückenlehne, ohne Armlehnen. Der Bezug ist an mehreren Stellen fleckig.</t>
        </is>
      </c>
      <c r="G339" s="15" t="inlineStr">
        <is>
          <t>Möbel</t>
        </is>
      </c>
      <c r="H339" s="15" t="inlineStr">
        <is>
          <t>Schlafraum</t>
        </is>
      </c>
      <c r="I339" s="15" t="inlineStr">
        <is>
          <t>B</t>
        </is>
      </c>
      <c r="J339" s="17" t="n">
        <v>2</v>
      </c>
      <c r="K339" s="17" t="n"/>
      <c r="L339" s="18">
        <f>J339-IF(K339="",0,K339)</f>
        <v/>
      </c>
      <c r="M339" s="15" t="inlineStr">
        <is>
          <t>Stück</t>
        </is>
      </c>
      <c r="N339" s="15" t="inlineStr">
        <is>
          <t>gebraucht</t>
        </is>
      </c>
      <c r="O339" s="19" t="n"/>
      <c r="P339" s="19" t="inlineStr">
        <is>
          <t>ja</t>
        </is>
      </c>
      <c r="Q339" s="19" t="n"/>
      <c r="R339" s="20" t="n"/>
      <c r="S339" s="20" t="n">
        <v>80</v>
      </c>
      <c r="T339" s="19" t="inlineStr">
        <is>
          <t>VHB</t>
        </is>
      </c>
      <c r="U339" s="21">
        <f>L339*S339</f>
        <v/>
      </c>
      <c r="V339" s="15" t="inlineStr">
        <is>
          <t>nur Abholung</t>
        </is>
      </c>
      <c r="W339" s="15" t="inlineStr">
        <is>
          <t>F-415</t>
        </is>
      </c>
      <c r="X339" s="19" t="inlineStr">
        <is>
          <t>ja</t>
        </is>
      </c>
      <c r="Y339" s="19" t="n"/>
      <c r="Z339" s="19" t="inlineStr">
        <is>
          <t>verfügbar</t>
        </is>
      </c>
      <c r="AA339" s="19" t="n"/>
      <c r="AB339" s="19" t="n"/>
      <c r="AC339" s="19" t="n"/>
      <c r="AD339" s="19" t="n"/>
      <c r="AE339" s="20" t="n"/>
      <c r="AF339" s="21">
        <f>IF(K339="","",K339*AE339)</f>
        <v/>
      </c>
      <c r="AG339" s="19" t="n"/>
      <c r="AH339" s="19" t="n"/>
      <c r="AI339" s="19" t="n"/>
      <c r="AJ339" s="19" t="n"/>
      <c r="AK339" s="19" t="n"/>
      <c r="AL339" s="19" t="n"/>
      <c r="AM339" s="16" t="inlineStr">
        <is>
          <t>2 Bänke – abgebildet ist eine davon.</t>
        </is>
      </c>
      <c r="AN339" s="22" t="n"/>
    </row>
    <row r="340" ht="30" customHeight="1">
      <c r="A340" s="15" t="inlineStr">
        <is>
          <t>BU05-07</t>
        </is>
      </c>
      <c r="B340" s="15" t="n"/>
      <c r="C340" s="15" t="n"/>
      <c r="D340" s="15" t="inlineStr">
        <is>
          <t>BU05</t>
        </is>
      </c>
      <c r="E340" s="15" t="inlineStr">
        <is>
          <t>Puppenwagen rosa mit Tragetasche</t>
        </is>
      </c>
      <c r="F340" s="16" t="inlineStr">
        <is>
          <t>Puppen-Sportwagen mit rosa-weiß gestreiftem Bezug, blauem Verdeck und höhenverstellbarem Schiebegriff, dazu eine passende Tragetasche. Der Griff ist an mehreren Stellen aufgerissen.</t>
        </is>
      </c>
      <c r="G340" s="15" t="inlineStr">
        <is>
          <t>Kita-Ausstattung</t>
        </is>
      </c>
      <c r="H340" s="15" t="inlineStr">
        <is>
          <t>Schlafraum</t>
        </is>
      </c>
      <c r="I340" s="15" t="inlineStr">
        <is>
          <t>C</t>
        </is>
      </c>
      <c r="J340" s="17" t="n">
        <v>1</v>
      </c>
      <c r="K340" s="17" t="n"/>
      <c r="L340" s="18">
        <f>J340-IF(K340="",0,K340)</f>
        <v/>
      </c>
      <c r="M340" s="15" t="inlineStr">
        <is>
          <t>Stück</t>
        </is>
      </c>
      <c r="N340" s="15" t="inlineStr">
        <is>
          <t>stark gebraucht</t>
        </is>
      </c>
      <c r="O340" s="19" t="n"/>
      <c r="P340" s="19" t="inlineStr">
        <is>
          <t>ja</t>
        </is>
      </c>
      <c r="Q340" s="19" t="n"/>
      <c r="R340" s="20" t="n"/>
      <c r="S340" s="20" t="n">
        <v>25</v>
      </c>
      <c r="T340" s="19" t="inlineStr">
        <is>
          <t>VHB</t>
        </is>
      </c>
      <c r="U340" s="21">
        <f>L340*S340</f>
        <v/>
      </c>
      <c r="V340" s="15" t="inlineStr">
        <is>
          <t>nur Abholung</t>
        </is>
      </c>
      <c r="W340" s="15" t="inlineStr">
        <is>
          <t>F-417</t>
        </is>
      </c>
      <c r="X340" s="19" t="inlineStr">
        <is>
          <t>ja</t>
        </is>
      </c>
      <c r="Y340" s="19" t="n"/>
      <c r="Z340" s="19" t="inlineStr">
        <is>
          <t>verfügbar</t>
        </is>
      </c>
      <c r="AA340" s="19" t="n"/>
      <c r="AB340" s="19" t="n"/>
      <c r="AC340" s="19" t="n"/>
      <c r="AD340" s="19" t="n"/>
      <c r="AE340" s="20" t="n"/>
      <c r="AF340" s="21">
        <f>IF(K340="","",K340*AE340)</f>
        <v/>
      </c>
      <c r="AG340" s="19" t="n"/>
      <c r="AH340" s="19" t="n"/>
      <c r="AI340" s="19" t="n"/>
      <c r="AJ340" s="19" t="n"/>
      <c r="AK340" s="19" t="n"/>
      <c r="AL340" s="19" t="n"/>
      <c r="AM340" s="16" t="inlineStr">
        <is>
          <t>1 Wagen einschließlich Tragetasche. Die Puppe gehört nicht dazu; sie ist auf Foto F-416 mit abgebildet.</t>
        </is>
      </c>
      <c r="AN340" s="22" t="n"/>
    </row>
    <row r="341" ht="30" customHeight="1">
      <c r="A341" s="15" t="inlineStr">
        <is>
          <t>BU05-09</t>
        </is>
      </c>
      <c r="B341" s="15" t="n"/>
      <c r="C341" s="15" t="n"/>
      <c r="D341" s="15" t="inlineStr">
        <is>
          <t>BU05</t>
        </is>
      </c>
      <c r="E341" s="15" t="inlineStr">
        <is>
          <t>Puppenwagen Holz mit Gummirädern</t>
        </is>
      </c>
      <c r="F341" s="16" t="inlineStr">
        <is>
          <t>Puppen- und Lauflernwagen von Wesco aus Birke-Multiplex mit hohem Schiebebügel und vier schwarzen Gummirädern.</t>
        </is>
      </c>
      <c r="G341" s="15" t="inlineStr">
        <is>
          <t>Kita-Ausstattung</t>
        </is>
      </c>
      <c r="H341" s="15" t="inlineStr">
        <is>
          <t>Schlafraum</t>
        </is>
      </c>
      <c r="I341" s="15" t="inlineStr">
        <is>
          <t>B</t>
        </is>
      </c>
      <c r="J341" s="17" t="n">
        <v>1</v>
      </c>
      <c r="K341" s="17" t="n"/>
      <c r="L341" s="18">
        <f>J341-IF(K341="",0,K341)</f>
        <v/>
      </c>
      <c r="M341" s="15" t="inlineStr">
        <is>
          <t>Stück</t>
        </is>
      </c>
      <c r="N341" s="15" t="inlineStr">
        <is>
          <t>gebraucht</t>
        </is>
      </c>
      <c r="O341" s="19" t="n"/>
      <c r="P341" s="19" t="inlineStr">
        <is>
          <t>ja</t>
        </is>
      </c>
      <c r="Q341" s="19" t="n"/>
      <c r="R341" s="20" t="n"/>
      <c r="S341" s="20" t="n">
        <v>60</v>
      </c>
      <c r="T341" s="19" t="inlineStr">
        <is>
          <t>VHB</t>
        </is>
      </c>
      <c r="U341" s="21">
        <f>L341*S341</f>
        <v/>
      </c>
      <c r="V341" s="15" t="inlineStr">
        <is>
          <t>nur Abholung</t>
        </is>
      </c>
      <c r="W341" s="15" t="inlineStr">
        <is>
          <t>F-420</t>
        </is>
      </c>
      <c r="X341" s="19" t="inlineStr">
        <is>
          <t>ja</t>
        </is>
      </c>
      <c r="Y341" s="19" t="n"/>
      <c r="Z341" s="19" t="inlineStr">
        <is>
          <t>verfügbar</t>
        </is>
      </c>
      <c r="AA341" s="19" t="inlineStr">
        <is>
          <t>Wesco</t>
        </is>
      </c>
      <c r="AB341" s="19" t="n"/>
      <c r="AC341" s="19" t="n"/>
      <c r="AD341" s="19" t="n"/>
      <c r="AE341" s="20" t="n"/>
      <c r="AF341" s="21">
        <f>IF(K341="","",K341*AE341)</f>
        <v/>
      </c>
      <c r="AG341" s="19" t="n"/>
      <c r="AH341" s="19" t="n"/>
      <c r="AI341" s="19" t="n"/>
      <c r="AJ341" s="19" t="n"/>
      <c r="AK341" s="19" t="n"/>
      <c r="AL341" s="19" t="n"/>
      <c r="AM341" s="16" t="inlineStr">
        <is>
          <t>1 Wagen. Puppe, Kissen und Decke gehören nicht dazu.</t>
        </is>
      </c>
      <c r="AN341" s="22" t="n"/>
    </row>
    <row r="342" ht="30" customHeight="1">
      <c r="A342" s="15" t="inlineStr">
        <is>
          <t>BU05-10</t>
        </is>
      </c>
      <c r="B342" s="15" t="n"/>
      <c r="C342" s="15" t="n"/>
      <c r="D342" s="15" t="inlineStr">
        <is>
          <t>BU05</t>
        </is>
      </c>
      <c r="E342" s="15" t="inlineStr">
        <is>
          <t>Wesco Rutschfahrzeug mit Spielelementen</t>
        </is>
      </c>
      <c r="F342" s="16" t="inlineStr">
        <is>
          <t>Rutschfahrzeug aus Birke-Multiplex mit gepolsterter Sitzfläche, Steckformen im Sitz, Rückenlehne mit rundem Spiegel und seitlichen Zahnrädern zum Drehen, auf vier Gummirädern. Logo auf der Frontblende: wesco.</t>
        </is>
      </c>
      <c r="G342" s="15" t="inlineStr">
        <is>
          <t>Kita-Ausstattung</t>
        </is>
      </c>
      <c r="H342" s="15" t="inlineStr">
        <is>
          <t>Schlafraum</t>
        </is>
      </c>
      <c r="I342" s="15" t="inlineStr">
        <is>
          <t>B</t>
        </is>
      </c>
      <c r="J342" s="17" t="n">
        <v>1</v>
      </c>
      <c r="K342" s="17" t="n"/>
      <c r="L342" s="18">
        <f>J342-IF(K342="",0,K342)</f>
        <v/>
      </c>
      <c r="M342" s="15" t="inlineStr">
        <is>
          <t>Stück</t>
        </is>
      </c>
      <c r="N342" s="15" t="inlineStr">
        <is>
          <t>gebraucht</t>
        </is>
      </c>
      <c r="O342" s="19" t="n"/>
      <c r="P342" s="19" t="inlineStr">
        <is>
          <t>ja</t>
        </is>
      </c>
      <c r="Q342" s="19" t="n"/>
      <c r="R342" s="20" t="n"/>
      <c r="S342" s="20" t="n">
        <v>90</v>
      </c>
      <c r="T342" s="19" t="inlineStr">
        <is>
          <t>VHB</t>
        </is>
      </c>
      <c r="U342" s="21">
        <f>L342*S342</f>
        <v/>
      </c>
      <c r="V342" s="15" t="inlineStr">
        <is>
          <t>nur Abholung</t>
        </is>
      </c>
      <c r="W342" s="15" t="inlineStr">
        <is>
          <t>F-421</t>
        </is>
      </c>
      <c r="X342" s="19" t="inlineStr">
        <is>
          <t>ja</t>
        </is>
      </c>
      <c r="Y342" s="19" t="n"/>
      <c r="Z342" s="19" t="inlineStr">
        <is>
          <t>verfügbar</t>
        </is>
      </c>
      <c r="AA342" s="19" t="inlineStr">
        <is>
          <t>Wesco</t>
        </is>
      </c>
      <c r="AB342" s="19" t="n"/>
      <c r="AC342" s="19" t="n"/>
      <c r="AD342" s="19" t="n"/>
      <c r="AE342" s="20" t="n"/>
      <c r="AF342" s="21">
        <f>IF(K342="","",K342*AE342)</f>
        <v/>
      </c>
      <c r="AG342" s="19" t="n"/>
      <c r="AH342" s="19" t="n"/>
      <c r="AI342" s="19" t="n"/>
      <c r="AJ342" s="19" t="n"/>
      <c r="AK342" s="19" t="n"/>
      <c r="AL342" s="19" t="n"/>
      <c r="AM342" s="16" t="inlineStr">
        <is>
          <t>1 Fahrzeug.</t>
        </is>
      </c>
      <c r="AN342" s="22" t="n"/>
    </row>
    <row r="343" ht="30" customHeight="1">
      <c r="A343" s="15" t="inlineStr">
        <is>
          <t>BU06-05</t>
        </is>
      </c>
      <c r="B343" s="15" t="n"/>
      <c r="C343" s="15" t="n"/>
      <c r="D343" s="15" t="inlineStr">
        <is>
          <t>BU06</t>
        </is>
      </c>
      <c r="E343" s="15" t="inlineStr">
        <is>
          <t>Lernturm Holz natur</t>
        </is>
      </c>
      <c r="F343" s="16" t="inlineStr">
        <is>
          <t>Küchen-Lernturm aus hellem Multiplex: Standfläche in Arbeitshöhe, umlaufende Brüstung mit Griffausschnitten und eine tiefer liegende Aufstiegsstufe. Kanten an mehreren Stellen abgestoßen.</t>
        </is>
      </c>
      <c r="G343" s="15" t="inlineStr">
        <is>
          <t>Kita-Ausstattung</t>
        </is>
      </c>
      <c r="H343" s="15" t="inlineStr">
        <is>
          <t>Küche / Essen</t>
        </is>
      </c>
      <c r="I343" s="15" t="inlineStr">
        <is>
          <t>B</t>
        </is>
      </c>
      <c r="J343" s="17" t="n">
        <v>1</v>
      </c>
      <c r="K343" s="17" t="n"/>
      <c r="L343" s="18">
        <f>J343-IF(K343="",0,K343)</f>
        <v/>
      </c>
      <c r="M343" s="15" t="inlineStr">
        <is>
          <t>Stück</t>
        </is>
      </c>
      <c r="N343" s="15" t="inlineStr">
        <is>
          <t>gebraucht</t>
        </is>
      </c>
      <c r="O343" s="19" t="n"/>
      <c r="P343" s="19" t="inlineStr">
        <is>
          <t>ja</t>
        </is>
      </c>
      <c r="Q343" s="19" t="n"/>
      <c r="R343" s="20" t="n"/>
      <c r="S343" s="20" t="n">
        <v>70</v>
      </c>
      <c r="T343" s="19" t="inlineStr">
        <is>
          <t>VHB</t>
        </is>
      </c>
      <c r="U343" s="21">
        <f>L343*S343</f>
        <v/>
      </c>
      <c r="V343" s="15" t="inlineStr">
        <is>
          <t>nur Abholung</t>
        </is>
      </c>
      <c r="W343" s="15" t="inlineStr">
        <is>
          <t>F-427</t>
        </is>
      </c>
      <c r="X343" s="19" t="inlineStr">
        <is>
          <t>ja</t>
        </is>
      </c>
      <c r="Y343" s="19" t="n"/>
      <c r="Z343" s="19" t="inlineStr">
        <is>
          <t>verfügbar</t>
        </is>
      </c>
      <c r="AA343" s="19" t="n"/>
      <c r="AB343" s="19" t="n"/>
      <c r="AC343" s="19" t="n"/>
      <c r="AD343" s="19" t="n"/>
      <c r="AE343" s="20" t="n"/>
      <c r="AF343" s="21">
        <f>IF(K343="","",K343*AE343)</f>
        <v/>
      </c>
      <c r="AG343" s="19" t="n"/>
      <c r="AH343" s="19" t="n"/>
      <c r="AI343" s="19" t="n"/>
      <c r="AJ343" s="19" t="n"/>
      <c r="AK343" s="19" t="n"/>
      <c r="AL343" s="19" t="n"/>
      <c r="AM343" s="16" t="inlineStr">
        <is>
          <t>1 Lernturm. Ein zweiter in Weiß steht unter BU06-06.</t>
        </is>
      </c>
      <c r="AN343" s="22" t="n"/>
    </row>
    <row r="344" ht="30" customHeight="1">
      <c r="A344" s="15" t="inlineStr">
        <is>
          <t>BU06-06</t>
        </is>
      </c>
      <c r="B344" s="15" t="n"/>
      <c r="C344" s="15" t="n"/>
      <c r="D344" s="15" t="inlineStr">
        <is>
          <t>BU06</t>
        </is>
      </c>
      <c r="E344" s="15" t="inlineStr">
        <is>
          <t>Lernturm Holz weiß</t>
        </is>
      </c>
      <c r="F344" s="16" t="inlineStr">
        <is>
          <t>Küchen-Lernturm aus weiß lackiertem Multiplex: Standfläche in Arbeitshöhe, hohe Rückwand, Haltestange vorne und eine tiefer liegende Aufstiegsstufe.</t>
        </is>
      </c>
      <c r="G344" s="15" t="inlineStr">
        <is>
          <t>Kita-Ausstattung</t>
        </is>
      </c>
      <c r="H344" s="15" t="inlineStr">
        <is>
          <t>Küche / Essen</t>
        </is>
      </c>
      <c r="I344" s="15" t="inlineStr">
        <is>
          <t>B</t>
        </is>
      </c>
      <c r="J344" s="17" t="n">
        <v>1</v>
      </c>
      <c r="K344" s="17" t="n"/>
      <c r="L344" s="18">
        <f>J344-IF(K344="",0,K344)</f>
        <v/>
      </c>
      <c r="M344" s="15" t="inlineStr">
        <is>
          <t>Stück</t>
        </is>
      </c>
      <c r="N344" s="15" t="inlineStr">
        <is>
          <t>gebraucht</t>
        </is>
      </c>
      <c r="O344" s="19" t="n"/>
      <c r="P344" s="19" t="inlineStr">
        <is>
          <t>ja</t>
        </is>
      </c>
      <c r="Q344" s="19" t="n"/>
      <c r="R344" s="20" t="n"/>
      <c r="S344" s="20" t="n">
        <v>70</v>
      </c>
      <c r="T344" s="19" t="inlineStr">
        <is>
          <t>VHB</t>
        </is>
      </c>
      <c r="U344" s="21">
        <f>L344*S344</f>
        <v/>
      </c>
      <c r="V344" s="15" t="inlineStr">
        <is>
          <t>nur Abholung</t>
        </is>
      </c>
      <c r="W344" s="15" t="inlineStr">
        <is>
          <t>F-428</t>
        </is>
      </c>
      <c r="X344" s="19" t="inlineStr">
        <is>
          <t>ja</t>
        </is>
      </c>
      <c r="Y344" s="19" t="n"/>
      <c r="Z344" s="19" t="inlineStr">
        <is>
          <t>verfügbar</t>
        </is>
      </c>
      <c r="AA344" s="19" t="n"/>
      <c r="AB344" s="19" t="n"/>
      <c r="AC344" s="19" t="n"/>
      <c r="AD344" s="19" t="n"/>
      <c r="AE344" s="20" t="n"/>
      <c r="AF344" s="21">
        <f>IF(K344="","",K344*AE344)</f>
        <v/>
      </c>
      <c r="AG344" s="19" t="n"/>
      <c r="AH344" s="19" t="n"/>
      <c r="AI344" s="19" t="n"/>
      <c r="AJ344" s="19" t="n"/>
      <c r="AK344" s="19" t="n"/>
      <c r="AL344" s="19" t="n"/>
      <c r="AM344" s="16" t="inlineStr">
        <is>
          <t>1 Lernturm. Ein zweiter in Natur steht unter BU06-05.</t>
        </is>
      </c>
      <c r="AN344" s="22" t="n"/>
    </row>
    <row r="345" ht="30" customHeight="1">
      <c r="A345" s="15" t="inlineStr">
        <is>
          <t>BU06-07</t>
        </is>
      </c>
      <c r="B345" s="15" t="n"/>
      <c r="C345" s="15" t="n"/>
      <c r="D345" s="15" t="inlineStr">
        <is>
          <t>BU06</t>
        </is>
      </c>
      <c r="E345" s="15" t="inlineStr">
        <is>
          <t>Rollschrank dunkelgrau, acht Fächer</t>
        </is>
      </c>
      <c r="F345" s="16" t="inlineStr">
        <is>
          <t>Regal in Dunkelgrau mit acht Fächern in zwei Reihen, drei Fächer mit Türen und Metallgriffen, auf Rollen.</t>
        </is>
      </c>
      <c r="G345" s="15" t="inlineStr">
        <is>
          <t>Möbel</t>
        </is>
      </c>
      <c r="H345" s="15" t="inlineStr">
        <is>
          <t>Küche / Essen</t>
        </is>
      </c>
      <c r="I345" s="15" t="inlineStr">
        <is>
          <t>B</t>
        </is>
      </c>
      <c r="J345" s="17" t="n">
        <v>1</v>
      </c>
      <c r="K345" s="17" t="n"/>
      <c r="L345" s="18">
        <f>J345-IF(K345="",0,K345)</f>
        <v/>
      </c>
      <c r="M345" s="15" t="inlineStr">
        <is>
          <t>Stück</t>
        </is>
      </c>
      <c r="N345" s="15" t="inlineStr">
        <is>
          <t>gebraucht</t>
        </is>
      </c>
      <c r="O345" s="19" t="n"/>
      <c r="P345" s="19" t="inlineStr">
        <is>
          <t>ja</t>
        </is>
      </c>
      <c r="Q345" s="19" t="n"/>
      <c r="R345" s="20" t="n"/>
      <c r="S345" s="20" t="n">
        <v>70</v>
      </c>
      <c r="T345" s="19" t="inlineStr">
        <is>
          <t>VHB</t>
        </is>
      </c>
      <c r="U345" s="21">
        <f>L345*S345</f>
        <v/>
      </c>
      <c r="V345" s="15" t="inlineStr">
        <is>
          <t>nur Abholung</t>
        </is>
      </c>
      <c r="W345" s="15" t="inlineStr">
        <is>
          <t>F-429</t>
        </is>
      </c>
      <c r="X345" s="19" t="inlineStr">
        <is>
          <t>ja</t>
        </is>
      </c>
      <c r="Y345" s="19" t="n"/>
      <c r="Z345" s="19" t="inlineStr">
        <is>
          <t>verfügbar</t>
        </is>
      </c>
      <c r="AA345" s="19" t="n"/>
      <c r="AB345" s="19" t="n"/>
      <c r="AC345" s="19" t="n"/>
      <c r="AD345" s="19" t="n"/>
      <c r="AE345" s="20" t="n"/>
      <c r="AF345" s="21">
        <f>IF(K345="","",K345*AE345)</f>
        <v/>
      </c>
      <c r="AG345" s="19" t="n"/>
      <c r="AH345" s="19" t="n"/>
      <c r="AI345" s="19" t="n"/>
      <c r="AJ345" s="19" t="n"/>
      <c r="AK345" s="19" t="n"/>
      <c r="AL345" s="19" t="n"/>
      <c r="AM345" s="16" t="inlineStr">
        <is>
          <t>1 Schrank. Der Inhalt gehört nicht dazu.</t>
        </is>
      </c>
      <c r="AN345" s="22" t="n"/>
    </row>
    <row r="346" ht="30" customHeight="1">
      <c r="A346" s="15" t="inlineStr">
        <is>
          <t>BU06-08</t>
        </is>
      </c>
      <c r="B346" s="15" t="n"/>
      <c r="C346" s="15" t="n"/>
      <c r="D346" s="15" t="inlineStr">
        <is>
          <t>BU06</t>
        </is>
      </c>
      <c r="E346" s="15" t="inlineStr">
        <is>
          <t>Abfallbehälter Metall schwarz</t>
        </is>
      </c>
      <c r="F346" s="16" t="inlineStr">
        <is>
          <t>Hoher runder Abfallbehälter aus schwarz lackiertem Metall mit Inneneimer.</t>
        </is>
      </c>
      <c r="G346" s="15" t="inlineStr">
        <is>
          <t>Sonstiges</t>
        </is>
      </c>
      <c r="H346" s="15" t="inlineStr">
        <is>
          <t>Küche / Essen</t>
        </is>
      </c>
      <c r="I346" s="15" t="inlineStr">
        <is>
          <t>C</t>
        </is>
      </c>
      <c r="J346" s="17" t="n">
        <v>2</v>
      </c>
      <c r="K346" s="17" t="n"/>
      <c r="L346" s="18">
        <f>J346-IF(K346="",0,K346)</f>
        <v/>
      </c>
      <c r="M346" s="15" t="inlineStr">
        <is>
          <t>Stück</t>
        </is>
      </c>
      <c r="N346" s="15" t="inlineStr">
        <is>
          <t>gebraucht</t>
        </is>
      </c>
      <c r="O346" s="19" t="n"/>
      <c r="P346" s="19" t="inlineStr">
        <is>
          <t>ja</t>
        </is>
      </c>
      <c r="Q346" s="19" t="n"/>
      <c r="R346" s="20" t="n"/>
      <c r="S346" s="20" t="n">
        <v>45</v>
      </c>
      <c r="T346" s="19" t="inlineStr">
        <is>
          <t>VHB</t>
        </is>
      </c>
      <c r="U346" s="21">
        <f>L346*S346</f>
        <v/>
      </c>
      <c r="V346" s="15" t="inlineStr">
        <is>
          <t>nur Abholung</t>
        </is>
      </c>
      <c r="W346" s="15" t="inlineStr">
        <is>
          <t>F-430</t>
        </is>
      </c>
      <c r="X346" s="19" t="inlineStr">
        <is>
          <t>ja</t>
        </is>
      </c>
      <c r="Y346" s="19" t="n"/>
      <c r="Z346" s="19" t="inlineStr">
        <is>
          <t>verfügbar</t>
        </is>
      </c>
      <c r="AA346" s="19" t="n"/>
      <c r="AB346" s="19" t="n"/>
      <c r="AC346" s="19" t="n"/>
      <c r="AD346" s="19" t="n"/>
      <c r="AE346" s="20" t="n"/>
      <c r="AF346" s="21">
        <f>IF(K346="","",K346*AE346)</f>
        <v/>
      </c>
      <c r="AG346" s="19" t="n"/>
      <c r="AH346" s="19" t="n"/>
      <c r="AI346" s="19" t="n"/>
      <c r="AJ346" s="19" t="n"/>
      <c r="AK346" s="19" t="n"/>
      <c r="AL346" s="19" t="n"/>
      <c r="AM346" s="16" t="inlineStr">
        <is>
          <t>2 Behälter – abgebildet ist einer davon. Ein weißer Behälter gleicher Bauart steht unter BU06-09.</t>
        </is>
      </c>
      <c r="AN346" s="22" t="n"/>
    </row>
    <row r="347" ht="30" customHeight="1">
      <c r="A347" s="15" t="inlineStr">
        <is>
          <t>BU06-09</t>
        </is>
      </c>
      <c r="B347" s="15" t="n"/>
      <c r="C347" s="15" t="n"/>
      <c r="D347" s="15" t="inlineStr">
        <is>
          <t>BU06</t>
        </is>
      </c>
      <c r="E347" s="15" t="inlineStr">
        <is>
          <t>Abfallbehälter Metall weiß mit Push-Deckel</t>
        </is>
      </c>
      <c r="F347" s="16" t="inlineStr">
        <is>
          <t>Hoher runder Abfallbehälter aus weiß lackiertem Metall mit verchromtem Push-Deckel.</t>
        </is>
      </c>
      <c r="G347" s="15" t="inlineStr">
        <is>
          <t>Sonstiges</t>
        </is>
      </c>
      <c r="H347" s="15" t="inlineStr">
        <is>
          <t>Küche / Essen</t>
        </is>
      </c>
      <c r="I347" s="15" t="inlineStr">
        <is>
          <t>C</t>
        </is>
      </c>
      <c r="J347" s="17" t="n">
        <v>1</v>
      </c>
      <c r="K347" s="17" t="n"/>
      <c r="L347" s="18">
        <f>J347-IF(K347="",0,K347)</f>
        <v/>
      </c>
      <c r="M347" s="15" t="inlineStr">
        <is>
          <t>Stück</t>
        </is>
      </c>
      <c r="N347" s="15" t="inlineStr">
        <is>
          <t>gebraucht</t>
        </is>
      </c>
      <c r="O347" s="19" t="n"/>
      <c r="P347" s="19" t="inlineStr">
        <is>
          <t>ja</t>
        </is>
      </c>
      <c r="Q347" s="19" t="n"/>
      <c r="R347" s="20" t="n"/>
      <c r="S347" s="20" t="n">
        <v>45</v>
      </c>
      <c r="T347" s="19" t="inlineStr">
        <is>
          <t>VHB</t>
        </is>
      </c>
      <c r="U347" s="21">
        <f>L347*S347</f>
        <v/>
      </c>
      <c r="V347" s="15" t="inlineStr">
        <is>
          <t>nur Abholung</t>
        </is>
      </c>
      <c r="W347" s="15" t="inlineStr">
        <is>
          <t>F-431</t>
        </is>
      </c>
      <c r="X347" s="19" t="inlineStr">
        <is>
          <t>ja</t>
        </is>
      </c>
      <c r="Y347" s="19" t="n"/>
      <c r="Z347" s="19" t="inlineStr">
        <is>
          <t>verfügbar</t>
        </is>
      </c>
      <c r="AA347" s="19" t="n"/>
      <c r="AB347" s="19" t="n"/>
      <c r="AC347" s="19" t="n"/>
      <c r="AD347" s="19" t="n"/>
      <c r="AE347" s="20" t="n"/>
      <c r="AF347" s="21">
        <f>IF(K347="","",K347*AE347)</f>
        <v/>
      </c>
      <c r="AG347" s="19" t="n"/>
      <c r="AH347" s="19" t="n"/>
      <c r="AI347" s="19" t="n"/>
      <c r="AJ347" s="19" t="n"/>
      <c r="AK347" s="19" t="n"/>
      <c r="AL347" s="19" t="n"/>
      <c r="AM347" s="16" t="inlineStr">
        <is>
          <t>1 Behälter. Zwei schwarze Behälter gleicher Bauart stehen unter BU06-08.</t>
        </is>
      </c>
      <c r="AN347" s="22" t="n"/>
    </row>
    <row r="348" ht="30" customHeight="1">
      <c r="A348" s="15" t="inlineStr">
        <is>
          <t>BU06-10</t>
        </is>
      </c>
      <c r="B348" s="15" t="n"/>
      <c r="C348" s="15" t="n"/>
      <c r="D348" s="15" t="inlineStr">
        <is>
          <t>BU06</t>
        </is>
      </c>
      <c r="E348" s="15" t="inlineStr">
        <is>
          <t>Servierwagen Edelstahl, drei Ebenen</t>
        </is>
      </c>
      <c r="F348" s="16" t="inlineStr">
        <is>
          <t>Servierwagen aus Edelstahl mit drei geschlossenen Ablageböden, umlaufenden Schiebegriffen und vier Lenkrollen, zwei davon feststellbar.</t>
        </is>
      </c>
      <c r="G348" s="15" t="inlineStr">
        <is>
          <t>Möbel</t>
        </is>
      </c>
      <c r="H348" s="15" t="inlineStr">
        <is>
          <t>Küche / Essen</t>
        </is>
      </c>
      <c r="I348" s="15" t="inlineStr">
        <is>
          <t>B</t>
        </is>
      </c>
      <c r="J348" s="17" t="n">
        <v>1</v>
      </c>
      <c r="K348" s="17" t="n"/>
      <c r="L348" s="18">
        <f>J348-IF(K348="",0,K348)</f>
        <v/>
      </c>
      <c r="M348" s="15" t="inlineStr">
        <is>
          <t>Stück</t>
        </is>
      </c>
      <c r="N348" s="15" t="inlineStr">
        <is>
          <t>gebraucht</t>
        </is>
      </c>
      <c r="O348" s="19" t="n"/>
      <c r="P348" s="19" t="inlineStr">
        <is>
          <t>ja</t>
        </is>
      </c>
      <c r="Q348" s="19" t="n"/>
      <c r="R348" s="20" t="n"/>
      <c r="S348" s="20" t="n">
        <v>90</v>
      </c>
      <c r="T348" s="19" t="inlineStr">
        <is>
          <t>VHB</t>
        </is>
      </c>
      <c r="U348" s="21">
        <f>L348*S348</f>
        <v/>
      </c>
      <c r="V348" s="15" t="inlineStr">
        <is>
          <t>nur Abholung</t>
        </is>
      </c>
      <c r="W348" s="15" t="inlineStr">
        <is>
          <t>F-432</t>
        </is>
      </c>
      <c r="X348" s="19" t="inlineStr">
        <is>
          <t>ja</t>
        </is>
      </c>
      <c r="Y348" s="19" t="n"/>
      <c r="Z348" s="19" t="inlineStr">
        <is>
          <t>verfügbar</t>
        </is>
      </c>
      <c r="AA348" s="19" t="n"/>
      <c r="AB348" s="19" t="n"/>
      <c r="AC348" s="19" t="n"/>
      <c r="AD348" s="19" t="n"/>
      <c r="AE348" s="20" t="n"/>
      <c r="AF348" s="21">
        <f>IF(K348="","",K348*AE348)</f>
        <v/>
      </c>
      <c r="AG348" s="19" t="n"/>
      <c r="AH348" s="19" t="n"/>
      <c r="AI348" s="19" t="n"/>
      <c r="AJ348" s="19" t="n"/>
      <c r="AK348" s="19" t="n"/>
      <c r="AL348" s="19" t="n"/>
      <c r="AM348" s="16" t="inlineStr">
        <is>
          <t>1 Wagen. Servierwagen aus lackiertem Metall stehen unter BU02-16 und BU04-13.</t>
        </is>
      </c>
      <c r="AN348" s="22" t="n"/>
    </row>
    <row r="349" ht="30" customHeight="1">
      <c r="A349" s="15" t="inlineStr">
        <is>
          <t>BU06-11</t>
        </is>
      </c>
      <c r="B349" s="15" t="n"/>
      <c r="C349" s="15" t="n"/>
      <c r="D349" s="15" t="inlineStr">
        <is>
          <t>BU06</t>
        </is>
      </c>
      <c r="E349" s="15" t="inlineStr">
        <is>
          <t>Schreibtisch schwarzbraun mit Schublade</t>
        </is>
      </c>
      <c r="F349" s="16" t="inlineStr">
        <is>
          <t>Schmaler Schreibtisch in Schwarzbraun mit einer breiten Schublade und seitlichem Unterbau.</t>
        </is>
      </c>
      <c r="G349" s="15" t="inlineStr">
        <is>
          <t>Möbel</t>
        </is>
      </c>
      <c r="H349" s="15" t="inlineStr">
        <is>
          <t>Küche / Essen</t>
        </is>
      </c>
      <c r="I349" s="15" t="inlineStr">
        <is>
          <t>B</t>
        </is>
      </c>
      <c r="J349" s="17" t="n">
        <v>2</v>
      </c>
      <c r="K349" s="17" t="n"/>
      <c r="L349" s="18">
        <f>J349-IF(K349="",0,K349)</f>
        <v/>
      </c>
      <c r="M349" s="15" t="inlineStr">
        <is>
          <t>Stück</t>
        </is>
      </c>
      <c r="N349" s="15" t="inlineStr">
        <is>
          <t>gebraucht</t>
        </is>
      </c>
      <c r="O349" s="19" t="n"/>
      <c r="P349" s="19" t="inlineStr">
        <is>
          <t>ja</t>
        </is>
      </c>
      <c r="Q349" s="19" t="n"/>
      <c r="R349" s="20" t="n"/>
      <c r="S349" s="20" t="n">
        <v>45</v>
      </c>
      <c r="T349" s="19" t="inlineStr">
        <is>
          <t>VHB</t>
        </is>
      </c>
      <c r="U349" s="21">
        <f>L349*S349</f>
        <v/>
      </c>
      <c r="V349" s="15" t="inlineStr">
        <is>
          <t>nur Abholung</t>
        </is>
      </c>
      <c r="W349" s="15" t="inlineStr">
        <is>
          <t>F-433</t>
        </is>
      </c>
      <c r="X349" s="19" t="inlineStr">
        <is>
          <t>ja</t>
        </is>
      </c>
      <c r="Y349" s="19" t="n"/>
      <c r="Z349" s="19" t="inlineStr">
        <is>
          <t>verfügbar</t>
        </is>
      </c>
      <c r="AA349" s="19" t="n"/>
      <c r="AB349" s="19" t="n"/>
      <c r="AC349" s="19" t="n"/>
      <c r="AD349" s="19" t="n"/>
      <c r="AE349" s="20" t="n"/>
      <c r="AF349" s="21">
        <f>IF(K349="","",K349*AE349)</f>
        <v/>
      </c>
      <c r="AG349" s="19" t="n"/>
      <c r="AH349" s="19" t="n"/>
      <c r="AI349" s="19" t="n"/>
      <c r="AJ349" s="19" t="n"/>
      <c r="AK349" s="19" t="n"/>
      <c r="AL349" s="19" t="n"/>
      <c r="AM349" s="16" t="inlineStr">
        <is>
          <t>2 Tische – abgebildet ist einer davon. Rechner, Bildschirm und Zubehör gehören nicht dazu.</t>
        </is>
      </c>
      <c r="AN349" s="22" t="n"/>
    </row>
    <row r="350" ht="30" customHeight="1">
      <c r="A350" s="15" t="inlineStr">
        <is>
          <t>BU06-12</t>
        </is>
      </c>
      <c r="B350" s="15" t="n"/>
      <c r="C350" s="15" t="n"/>
      <c r="D350" s="15" t="inlineStr">
        <is>
          <t>BU06</t>
        </is>
      </c>
      <c r="E350" s="15" t="inlineStr">
        <is>
          <t>Schalensessel grau mit Holzbeinen</t>
        </is>
      </c>
      <c r="F350" s="16" t="inlineStr">
        <is>
          <t>Sessel in Erwachsenengröße: graue Kunststoffschale mit Armlehnen auf konischen Beinen aus hellem Massivholz, dazu ein rundes Sitzkissen aus cognacfarbenem Kunstleder.</t>
        </is>
      </c>
      <c r="G350" s="15" t="inlineStr">
        <is>
          <t>Möbel</t>
        </is>
      </c>
      <c r="H350" s="15" t="inlineStr">
        <is>
          <t>Küche / Essen</t>
        </is>
      </c>
      <c r="I350" s="15" t="inlineStr">
        <is>
          <t>B</t>
        </is>
      </c>
      <c r="J350" s="17" t="n">
        <v>2</v>
      </c>
      <c r="K350" s="17" t="n"/>
      <c r="L350" s="18">
        <f>J350-IF(K350="",0,K350)</f>
        <v/>
      </c>
      <c r="M350" s="15" t="inlineStr">
        <is>
          <t>Stück</t>
        </is>
      </c>
      <c r="N350" s="15" t="inlineStr">
        <is>
          <t>gebraucht</t>
        </is>
      </c>
      <c r="O350" s="19" t="n"/>
      <c r="P350" s="19" t="inlineStr">
        <is>
          <t>ja</t>
        </is>
      </c>
      <c r="Q350" s="19" t="n"/>
      <c r="R350" s="20" t="n"/>
      <c r="S350" s="20" t="n">
        <v>60</v>
      </c>
      <c r="T350" s="19" t="inlineStr">
        <is>
          <t>VHB</t>
        </is>
      </c>
      <c r="U350" s="21">
        <f>L350*S350</f>
        <v/>
      </c>
      <c r="V350" s="15" t="inlineStr">
        <is>
          <t>nur Abholung</t>
        </is>
      </c>
      <c r="W350" s="15" t="inlineStr">
        <is>
          <t>F-434</t>
        </is>
      </c>
      <c r="X350" s="19" t="inlineStr">
        <is>
          <t>ja</t>
        </is>
      </c>
      <c r="Y350" s="19" t="n"/>
      <c r="Z350" s="19" t="inlineStr">
        <is>
          <t>verfügbar</t>
        </is>
      </c>
      <c r="AA350" s="19" t="n"/>
      <c r="AB350" s="19" t="n"/>
      <c r="AC350" s="19" t="n"/>
      <c r="AD350" s="19" t="n"/>
      <c r="AE350" s="20" t="n"/>
      <c r="AF350" s="21">
        <f>IF(K350="","",K350*AE350)</f>
        <v/>
      </c>
      <c r="AG350" s="19" t="n"/>
      <c r="AH350" s="19" t="n"/>
      <c r="AI350" s="19" t="n"/>
      <c r="AJ350" s="19" t="n"/>
      <c r="AK350" s="19" t="n"/>
      <c r="AL350" s="19" t="n"/>
      <c r="AM350" s="16" t="inlineStr">
        <is>
          <t>2 Sessel einschließlich der Sitzkissen – abgebildet ist einer davon.</t>
        </is>
      </c>
      <c r="AN350" s="22" t="n"/>
    </row>
    <row r="351" ht="30" customHeight="1">
      <c r="A351" s="15" t="inlineStr">
        <is>
          <t>BU06-13</t>
        </is>
      </c>
      <c r="B351" s="15" t="n"/>
      <c r="C351" s="15" t="n"/>
      <c r="D351" s="15" t="inlineStr">
        <is>
          <t>BU06</t>
        </is>
      </c>
      <c r="E351" s="15" t="inlineStr">
        <is>
          <t>Regal weiß, schmal und hoch</t>
        </is>
      </c>
      <c r="F351" s="16" t="inlineStr">
        <is>
          <t>Schmales hohes Regal in Weiß mit verstellbaren Böden.</t>
        </is>
      </c>
      <c r="G351" s="15" t="inlineStr">
        <is>
          <t>Möbel</t>
        </is>
      </c>
      <c r="H351" s="15" t="inlineStr">
        <is>
          <t>Küche / Essen</t>
        </is>
      </c>
      <c r="I351" s="15" t="inlineStr">
        <is>
          <t>C</t>
        </is>
      </c>
      <c r="J351" s="17" t="n">
        <v>1</v>
      </c>
      <c r="K351" s="17" t="n"/>
      <c r="L351" s="18">
        <f>J351-IF(K351="",0,K351)</f>
        <v/>
      </c>
      <c r="M351" s="15" t="inlineStr">
        <is>
          <t>Stück</t>
        </is>
      </c>
      <c r="N351" s="15" t="inlineStr">
        <is>
          <t>gebraucht</t>
        </is>
      </c>
      <c r="O351" s="19" t="n"/>
      <c r="P351" s="19" t="inlineStr">
        <is>
          <t>ja</t>
        </is>
      </c>
      <c r="Q351" s="19" t="n"/>
      <c r="R351" s="20" t="n"/>
      <c r="S351" s="20" t="n">
        <v>30</v>
      </c>
      <c r="T351" s="19" t="inlineStr">
        <is>
          <t>VHB</t>
        </is>
      </c>
      <c r="U351" s="21">
        <f>L351*S351</f>
        <v/>
      </c>
      <c r="V351" s="15" t="inlineStr">
        <is>
          <t>nur Abholung</t>
        </is>
      </c>
      <c r="W351" s="15" t="inlineStr">
        <is>
          <t>F-435</t>
        </is>
      </c>
      <c r="X351" s="19" t="inlineStr">
        <is>
          <t>ja</t>
        </is>
      </c>
      <c r="Y351" s="19" t="n"/>
      <c r="Z351" s="19" t="inlineStr">
        <is>
          <t>verfügbar</t>
        </is>
      </c>
      <c r="AA351" s="19" t="n"/>
      <c r="AB351" s="19" t="n"/>
      <c r="AC351" s="19" t="n"/>
      <c r="AD351" s="19" t="n"/>
      <c r="AE351" s="20" t="n"/>
      <c r="AF351" s="21">
        <f>IF(K351="","",K351*AE351)</f>
        <v/>
      </c>
      <c r="AG351" s="19" t="n"/>
      <c r="AH351" s="19" t="n"/>
      <c r="AI351" s="19" t="n"/>
      <c r="AJ351" s="19" t="n"/>
      <c r="AK351" s="19" t="n"/>
      <c r="AL351" s="19" t="n"/>
      <c r="AM351" s="16" t="inlineStr">
        <is>
          <t>1 Regal. Der Inhalt gehört nicht dazu.</t>
        </is>
      </c>
      <c r="AN351" s="22" t="n"/>
    </row>
    <row r="352" ht="30" customHeight="1">
      <c r="A352" s="15" t="inlineStr">
        <is>
          <t>BU06-14</t>
        </is>
      </c>
      <c r="B352" s="15" t="n"/>
      <c r="C352" s="15" t="n"/>
      <c r="D352" s="15" t="inlineStr">
        <is>
          <t>BU06</t>
        </is>
      </c>
      <c r="E352" s="15" t="inlineStr">
        <is>
          <t>Fächerregal grau, 24 Fächer</t>
        </is>
      </c>
      <c r="F352" s="16" t="inlineStr">
        <is>
          <t>Langes niedriges Regal in Grau mit vierundzwanzig Fächern in vier Reihen, durchgehende Deckplatte. Als Postfach- und Ablageregal genutzt.</t>
        </is>
      </c>
      <c r="G352" s="15" t="inlineStr">
        <is>
          <t>Möbel</t>
        </is>
      </c>
      <c r="H352" s="15" t="inlineStr">
        <is>
          <t>Küche / Essen</t>
        </is>
      </c>
      <c r="I352" s="15" t="inlineStr">
        <is>
          <t>B</t>
        </is>
      </c>
      <c r="J352" s="17" t="n">
        <v>1</v>
      </c>
      <c r="K352" s="17" t="n"/>
      <c r="L352" s="18">
        <f>J352-IF(K352="",0,K352)</f>
        <v/>
      </c>
      <c r="M352" s="15" t="inlineStr">
        <is>
          <t>Stück</t>
        </is>
      </c>
      <c r="N352" s="15" t="inlineStr">
        <is>
          <t>gebraucht</t>
        </is>
      </c>
      <c r="O352" s="19" t="n"/>
      <c r="P352" s="19" t="inlineStr">
        <is>
          <t>ja</t>
        </is>
      </c>
      <c r="Q352" s="19" t="n"/>
      <c r="R352" s="20" t="n"/>
      <c r="S352" s="20" t="n">
        <v>120</v>
      </c>
      <c r="T352" s="19" t="inlineStr">
        <is>
          <t>VHB</t>
        </is>
      </c>
      <c r="U352" s="21">
        <f>L352*S352</f>
        <v/>
      </c>
      <c r="V352" s="15" t="inlineStr">
        <is>
          <t>nur Abholung</t>
        </is>
      </c>
      <c r="W352" s="15" t="inlineStr">
        <is>
          <t>F-436</t>
        </is>
      </c>
      <c r="X352" s="19" t="inlineStr">
        <is>
          <t>ja</t>
        </is>
      </c>
      <c r="Y352" s="19" t="n"/>
      <c r="Z352" s="19" t="inlineStr">
        <is>
          <t>verfügbar</t>
        </is>
      </c>
      <c r="AA352" s="19" t="n"/>
      <c r="AB352" s="19" t="n"/>
      <c r="AC352" s="19" t="n"/>
      <c r="AD352" s="19" t="n"/>
      <c r="AE352" s="20" t="n"/>
      <c r="AF352" s="21">
        <f>IF(K352="","",K352*AE352)</f>
        <v/>
      </c>
      <c r="AG352" s="19" t="n"/>
      <c r="AH352" s="19" t="n"/>
      <c r="AI352" s="19" t="n"/>
      <c r="AJ352" s="19" t="n"/>
      <c r="AK352" s="19" t="n"/>
      <c r="AL352" s="19" t="n"/>
      <c r="AM352" s="16" t="inlineStr">
        <is>
          <t>1 Regal. Der Inhalt gehört nicht dazu. Die Namensschilder an den Fächern sind auf dem Foto unkenntlich gemacht und werden vor der Übergabe entfernt.</t>
        </is>
      </c>
      <c r="AN352" s="22" t="n"/>
    </row>
    <row r="353" ht="30" customHeight="1">
      <c r="A353" s="15" t="inlineStr">
        <is>
          <t>NE03-01</t>
        </is>
      </c>
      <c r="B353" s="15" t="n"/>
      <c r="C353" s="15" t="n"/>
      <c r="D353" s="15" t="inlineStr">
        <is>
          <t>NE03</t>
        </is>
      </c>
      <c r="E353" s="15" t="inlineStr">
        <is>
          <t>Wandregale in Wolkenform</t>
        </is>
      </c>
      <c r="F353" s="16" t="inlineStr">
        <is>
          <t>Wandregale in Wolkenform aus lackiertem Holz, ohne Zwischenböden: ein großes und ein kleineres in Weiß, zwei in Schwarz.</t>
        </is>
      </c>
      <c r="G353" s="15" t="inlineStr">
        <is>
          <t>Deko</t>
        </is>
      </c>
      <c r="H353" s="15" t="inlineStr">
        <is>
          <t>Schlafraum 2</t>
        </is>
      </c>
      <c r="I353" s="15" t="inlineStr">
        <is>
          <t>C</t>
        </is>
      </c>
      <c r="J353" s="17" t="n">
        <v>4</v>
      </c>
      <c r="K353" s="17" t="n"/>
      <c r="L353" s="18">
        <f>J353-IF(K353="",0,K353)</f>
        <v/>
      </c>
      <c r="M353" s="15" t="inlineStr">
        <is>
          <t>Stück</t>
        </is>
      </c>
      <c r="N353" s="15" t="inlineStr">
        <is>
          <t>gebraucht</t>
        </is>
      </c>
      <c r="O353" s="19" t="n"/>
      <c r="P353" s="19" t="inlineStr">
        <is>
          <t>ja</t>
        </is>
      </c>
      <c r="Q353" s="19" t="n"/>
      <c r="R353" s="20" t="n"/>
      <c r="S353" s="20" t="n">
        <v>25</v>
      </c>
      <c r="T353" s="19" t="inlineStr">
        <is>
          <t>VHB</t>
        </is>
      </c>
      <c r="U353" s="21">
        <f>L353*S353</f>
        <v/>
      </c>
      <c r="V353" s="15" t="inlineStr">
        <is>
          <t>Versand möglich</t>
        </is>
      </c>
      <c r="W353" s="15" t="inlineStr">
        <is>
          <t>F-438</t>
        </is>
      </c>
      <c r="X353" s="19" t="inlineStr">
        <is>
          <t>ja</t>
        </is>
      </c>
      <c r="Y353" s="19" t="n"/>
      <c r="Z353" s="19" t="inlineStr">
        <is>
          <t>verfügbar</t>
        </is>
      </c>
      <c r="AA353" s="19" t="n"/>
      <c r="AB353" s="19" t="n"/>
      <c r="AC353" s="19" t="n"/>
      <c r="AD353" s="19" t="n"/>
      <c r="AE353" s="20" t="n"/>
      <c r="AF353" s="21">
        <f>IF(K353="","",K353*AE353)</f>
        <v/>
      </c>
      <c r="AG353" s="19" t="n"/>
      <c r="AH353" s="19" t="n"/>
      <c r="AI353" s="19" t="n"/>
      <c r="AJ353" s="19" t="n"/>
      <c r="AK353" s="19" t="n"/>
      <c r="AL353" s="19" t="n"/>
      <c r="AM353" s="16" t="inlineStr">
        <is>
          <t>4 Regale in drei Größen – alle auf dem Foto zu sehen. Der Elefant aus Kupferdraht gehört nicht dazu.</t>
        </is>
      </c>
      <c r="AN353" s="22" t="n"/>
    </row>
    <row r="354" ht="30" customHeight="1">
      <c r="A354" s="15" t="inlineStr">
        <is>
          <t>NE03-03</t>
        </is>
      </c>
      <c r="B354" s="15" t="n"/>
      <c r="C354" s="15" t="n"/>
      <c r="D354" s="15" t="inlineStr">
        <is>
          <t>NE03</t>
        </is>
      </c>
      <c r="E354" s="15" t="inlineStr">
        <is>
          <t>Wesco Gitterbett Kunststoff, grau</t>
        </is>
      </c>
      <c r="F354" s="16" t="inlineStr">
        <is>
          <t>Krippenbett von Wesco aus grauem Kunststoff mit geschlossenem Sockel, belüfteten Seitenwänden und Griffausschnitten zum Verschieben. Logo an der Längsseite: wesco.</t>
        </is>
      </c>
      <c r="G354" s="15" t="inlineStr">
        <is>
          <t>Kita-Ausstattung</t>
        </is>
      </c>
      <c r="H354" s="15" t="inlineStr">
        <is>
          <t>Schlafraum 2</t>
        </is>
      </c>
      <c r="I354" s="15" t="inlineStr">
        <is>
          <t>B</t>
        </is>
      </c>
      <c r="J354" s="17" t="n">
        <v>4</v>
      </c>
      <c r="K354" s="17" t="n"/>
      <c r="L354" s="18">
        <f>J354-IF(K354="",0,K354)</f>
        <v/>
      </c>
      <c r="M354" s="15" t="inlineStr">
        <is>
          <t>Stück</t>
        </is>
      </c>
      <c r="N354" s="15" t="inlineStr">
        <is>
          <t>gut</t>
        </is>
      </c>
      <c r="O354" s="19" t="n"/>
      <c r="P354" s="19" t="inlineStr">
        <is>
          <t>ja</t>
        </is>
      </c>
      <c r="Q354" s="19" t="n"/>
      <c r="R354" s="20" t="n"/>
      <c r="S354" s="20" t="n">
        <v>180</v>
      </c>
      <c r="T354" s="19" t="inlineStr">
        <is>
          <t>VHB</t>
        </is>
      </c>
      <c r="U354" s="21">
        <f>L354*S354</f>
        <v/>
      </c>
      <c r="V354" s="15" t="inlineStr">
        <is>
          <t>nur Abholung</t>
        </is>
      </c>
      <c r="W354" s="15" t="inlineStr">
        <is>
          <t>F-440</t>
        </is>
      </c>
      <c r="X354" s="19" t="inlineStr">
        <is>
          <t>ja</t>
        </is>
      </c>
      <c r="Y354" s="19" t="n"/>
      <c r="Z354" s="19" t="inlineStr">
        <is>
          <t>verfügbar</t>
        </is>
      </c>
      <c r="AA354" s="19" t="inlineStr">
        <is>
          <t>Wesco</t>
        </is>
      </c>
      <c r="AB354" s="19" t="n"/>
      <c r="AC354" s="19" t="n"/>
      <c r="AD354" s="19" t="n"/>
      <c r="AE354" s="20" t="n"/>
      <c r="AF354" s="21">
        <f>IF(K354="","",K354*AE354)</f>
        <v/>
      </c>
      <c r="AG354" s="19" t="n"/>
      <c r="AH354" s="19" t="n"/>
      <c r="AI354" s="19" t="n"/>
      <c r="AJ354" s="19" t="n"/>
      <c r="AK354" s="19" t="n"/>
      <c r="AL354" s="19" t="n"/>
      <c r="AM354" s="16" t="inlineStr">
        <is>
          <t>4 Betten – abgebildet ist eines davon. Matratze, Nestchen und Bettwäsche gehören nicht dazu.</t>
        </is>
      </c>
      <c r="AN354" s="22" t="n"/>
    </row>
    <row r="355" ht="30" customHeight="1">
      <c r="A355" s="15" t="inlineStr">
        <is>
          <t>NE03-04</t>
        </is>
      </c>
      <c r="B355" s="15" t="n"/>
      <c r="C355" s="15" t="inlineStr">
        <is>
          <t>NE04-02</t>
        </is>
      </c>
      <c r="D355" s="15" t="inlineStr">
        <is>
          <t>NE03</t>
        </is>
      </c>
      <c r="E355" s="15" t="inlineStr">
        <is>
          <t>Gitterbett Holz weiß</t>
        </is>
      </c>
      <c r="F355" s="16" t="inlineStr">
        <is>
          <t>Kinderbett aus weiß lackiertem Holz mit Sprossen an allen vier Seiten und geschwungenen Kopf- und Fußteilen, einschließlich Matratze.</t>
        </is>
      </c>
      <c r="G355" s="15" t="inlineStr">
        <is>
          <t>Kita-Ausstattung</t>
        </is>
      </c>
      <c r="H355" s="15" t="inlineStr">
        <is>
          <t>Schlafraum 2</t>
        </is>
      </c>
      <c r="I355" s="15" t="inlineStr">
        <is>
          <t>C</t>
        </is>
      </c>
      <c r="J355" s="17" t="n">
        <v>10</v>
      </c>
      <c r="K355" s="17" t="n"/>
      <c r="L355" s="18">
        <f>J355-IF(K355="",0,K355)</f>
        <v/>
      </c>
      <c r="M355" s="15" t="inlineStr">
        <is>
          <t>Stück</t>
        </is>
      </c>
      <c r="N355" s="15" t="inlineStr">
        <is>
          <t>gut</t>
        </is>
      </c>
      <c r="O355" s="19" t="n"/>
      <c r="P355" s="19" t="inlineStr">
        <is>
          <t>ja</t>
        </is>
      </c>
      <c r="Q355" s="19" t="n"/>
      <c r="R355" s="20" t="n"/>
      <c r="S355" s="20" t="n">
        <v>60</v>
      </c>
      <c r="T355" s="19" t="inlineStr">
        <is>
          <t>VHB</t>
        </is>
      </c>
      <c r="U355" s="21">
        <f>L355*S355</f>
        <v/>
      </c>
      <c r="V355" s="15" t="inlineStr">
        <is>
          <t>nur Abholung</t>
        </is>
      </c>
      <c r="W355" s="15" t="inlineStr">
        <is>
          <t>F-441</t>
        </is>
      </c>
      <c r="X355" s="19" t="inlineStr">
        <is>
          <t>ja</t>
        </is>
      </c>
      <c r="Y355" s="19" t="n"/>
      <c r="Z355" s="19" t="inlineStr">
        <is>
          <t>verfügbar</t>
        </is>
      </c>
      <c r="AA355" s="19" t="n"/>
      <c r="AB355" s="19" t="n"/>
      <c r="AC355" s="19" t="n"/>
      <c r="AD355" s="19" t="n"/>
      <c r="AE355" s="20" t="n"/>
      <c r="AF355" s="21">
        <f>IF(K355="","",K355*AE355)</f>
        <v/>
      </c>
      <c r="AG355" s="19" t="n"/>
      <c r="AH355" s="19" t="n"/>
      <c r="AI355" s="19" t="n"/>
      <c r="AJ355" s="19" t="n"/>
      <c r="AK355" s="19" t="n"/>
      <c r="AL355" s="19" t="n"/>
      <c r="AM355" s="16" t="inlineStr">
        <is>
          <t>10 Betten einschließlich Matratzen: 3 im Schlafraum 2 (NE03-04) und 7 im Schlafraum 3 (NE04-02). Abgebildet ist eines davon, mehrere auf Foto F-452. Nestchen und Bettwäsche gehören nicht dazu.</t>
        </is>
      </c>
      <c r="AN355" s="22" t="inlineStr">
        <is>
          <t>Zusammengefasste Position über zwei Räume – Post-it-Nummer: NE04-02.</t>
        </is>
      </c>
    </row>
    <row r="356" ht="30" customHeight="1">
      <c r="A356" s="15" t="inlineStr">
        <is>
          <t>NE03-05</t>
        </is>
      </c>
      <c r="B356" s="15" t="n"/>
      <c r="C356" s="15" t="n"/>
      <c r="D356" s="15" t="inlineStr">
        <is>
          <t>NE03</t>
        </is>
      </c>
      <c r="E356" s="15" t="inlineStr">
        <is>
          <t>Hauck Kinderwagen schwarz</t>
        </is>
      </c>
      <c r="F356" s="16" t="inlineStr">
        <is>
          <t>Sportwagen von Hauck in Schwarz mit Verdeck, Fünfpunktgurt und Faltmechanik. Aufdruck am Sitz: Rapid Fold. Der Stoff ist an mehreren Stellen verschmutzt.</t>
        </is>
      </c>
      <c r="G356" s="15" t="inlineStr">
        <is>
          <t>Kita-Ausstattung</t>
        </is>
      </c>
      <c r="H356" s="15" t="inlineStr">
        <is>
          <t>Schlafraum 2</t>
        </is>
      </c>
      <c r="I356" s="15" t="inlineStr">
        <is>
          <t>C</t>
        </is>
      </c>
      <c r="J356" s="17" t="n">
        <v>1</v>
      </c>
      <c r="K356" s="17" t="n"/>
      <c r="L356" s="18">
        <f>J356-IF(K356="",0,K356)</f>
        <v/>
      </c>
      <c r="M356" s="15" t="inlineStr">
        <is>
          <t>Stück</t>
        </is>
      </c>
      <c r="N356" s="15" t="inlineStr">
        <is>
          <t>gebraucht</t>
        </is>
      </c>
      <c r="O356" s="19" t="n"/>
      <c r="P356" s="19" t="inlineStr">
        <is>
          <t>ja</t>
        </is>
      </c>
      <c r="Q356" s="19" t="n"/>
      <c r="R356" s="20" t="n"/>
      <c r="S356" s="20" t="n">
        <v>45</v>
      </c>
      <c r="T356" s="19" t="inlineStr">
        <is>
          <t>VHB</t>
        </is>
      </c>
      <c r="U356" s="21">
        <f>L356*S356</f>
        <v/>
      </c>
      <c r="V356" s="15" t="inlineStr">
        <is>
          <t>nur Abholung</t>
        </is>
      </c>
      <c r="W356" s="15" t="inlineStr">
        <is>
          <t>F-442</t>
        </is>
      </c>
      <c r="X356" s="19" t="inlineStr">
        <is>
          <t>ja</t>
        </is>
      </c>
      <c r="Y356" s="19" t="n"/>
      <c r="Z356" s="19" t="inlineStr">
        <is>
          <t>verfügbar</t>
        </is>
      </c>
      <c r="AA356" s="19" t="inlineStr">
        <is>
          <t>Hauck</t>
        </is>
      </c>
      <c r="AB356" s="19" t="n"/>
      <c r="AC356" s="19" t="n"/>
      <c r="AD356" s="19" t="n"/>
      <c r="AE356" s="20" t="n"/>
      <c r="AF356" s="21">
        <f>IF(K356="","",K356*AE356)</f>
        <v/>
      </c>
      <c r="AG356" s="19" t="n"/>
      <c r="AH356" s="19" t="n"/>
      <c r="AI356" s="19" t="n"/>
      <c r="AJ356" s="19" t="n"/>
      <c r="AK356" s="19" t="n"/>
      <c r="AL356" s="19" t="n"/>
      <c r="AM356" s="16" t="inlineStr">
        <is>
          <t>1 Wagen. Das Etikett ist auf Foto F-443 zu sehen.</t>
        </is>
      </c>
      <c r="AN356" s="22" t="n"/>
    </row>
    <row r="357" ht="30" customHeight="1">
      <c r="A357" s="15" t="inlineStr">
        <is>
          <t>NE03-06</t>
        </is>
      </c>
      <c r="B357" s="15" t="n"/>
      <c r="C357" s="15" t="n"/>
      <c r="D357" s="15" t="inlineStr">
        <is>
          <t>NE03</t>
        </is>
      </c>
      <c r="E357" s="15" t="inlineStr">
        <is>
          <t>Leuchtobjekt Elefant, Metall</t>
        </is>
      </c>
      <c r="F357" s="16" t="inlineStr">
        <is>
          <t>Dekoleuchte in Elefantenform aus taupefarbenem Metall mit elf Fassungen für Glühlampen auf der Vorderseite, zum Stellen. Hersteller: Zara Home.</t>
        </is>
      </c>
      <c r="G357" s="15" t="inlineStr">
        <is>
          <t>Leuchten</t>
        </is>
      </c>
      <c r="H357" s="15" t="inlineStr">
        <is>
          <t>Schlafraum 2</t>
        </is>
      </c>
      <c r="I357" s="15" t="inlineStr">
        <is>
          <t>C</t>
        </is>
      </c>
      <c r="J357" s="17" t="n">
        <v>2</v>
      </c>
      <c r="K357" s="17" t="n"/>
      <c r="L357" s="18">
        <f>J357-IF(K357="",0,K357)</f>
        <v/>
      </c>
      <c r="M357" s="15" t="inlineStr">
        <is>
          <t>Stück</t>
        </is>
      </c>
      <c r="N357" s="15" t="inlineStr">
        <is>
          <t>gebraucht</t>
        </is>
      </c>
      <c r="O357" s="19" t="n"/>
      <c r="P357" s="19" t="inlineStr">
        <is>
          <t>ja</t>
        </is>
      </c>
      <c r="Q357" s="19" t="n"/>
      <c r="R357" s="20" t="n"/>
      <c r="S357" s="20" t="n">
        <v>45</v>
      </c>
      <c r="T357" s="19" t="inlineStr">
        <is>
          <t>VHB</t>
        </is>
      </c>
      <c r="U357" s="21">
        <f>L357*S357</f>
        <v/>
      </c>
      <c r="V357" s="15" t="inlineStr">
        <is>
          <t>Versand möglich</t>
        </is>
      </c>
      <c r="W357" s="15" t="inlineStr">
        <is>
          <t>F-444</t>
        </is>
      </c>
      <c r="X357" s="19" t="inlineStr">
        <is>
          <t>ja</t>
        </is>
      </c>
      <c r="Y357" s="19" t="n"/>
      <c r="Z357" s="19" t="inlineStr">
        <is>
          <t>verfügbar</t>
        </is>
      </c>
      <c r="AA357" s="19" t="inlineStr">
        <is>
          <t>Zara Home</t>
        </is>
      </c>
      <c r="AB357" s="19" t="n"/>
      <c r="AC357" s="19" t="n"/>
      <c r="AD357" s="19" t="n"/>
      <c r="AE357" s="20" t="n"/>
      <c r="AF357" s="21">
        <f>IF(K357="","",K357*AE357)</f>
        <v/>
      </c>
      <c r="AG357" s="19" t="n"/>
      <c r="AH357" s="19" t="n"/>
      <c r="AI357" s="19" t="n"/>
      <c r="AJ357" s="19" t="n"/>
      <c r="AK357" s="19" t="n"/>
      <c r="AL357" s="19" t="n"/>
      <c r="AM357" s="16" t="inlineStr">
        <is>
          <t>2 Stück – abgebildet ist eines davon. Ohne Leuchtmittel.</t>
        </is>
      </c>
      <c r="AN357" s="22" t="n"/>
    </row>
    <row r="358" ht="30" customHeight="1">
      <c r="A358" s="15" t="inlineStr">
        <is>
          <t>NE03-07</t>
        </is>
      </c>
      <c r="B358" s="15" t="n"/>
      <c r="C358" s="15" t="n"/>
      <c r="D358" s="15" t="inlineStr">
        <is>
          <t>NE03</t>
        </is>
      </c>
      <c r="E358" s="15" t="inlineStr">
        <is>
          <t>IKEA Kleiderschrank anthrazit mit drei Böden</t>
        </is>
      </c>
      <c r="F358" s="16" t="inlineStr">
        <is>
          <t>Hoher Schrank von IKEA in Anthrazit mit zwei Türen, weißen ovalen Griffmulden und drei Einlegeböden.</t>
        </is>
      </c>
      <c r="G358" s="15" t="inlineStr">
        <is>
          <t>Möbel</t>
        </is>
      </c>
      <c r="H358" s="15" t="inlineStr">
        <is>
          <t>Schlafraum 2</t>
        </is>
      </c>
      <c r="I358" s="15" t="inlineStr">
        <is>
          <t>B</t>
        </is>
      </c>
      <c r="J358" s="17" t="n">
        <v>1</v>
      </c>
      <c r="K358" s="17" t="n"/>
      <c r="L358" s="18">
        <f>J358-IF(K358="",0,K358)</f>
        <v/>
      </c>
      <c r="M358" s="15" t="inlineStr">
        <is>
          <t>Stück</t>
        </is>
      </c>
      <c r="N358" s="15" t="inlineStr">
        <is>
          <t>gebraucht</t>
        </is>
      </c>
      <c r="O358" s="19" t="n"/>
      <c r="P358" s="19" t="inlineStr">
        <is>
          <t>ja</t>
        </is>
      </c>
      <c r="Q358" s="19" t="n"/>
      <c r="R358" s="20" t="n"/>
      <c r="S358" s="20" t="n">
        <v>60</v>
      </c>
      <c r="T358" s="19" t="inlineStr">
        <is>
          <t>VHB</t>
        </is>
      </c>
      <c r="U358" s="21">
        <f>L358*S358</f>
        <v/>
      </c>
      <c r="V358" s="15" t="inlineStr">
        <is>
          <t>nur Abholung</t>
        </is>
      </c>
      <c r="W358" s="15" t="inlineStr">
        <is>
          <t>F-445</t>
        </is>
      </c>
      <c r="X358" s="19" t="inlineStr">
        <is>
          <t>ja</t>
        </is>
      </c>
      <c r="Y358" s="19" t="n"/>
      <c r="Z358" s="19" t="inlineStr">
        <is>
          <t>verfügbar</t>
        </is>
      </c>
      <c r="AA358" s="19" t="inlineStr">
        <is>
          <t>IKEA</t>
        </is>
      </c>
      <c r="AB358" s="19" t="n"/>
      <c r="AC358" s="19" t="n"/>
      <c r="AD358" s="19" t="n"/>
      <c r="AE358" s="20" t="n"/>
      <c r="AF358" s="21">
        <f>IF(K358="","",K358*AE358)</f>
        <v/>
      </c>
      <c r="AG358" s="19" t="n"/>
      <c r="AH358" s="19" t="n"/>
      <c r="AI358" s="19" t="n"/>
      <c r="AJ358" s="19" t="n"/>
      <c r="AK358" s="19" t="n"/>
      <c r="AL358" s="19" t="n"/>
      <c r="AM358" s="16" t="inlineStr">
        <is>
          <t>1 Schrank. Baugleiche Schränke in Weiß stehen unter NU04-19.</t>
        </is>
      </c>
      <c r="AN358" s="22" t="n"/>
    </row>
    <row r="359" ht="30" customHeight="1">
      <c r="A359" s="15" t="inlineStr">
        <is>
          <t>NE03-09</t>
        </is>
      </c>
      <c r="B359" s="15" t="n"/>
      <c r="C359" s="15" t="n"/>
      <c r="D359" s="15" t="inlineStr">
        <is>
          <t>NE03</t>
        </is>
      </c>
      <c r="E359" s="15" t="inlineStr">
        <is>
          <t>IKEA Schrank weiß mit Drahtkörben</t>
        </is>
      </c>
      <c r="F359" s="16" t="inlineStr">
        <is>
          <t>Hoher Schrank von IKEA in Weiß mit zwei Türen, weißen ovalen Griffmulden und innen sechs herausziehbaren Drahtkörben.</t>
        </is>
      </c>
      <c r="G359" s="15" t="inlineStr">
        <is>
          <t>Möbel</t>
        </is>
      </c>
      <c r="H359" s="15" t="inlineStr">
        <is>
          <t>Schlafraum 2</t>
        </is>
      </c>
      <c r="I359" s="15" t="inlineStr">
        <is>
          <t>B</t>
        </is>
      </c>
      <c r="J359" s="17" t="n">
        <v>1</v>
      </c>
      <c r="K359" s="17" t="n"/>
      <c r="L359" s="18">
        <f>J359-IF(K359="",0,K359)</f>
        <v/>
      </c>
      <c r="M359" s="15" t="inlineStr">
        <is>
          <t>Stück</t>
        </is>
      </c>
      <c r="N359" s="15" t="inlineStr">
        <is>
          <t>gebraucht</t>
        </is>
      </c>
      <c r="O359" s="19" t="n"/>
      <c r="P359" s="19" t="inlineStr">
        <is>
          <t>ja</t>
        </is>
      </c>
      <c r="Q359" s="19" t="n"/>
      <c r="R359" s="20" t="n"/>
      <c r="S359" s="20" t="n">
        <v>80</v>
      </c>
      <c r="T359" s="19" t="inlineStr">
        <is>
          <t>VHB</t>
        </is>
      </c>
      <c r="U359" s="21">
        <f>L359*S359</f>
        <v/>
      </c>
      <c r="V359" s="15" t="inlineStr">
        <is>
          <t>nur Abholung</t>
        </is>
      </c>
      <c r="W359" s="15" t="inlineStr">
        <is>
          <t>F-447</t>
        </is>
      </c>
      <c r="X359" s="19" t="inlineStr">
        <is>
          <t>ja</t>
        </is>
      </c>
      <c r="Y359" s="19" t="n"/>
      <c r="Z359" s="19" t="inlineStr">
        <is>
          <t>verfügbar</t>
        </is>
      </c>
      <c r="AA359" s="19" t="inlineStr">
        <is>
          <t>IKEA</t>
        </is>
      </c>
      <c r="AB359" s="19" t="n"/>
      <c r="AC359" s="19" t="n"/>
      <c r="AD359" s="19" t="n"/>
      <c r="AE359" s="20" t="n"/>
      <c r="AF359" s="21">
        <f>IF(K359="","",K359*AE359)</f>
        <v/>
      </c>
      <c r="AG359" s="19" t="n"/>
      <c r="AH359" s="19" t="n"/>
      <c r="AI359" s="19" t="n"/>
      <c r="AJ359" s="19" t="n"/>
      <c r="AK359" s="19" t="n"/>
      <c r="AL359" s="19" t="n"/>
      <c r="AM359" s="16" t="inlineStr">
        <is>
          <t>1 Schrank einschließlich der Drahtkörbe. Handtücher und Bettwäsche gehören nicht dazu.</t>
        </is>
      </c>
      <c r="AN359" s="22" t="n"/>
    </row>
    <row r="360" ht="30" customHeight="1">
      <c r="A360" s="15" t="inlineStr">
        <is>
          <t>NE03-10</t>
        </is>
      </c>
      <c r="B360" s="15" t="n"/>
      <c r="C360" s="15" t="n"/>
      <c r="D360" s="15" t="inlineStr">
        <is>
          <t>NE03</t>
        </is>
      </c>
      <c r="E360" s="15" t="inlineStr">
        <is>
          <t>Plüsch-Elefanten, zwei Stück</t>
        </is>
      </c>
      <c r="F360" s="16" t="inlineStr">
        <is>
          <t>Zwei große Plüsch-Elefanten zum Stellen: einer aus cremefarbenem Breitcord, einer aus grau-cremefarben gestreiftem Stoff mit aufgestickten Augen. Am gestreiften Elefanten ein Etikett: done by deer.</t>
        </is>
      </c>
      <c r="G360" s="15" t="inlineStr">
        <is>
          <t>Deko</t>
        </is>
      </c>
      <c r="H360" s="15" t="inlineStr">
        <is>
          <t>Schlafraum 2</t>
        </is>
      </c>
      <c r="I360" s="15" t="inlineStr">
        <is>
          <t>C</t>
        </is>
      </c>
      <c r="J360" s="17" t="n">
        <v>2</v>
      </c>
      <c r="K360" s="17" t="n"/>
      <c r="L360" s="18">
        <f>J360-IF(K360="",0,K360)</f>
        <v/>
      </c>
      <c r="M360" s="15" t="inlineStr">
        <is>
          <t>Stück</t>
        </is>
      </c>
      <c r="N360" s="15" t="inlineStr">
        <is>
          <t>gebraucht</t>
        </is>
      </c>
      <c r="O360" s="19" t="n"/>
      <c r="P360" s="19" t="inlineStr">
        <is>
          <t>ja</t>
        </is>
      </c>
      <c r="Q360" s="19" t="n"/>
      <c r="R360" s="20" t="n"/>
      <c r="S360" s="20" t="n">
        <v>25</v>
      </c>
      <c r="T360" s="19" t="inlineStr">
        <is>
          <t>VHB</t>
        </is>
      </c>
      <c r="U360" s="21">
        <f>L360*S360</f>
        <v/>
      </c>
      <c r="V360" s="15" t="inlineStr">
        <is>
          <t>Versand möglich</t>
        </is>
      </c>
      <c r="W360" s="15" t="inlineStr">
        <is>
          <t>F-448</t>
        </is>
      </c>
      <c r="X360" s="19" t="inlineStr">
        <is>
          <t>ja</t>
        </is>
      </c>
      <c r="Y360" s="19" t="n"/>
      <c r="Z360" s="19" t="inlineStr">
        <is>
          <t>verfügbar</t>
        </is>
      </c>
      <c r="AA360" s="19" t="n"/>
      <c r="AB360" s="19" t="n"/>
      <c r="AC360" s="19" t="n"/>
      <c r="AD360" s="19" t="n"/>
      <c r="AE360" s="20" t="n"/>
      <c r="AF360" s="21">
        <f>IF(K360="","",K360*AE360)</f>
        <v/>
      </c>
      <c r="AG360" s="19" t="n"/>
      <c r="AH360" s="19" t="n"/>
      <c r="AI360" s="19" t="n"/>
      <c r="AJ360" s="19" t="n"/>
      <c r="AK360" s="19" t="n"/>
      <c r="AL360" s="19" t="n"/>
      <c r="AM360" s="16" t="inlineStr">
        <is>
          <t>2 Elefanten, beide abgebildet.</t>
        </is>
      </c>
      <c r="AN360" s="22" t="n"/>
    </row>
    <row r="361" ht="30" customHeight="1">
      <c r="A361" s="15" t="inlineStr">
        <is>
          <t>NE03-11</t>
        </is>
      </c>
      <c r="B361" s="15" t="n"/>
      <c r="C361" s="15" t="inlineStr">
        <is>
          <t>NE04-05</t>
        </is>
      </c>
      <c r="D361" s="15" t="inlineStr">
        <is>
          <t>NE03</t>
        </is>
      </c>
      <c r="E361" s="15" t="inlineStr">
        <is>
          <t>Wolken-Mobile Stoff, weiß</t>
        </is>
      </c>
      <c r="F361" s="16" t="inlineStr">
        <is>
          <t>Mobile aus drei weißen Stoffwolken in unterschiedlicher Größe, zum Aufhängen.</t>
        </is>
      </c>
      <c r="G361" s="15" t="inlineStr">
        <is>
          <t>Deko</t>
        </is>
      </c>
      <c r="H361" s="15" t="inlineStr">
        <is>
          <t>Schlafraum 2</t>
        </is>
      </c>
      <c r="I361" s="15" t="inlineStr">
        <is>
          <t>C</t>
        </is>
      </c>
      <c r="J361" s="17" t="n">
        <v>6</v>
      </c>
      <c r="K361" s="17" t="n"/>
      <c r="L361" s="18">
        <f>J361-IF(K361="",0,K361)</f>
        <v/>
      </c>
      <c r="M361" s="15" t="inlineStr">
        <is>
          <t>Stück</t>
        </is>
      </c>
      <c r="N361" s="15" t="inlineStr">
        <is>
          <t>gebraucht</t>
        </is>
      </c>
      <c r="O361" s="19" t="n"/>
      <c r="P361" s="19" t="inlineStr">
        <is>
          <t>ja</t>
        </is>
      </c>
      <c r="Q361" s="19" t="n"/>
      <c r="R361" s="20" t="n"/>
      <c r="S361" s="20" t="n">
        <v>20</v>
      </c>
      <c r="T361" s="19" t="inlineStr">
        <is>
          <t>VHB</t>
        </is>
      </c>
      <c r="U361" s="21">
        <f>L361*S361</f>
        <v/>
      </c>
      <c r="V361" s="15" t="inlineStr">
        <is>
          <t>Versand möglich</t>
        </is>
      </c>
      <c r="W361" s="15" t="inlineStr">
        <is>
          <t>F-449</t>
        </is>
      </c>
      <c r="X361" s="19" t="inlineStr">
        <is>
          <t>ja</t>
        </is>
      </c>
      <c r="Y361" s="19" t="n"/>
      <c r="Z361" s="19" t="inlineStr">
        <is>
          <t>verfügbar</t>
        </is>
      </c>
      <c r="AA361" s="19" t="n"/>
      <c r="AB361" s="19" t="n"/>
      <c r="AC361" s="19" t="n"/>
      <c r="AD361" s="19" t="n"/>
      <c r="AE361" s="20" t="n"/>
      <c r="AF361" s="21">
        <f>IF(K361="","",K361*AE361)</f>
        <v/>
      </c>
      <c r="AG361" s="19" t="n"/>
      <c r="AH361" s="19" t="n"/>
      <c r="AI361" s="19" t="n"/>
      <c r="AJ361" s="19" t="n"/>
      <c r="AK361" s="19" t="n"/>
      <c r="AL361" s="19" t="n"/>
      <c r="AM361" s="16" t="inlineStr">
        <is>
          <t>6 Mobiles: 2 im Schlafraum 2 (NE03-11) und 4 im Schlafraum 3 (NE04-05). Abgebildet ist eines davon, ein weiteres auf Foto F-455.</t>
        </is>
      </c>
      <c r="AN361" s="22" t="inlineStr">
        <is>
          <t>Zusammengefasste Position über zwei Räume – Post-it-Nummer: NE04-05.</t>
        </is>
      </c>
    </row>
    <row r="362" ht="30" customHeight="1">
      <c r="A362" s="15" t="inlineStr">
        <is>
          <t>NE04-03</t>
        </is>
      </c>
      <c r="B362" s="15" t="n"/>
      <c r="C362" s="15" t="n"/>
      <c r="D362" s="15" t="inlineStr">
        <is>
          <t>NE04</t>
        </is>
      </c>
      <c r="E362" s="15" t="inlineStr">
        <is>
          <t>Wanddekoration Wolken schwarz</t>
        </is>
      </c>
      <c r="F362" s="16" t="inlineStr">
        <is>
          <t>Flache Wandelemente in Wolkenform aus schwarz lackiertem Holz, zum Aufhängen.</t>
        </is>
      </c>
      <c r="G362" s="15" t="inlineStr">
        <is>
          <t>Deko</t>
        </is>
      </c>
      <c r="H362" s="15" t="inlineStr">
        <is>
          <t>Schlafraum 3</t>
        </is>
      </c>
      <c r="I362" s="15" t="inlineStr">
        <is>
          <t>C</t>
        </is>
      </c>
      <c r="J362" s="17" t="n">
        <v>2</v>
      </c>
      <c r="K362" s="17" t="n"/>
      <c r="L362" s="18">
        <f>J362-IF(K362="",0,K362)</f>
        <v/>
      </c>
      <c r="M362" s="15" t="inlineStr">
        <is>
          <t>Stück</t>
        </is>
      </c>
      <c r="N362" s="15" t="inlineStr">
        <is>
          <t>gut</t>
        </is>
      </c>
      <c r="O362" s="19" t="n"/>
      <c r="P362" s="19" t="inlineStr">
        <is>
          <t>ja</t>
        </is>
      </c>
      <c r="Q362" s="19" t="n"/>
      <c r="R362" s="20" t="n"/>
      <c r="S362" s="20" t="n">
        <v>20</v>
      </c>
      <c r="T362" s="19" t="inlineStr">
        <is>
          <t>VHB</t>
        </is>
      </c>
      <c r="U362" s="21">
        <f>L362*S362</f>
        <v/>
      </c>
      <c r="V362" s="15" t="inlineStr">
        <is>
          <t>Versand möglich</t>
        </is>
      </c>
      <c r="W362" s="15" t="inlineStr">
        <is>
          <t>F-453</t>
        </is>
      </c>
      <c r="X362" s="19" t="inlineStr">
        <is>
          <t>ja</t>
        </is>
      </c>
      <c r="Y362" s="19" t="n"/>
      <c r="Z362" s="19" t="inlineStr">
        <is>
          <t>verfügbar</t>
        </is>
      </c>
      <c r="AA362" s="19" t="n"/>
      <c r="AB362" s="19" t="n"/>
      <c r="AC362" s="19" t="n"/>
      <c r="AD362" s="19" t="n"/>
      <c r="AE362" s="20" t="n"/>
      <c r="AF362" s="21">
        <f>IF(K362="","",K362*AE362)</f>
        <v/>
      </c>
      <c r="AG362" s="19" t="n"/>
      <c r="AH362" s="19" t="n"/>
      <c r="AI362" s="19" t="n"/>
      <c r="AJ362" s="19" t="n"/>
      <c r="AK362" s="19" t="n"/>
      <c r="AL362" s="19" t="n"/>
      <c r="AM362" s="16" t="inlineStr">
        <is>
          <t>2 Stück, beide abgebildet. Wolken als Regal stehen unter NE03-01.</t>
        </is>
      </c>
      <c r="AN362" s="22" t="n"/>
    </row>
    <row r="363" ht="30" customHeight="1">
      <c r="A363" s="15" t="inlineStr">
        <is>
          <t>NE04-04</t>
        </is>
      </c>
      <c r="B363" s="15" t="n"/>
      <c r="C363" s="15" t="n"/>
      <c r="D363" s="15" t="inlineStr">
        <is>
          <t>NE04</t>
        </is>
      </c>
      <c r="E363" s="15" t="inlineStr">
        <is>
          <t>Schrank weiß mit zwei Türen und zwei Schubladen</t>
        </is>
      </c>
      <c r="F363" s="16" t="inlineStr">
        <is>
          <t>Weißer Schrank mit zwei oberen Türen und zwei breiten Schubladen darunter, Griffmulden ausgeschnitten.</t>
        </is>
      </c>
      <c r="G363" s="15" t="inlineStr">
        <is>
          <t>Möbel</t>
        </is>
      </c>
      <c r="H363" s="15" t="inlineStr">
        <is>
          <t>Schlafraum 3</t>
        </is>
      </c>
      <c r="I363" s="15" t="inlineStr">
        <is>
          <t>B</t>
        </is>
      </c>
      <c r="J363" s="17" t="n">
        <v>1</v>
      </c>
      <c r="K363" s="17" t="n"/>
      <c r="L363" s="18">
        <f>J363-IF(K363="",0,K363)</f>
        <v/>
      </c>
      <c r="M363" s="15" t="inlineStr">
        <is>
          <t>Stück</t>
        </is>
      </c>
      <c r="N363" s="15" t="inlineStr">
        <is>
          <t>gebraucht</t>
        </is>
      </c>
      <c r="O363" s="19" t="n"/>
      <c r="P363" s="19" t="inlineStr">
        <is>
          <t>ja</t>
        </is>
      </c>
      <c r="Q363" s="19" t="n"/>
      <c r="R363" s="20" t="n"/>
      <c r="S363" s="20" t="n">
        <v>80</v>
      </c>
      <c r="T363" s="19" t="inlineStr">
        <is>
          <t>VHB</t>
        </is>
      </c>
      <c r="U363" s="21">
        <f>L363*S363</f>
        <v/>
      </c>
      <c r="V363" s="15" t="inlineStr">
        <is>
          <t>nur Abholung</t>
        </is>
      </c>
      <c r="W363" s="15" t="inlineStr">
        <is>
          <t>F-454</t>
        </is>
      </c>
      <c r="X363" s="19" t="inlineStr">
        <is>
          <t>ja</t>
        </is>
      </c>
      <c r="Y363" s="19" t="n"/>
      <c r="Z363" s="19" t="inlineStr">
        <is>
          <t>verfügbar</t>
        </is>
      </c>
      <c r="AA363" s="19" t="n"/>
      <c r="AB363" s="19" t="n"/>
      <c r="AC363" s="19" t="n"/>
      <c r="AD363" s="19" t="n"/>
      <c r="AE363" s="20" t="n"/>
      <c r="AF363" s="21">
        <f>IF(K363="","",K363*AE363)</f>
        <v/>
      </c>
      <c r="AG363" s="19" t="n"/>
      <c r="AH363" s="19" t="n"/>
      <c r="AI363" s="19" t="n"/>
      <c r="AJ363" s="19" t="n"/>
      <c r="AK363" s="19" t="n"/>
      <c r="AL363" s="19" t="n"/>
      <c r="AM363" s="16" t="inlineStr">
        <is>
          <t>1 Schrank. Der Inhalt gehört nicht dazu. Auf dem Erfassungsblatt als Kommode mit zwei Schubladen geführt.</t>
        </is>
      </c>
      <c r="AN363" s="22" t="n"/>
    </row>
    <row r="364" ht="30" customHeight="1">
      <c r="A364" s="15" t="inlineStr">
        <is>
          <t>NE04-06</t>
        </is>
      </c>
      <c r="B364" s="15" t="n"/>
      <c r="C364" s="15" t="n"/>
      <c r="D364" s="15" t="inlineStr">
        <is>
          <t>NE04</t>
        </is>
      </c>
      <c r="E364" s="15" t="inlineStr">
        <is>
          <t>Wandspiegel in Wolkenform, weiß</t>
        </is>
      </c>
      <c r="F364" s="16" t="inlineStr">
        <is>
          <t>Wandspiegel in Wolkenform mit breitem weiß lackiertem Holzrahmen.</t>
        </is>
      </c>
      <c r="G364" s="15" t="inlineStr">
        <is>
          <t>Deko</t>
        </is>
      </c>
      <c r="H364" s="15" t="inlineStr">
        <is>
          <t>Schlafraum 3</t>
        </is>
      </c>
      <c r="I364" s="15" t="inlineStr">
        <is>
          <t>C</t>
        </is>
      </c>
      <c r="J364" s="17" t="n">
        <v>1</v>
      </c>
      <c r="K364" s="17" t="n"/>
      <c r="L364" s="18">
        <f>J364-IF(K364="",0,K364)</f>
        <v/>
      </c>
      <c r="M364" s="15" t="inlineStr">
        <is>
          <t>Stück</t>
        </is>
      </c>
      <c r="N364" s="15" t="inlineStr">
        <is>
          <t>gut</t>
        </is>
      </c>
      <c r="O364" s="19" t="n"/>
      <c r="P364" s="19" t="inlineStr">
        <is>
          <t>ja</t>
        </is>
      </c>
      <c r="Q364" s="19" t="n"/>
      <c r="R364" s="20" t="n"/>
      <c r="S364" s="20" t="n">
        <v>45</v>
      </c>
      <c r="T364" s="19" t="inlineStr">
        <is>
          <t>VHB</t>
        </is>
      </c>
      <c r="U364" s="21">
        <f>L364*S364</f>
        <v/>
      </c>
      <c r="V364" s="15" t="inlineStr">
        <is>
          <t>nur Abholung</t>
        </is>
      </c>
      <c r="W364" s="15" t="inlineStr">
        <is>
          <t>F-456</t>
        </is>
      </c>
      <c r="X364" s="19" t="inlineStr">
        <is>
          <t>ja</t>
        </is>
      </c>
      <c r="Y364" s="19" t="n"/>
      <c r="Z364" s="19" t="inlineStr">
        <is>
          <t>verfügbar</t>
        </is>
      </c>
      <c r="AA364" s="19" t="n"/>
      <c r="AB364" s="19" t="n"/>
      <c r="AC364" s="19" t="n"/>
      <c r="AD364" s="19" t="n"/>
      <c r="AE364" s="20" t="n"/>
      <c r="AF364" s="21">
        <f>IF(K364="","",K364*AE364)</f>
        <v/>
      </c>
      <c r="AG364" s="19" t="n"/>
      <c r="AH364" s="19" t="n"/>
      <c r="AI364" s="19" t="n"/>
      <c r="AJ364" s="19" t="n"/>
      <c r="AK364" s="19" t="n"/>
      <c r="AL364" s="19" t="n"/>
      <c r="AM364" s="16" t="inlineStr">
        <is>
          <t>1 Spiegel.</t>
        </is>
      </c>
      <c r="AN364" s="22" t="n"/>
    </row>
    <row r="365" ht="30" customHeight="1">
      <c r="A365" s="15" t="inlineStr">
        <is>
          <t>NE04-07</t>
        </is>
      </c>
      <c r="B365" s="15" t="n"/>
      <c r="C365" s="15" t="n"/>
      <c r="D365" s="15" t="inlineStr">
        <is>
          <t>NE04</t>
        </is>
      </c>
      <c r="E365" s="15" t="inlineStr">
        <is>
          <t>Wesco Wickelauflage beige</t>
        </is>
      </c>
      <c r="F365" s="16" t="inlineStr">
        <is>
          <t>Große Wickelauflage von Wesco mit beigem Kunstlederbezug und umlaufendem Rand.</t>
        </is>
      </c>
      <c r="G365" s="15" t="inlineStr">
        <is>
          <t>Kita-Ausstattung</t>
        </is>
      </c>
      <c r="H365" s="15" t="inlineStr">
        <is>
          <t>Schlafraum 3</t>
        </is>
      </c>
      <c r="I365" s="15" t="inlineStr">
        <is>
          <t>C</t>
        </is>
      </c>
      <c r="J365" s="17" t="n">
        <v>2</v>
      </c>
      <c r="K365" s="17" t="n"/>
      <c r="L365" s="18">
        <f>J365-IF(K365="",0,K365)</f>
        <v/>
      </c>
      <c r="M365" s="15" t="inlineStr">
        <is>
          <t>Stück</t>
        </is>
      </c>
      <c r="N365" s="15" t="inlineStr">
        <is>
          <t>gebraucht</t>
        </is>
      </c>
      <c r="O365" s="19" t="n"/>
      <c r="P365" s="19" t="inlineStr">
        <is>
          <t>ja</t>
        </is>
      </c>
      <c r="Q365" s="19" t="n"/>
      <c r="R365" s="20" t="n"/>
      <c r="S365" s="20" t="n">
        <v>45</v>
      </c>
      <c r="T365" s="19" t="inlineStr">
        <is>
          <t>VHB</t>
        </is>
      </c>
      <c r="U365" s="21">
        <f>L365*S365</f>
        <v/>
      </c>
      <c r="V365" s="15" t="inlineStr">
        <is>
          <t>Versand möglich</t>
        </is>
      </c>
      <c r="W365" s="15" t="inlineStr">
        <is>
          <t>F-457</t>
        </is>
      </c>
      <c r="X365" s="19" t="inlineStr">
        <is>
          <t>ja</t>
        </is>
      </c>
      <c r="Y365" s="19" t="n"/>
      <c r="Z365" s="19" t="inlineStr">
        <is>
          <t>verfügbar</t>
        </is>
      </c>
      <c r="AA365" s="19" t="inlineStr">
        <is>
          <t>Wesco</t>
        </is>
      </c>
      <c r="AB365" s="19" t="n"/>
      <c r="AC365" s="19" t="n"/>
      <c r="AD365" s="19" t="n"/>
      <c r="AE365" s="20" t="n"/>
      <c r="AF365" s="21">
        <f>IF(K365="","",K365*AE365)</f>
        <v/>
      </c>
      <c r="AG365" s="19" t="n"/>
      <c r="AH365" s="19" t="n"/>
      <c r="AI365" s="19" t="n"/>
      <c r="AJ365" s="19" t="n"/>
      <c r="AK365" s="19" t="n"/>
      <c r="AL365" s="19" t="n"/>
      <c r="AM365" s="16" t="inlineStr">
        <is>
          <t>2 Auflagen – abgebildet ist eine davon.</t>
        </is>
      </c>
      <c r="AN365" s="22" t="n"/>
    </row>
    <row r="366" ht="30" customHeight="1">
      <c r="A366" s="15" t="inlineStr">
        <is>
          <t>NE04-08</t>
        </is>
      </c>
      <c r="B366" s="15" t="n"/>
      <c r="C366" s="15" t="n"/>
      <c r="D366" s="15" t="inlineStr">
        <is>
          <t>NE04</t>
        </is>
      </c>
      <c r="E366" s="15" t="inlineStr">
        <is>
          <t>Wickelkommode Buche mit zehn Wannen</t>
        </is>
      </c>
      <c r="F366" s="16" t="inlineStr">
        <is>
          <t>Wickelkommode aus Buche-Dekor mit weißer Wickelfläche und umlaufender Aufkantung, darunter zehn herausziehbare Kunststoffwannen in zwei Reihen.</t>
        </is>
      </c>
      <c r="G366" s="15" t="inlineStr">
        <is>
          <t>Kita-Ausstattung</t>
        </is>
      </c>
      <c r="H366" s="15" t="inlineStr">
        <is>
          <t>Schlafraum 3</t>
        </is>
      </c>
      <c r="I366" s="15" t="inlineStr">
        <is>
          <t>B</t>
        </is>
      </c>
      <c r="J366" s="17" t="n">
        <v>1</v>
      </c>
      <c r="K366" s="17" t="n"/>
      <c r="L366" s="18">
        <f>J366-IF(K366="",0,K366)</f>
        <v/>
      </c>
      <c r="M366" s="15" t="inlineStr">
        <is>
          <t>Stück</t>
        </is>
      </c>
      <c r="N366" s="15" t="inlineStr">
        <is>
          <t>gut</t>
        </is>
      </c>
      <c r="O366" s="19" t="n"/>
      <c r="P366" s="19" t="inlineStr">
        <is>
          <t>ja</t>
        </is>
      </c>
      <c r="Q366" s="19" t="n"/>
      <c r="R366" s="20" t="n"/>
      <c r="S366" s="20" t="n">
        <v>180</v>
      </c>
      <c r="T366" s="19" t="inlineStr">
        <is>
          <t>VHB</t>
        </is>
      </c>
      <c r="U366" s="21">
        <f>L366*S366</f>
        <v/>
      </c>
      <c r="V366" s="15" t="inlineStr">
        <is>
          <t>nur Abholung</t>
        </is>
      </c>
      <c r="W366" s="15" t="inlineStr">
        <is>
          <t>F-458</t>
        </is>
      </c>
      <c r="X366" s="19" t="inlineStr">
        <is>
          <t>ja</t>
        </is>
      </c>
      <c r="Y366" s="19" t="n"/>
      <c r="Z366" s="19" t="inlineStr">
        <is>
          <t>verfügbar</t>
        </is>
      </c>
      <c r="AA366" s="19" t="n"/>
      <c r="AB366" s="19" t="n"/>
      <c r="AC366" s="19" t="n"/>
      <c r="AD366" s="19" t="n"/>
      <c r="AE366" s="20" t="n"/>
      <c r="AF366" s="21">
        <f>IF(K366="","",K366*AE366)</f>
        <v/>
      </c>
      <c r="AG366" s="19" t="n"/>
      <c r="AH366" s="19" t="n"/>
      <c r="AI366" s="19" t="n"/>
      <c r="AJ366" s="19" t="n"/>
      <c r="AK366" s="19" t="n"/>
      <c r="AL366" s="19" t="n"/>
      <c r="AM366" s="16" t="inlineStr">
        <is>
          <t>1 Kommode einschließlich der Wannen. Wickelauflage und Inhalt gehören nicht dazu. Die Namensschilder an den Wannen sind auf dem Foto unkenntlich gemacht und werden vor der Übergabe entfernt.</t>
        </is>
      </c>
      <c r="AN366" s="22" t="n"/>
    </row>
    <row r="367" ht="30" customHeight="1">
      <c r="A367" s="15" t="inlineStr">
        <is>
          <t>NE04-09</t>
        </is>
      </c>
      <c r="B367" s="15" t="n"/>
      <c r="C367" s="15" t="n"/>
      <c r="D367" s="15" t="inlineStr">
        <is>
          <t>NE04</t>
        </is>
      </c>
      <c r="E367" s="15" t="inlineStr">
        <is>
          <t>Wickelkommode Buche groß mit Treppe</t>
        </is>
      </c>
      <c r="F367" s="16" t="inlineStr">
        <is>
          <t>Große Wickelkommode aus Buche-Dekor mit weißer Wickelfläche und Aufkantung: in der Mitte eine herausrollbare Treppe für den Aufstieg, links und rechts je fünf herausziehbare Kunststoffwannen.</t>
        </is>
      </c>
      <c r="G367" s="15" t="inlineStr">
        <is>
          <t>Kita-Ausstattung</t>
        </is>
      </c>
      <c r="H367" s="15" t="inlineStr">
        <is>
          <t>Schlafraum 3</t>
        </is>
      </c>
      <c r="I367" s="15" t="inlineStr">
        <is>
          <t>A</t>
        </is>
      </c>
      <c r="J367" s="17" t="n">
        <v>2</v>
      </c>
      <c r="K367" s="17" t="n"/>
      <c r="L367" s="18">
        <f>J367-IF(K367="",0,K367)</f>
        <v/>
      </c>
      <c r="M367" s="15" t="inlineStr">
        <is>
          <t>Stück</t>
        </is>
      </c>
      <c r="N367" s="15" t="inlineStr">
        <is>
          <t>gut</t>
        </is>
      </c>
      <c r="O367" s="19" t="n"/>
      <c r="P367" s="19" t="inlineStr">
        <is>
          <t>ja</t>
        </is>
      </c>
      <c r="Q367" s="19" t="n"/>
      <c r="R367" s="20" t="n"/>
      <c r="S367" s="20" t="n">
        <v>250</v>
      </c>
      <c r="T367" s="19" t="inlineStr">
        <is>
          <t>VHB</t>
        </is>
      </c>
      <c r="U367" s="21">
        <f>L367*S367</f>
        <v/>
      </c>
      <c r="V367" s="15" t="inlineStr">
        <is>
          <t>nur Abholung</t>
        </is>
      </c>
      <c r="W367" s="15" t="inlineStr">
        <is>
          <t>F-459</t>
        </is>
      </c>
      <c r="X367" s="19" t="inlineStr">
        <is>
          <t>ja</t>
        </is>
      </c>
      <c r="Y367" s="19" t="n"/>
      <c r="Z367" s="19" t="inlineStr">
        <is>
          <t>verfügbar</t>
        </is>
      </c>
      <c r="AA367" s="19" t="n"/>
      <c r="AB367" s="19" t="n"/>
      <c r="AC367" s="19" t="n"/>
      <c r="AD367" s="19" t="n"/>
      <c r="AE367" s="20" t="n"/>
      <c r="AF367" s="21">
        <f>IF(K367="","",K367*AE367)</f>
        <v/>
      </c>
      <c r="AG367" s="19" t="n"/>
      <c r="AH367" s="19" t="n"/>
      <c r="AI367" s="19" t="n"/>
      <c r="AJ367" s="19" t="n"/>
      <c r="AK367" s="19" t="n"/>
      <c r="AL367" s="19" t="n"/>
      <c r="AM367" s="16" t="inlineStr">
        <is>
          <t>2 Kommoden einschließlich Treppe und Wannen – abgebildet ist eine davon. Der Inhalt gehört nicht dazu. Die Namensschilder an den Wannen sind auf dem Foto unkenntlich gemacht und werden vor der Übergabe entfernt.</t>
        </is>
      </c>
      <c r="AN367" s="22" t="n"/>
    </row>
    <row r="368" ht="30" customHeight="1">
      <c r="A368" s="15" t="inlineStr">
        <is>
          <t>NE04-10</t>
        </is>
      </c>
      <c r="B368" s="15" t="n"/>
      <c r="C368" s="15" t="n"/>
      <c r="D368" s="15" t="inlineStr">
        <is>
          <t>NE04</t>
        </is>
      </c>
      <c r="E368" s="15" t="inlineStr">
        <is>
          <t>Wickelkommode mit Türen und Fachböden</t>
        </is>
      </c>
      <c r="F368" s="16" t="inlineStr">
        <is>
          <t>Wickelkommode aus Buche-Dekor mit weißer Wickelfläche und Aufkantung, geschlossener Unterbau mit zwei Türen und drei Fachböden.</t>
        </is>
      </c>
      <c r="G368" s="15" t="inlineStr">
        <is>
          <t>Kita-Ausstattung</t>
        </is>
      </c>
      <c r="H368" s="15" t="inlineStr">
        <is>
          <t>Schlafraum 3</t>
        </is>
      </c>
      <c r="I368" s="15" t="inlineStr">
        <is>
          <t>B</t>
        </is>
      </c>
      <c r="J368" s="17" t="n">
        <v>1</v>
      </c>
      <c r="K368" s="17" t="n"/>
      <c r="L368" s="18">
        <f>J368-IF(K368="",0,K368)</f>
        <v/>
      </c>
      <c r="M368" s="15" t="inlineStr">
        <is>
          <t>Stück</t>
        </is>
      </c>
      <c r="N368" s="15" t="inlineStr">
        <is>
          <t>gut</t>
        </is>
      </c>
      <c r="O368" s="19" t="n"/>
      <c r="P368" s="19" t="inlineStr">
        <is>
          <t>ja</t>
        </is>
      </c>
      <c r="Q368" s="19" t="n"/>
      <c r="R368" s="20" t="n"/>
      <c r="S368" s="20" t="n">
        <v>180</v>
      </c>
      <c r="T368" s="19" t="inlineStr">
        <is>
          <t>VHB</t>
        </is>
      </c>
      <c r="U368" s="21">
        <f>L368*S368</f>
        <v/>
      </c>
      <c r="V368" s="15" t="inlineStr">
        <is>
          <t>nur Abholung</t>
        </is>
      </c>
      <c r="W368" s="15" t="inlineStr">
        <is>
          <t>F-460</t>
        </is>
      </c>
      <c r="X368" s="19" t="inlineStr">
        <is>
          <t>ja</t>
        </is>
      </c>
      <c r="Y368" s="19" t="n"/>
      <c r="Z368" s="19" t="inlineStr">
        <is>
          <t>verfügbar</t>
        </is>
      </c>
      <c r="AA368" s="19" t="n"/>
      <c r="AB368" s="19" t="n"/>
      <c r="AC368" s="19" t="n"/>
      <c r="AD368" s="19" t="n"/>
      <c r="AE368" s="20" t="n"/>
      <c r="AF368" s="21">
        <f>IF(K368="","",K368*AE368)</f>
        <v/>
      </c>
      <c r="AG368" s="19" t="n"/>
      <c r="AH368" s="19" t="n"/>
      <c r="AI368" s="19" t="n"/>
      <c r="AJ368" s="19" t="n"/>
      <c r="AK368" s="19" t="n"/>
      <c r="AL368" s="19" t="n"/>
      <c r="AM368" s="16" t="inlineStr">
        <is>
          <t>1 Kommode. Wickelauflage, Kisten und Inhalt gehören nicht dazu.</t>
        </is>
      </c>
      <c r="AN368" s="22" t="n"/>
    </row>
    <row r="369" ht="30" customHeight="1">
      <c r="A369" s="15" t="inlineStr">
        <is>
          <t>NE04-11</t>
        </is>
      </c>
      <c r="B369" s="15" t="n"/>
      <c r="C369" s="15" t="n"/>
      <c r="D369" s="15" t="inlineStr">
        <is>
          <t>NE04</t>
        </is>
      </c>
      <c r="E369" s="15" t="inlineStr">
        <is>
          <t>Baby Jogger City Select Kinderwagen, rot</t>
        </is>
      </c>
      <c r="F369" s="16" t="inlineStr">
        <is>
          <t>Kinderwagen Baby Jogger City Select in Rot mit Verdeck, Fünfpunktgurt, Einkaufskorb und luftbereiften Rädern. Aufdruck am Rahmen: city select by baby jogger. Der Rahmen ist an mehreren Stellen abgeschabt.</t>
        </is>
      </c>
      <c r="G369" s="15" t="inlineStr">
        <is>
          <t>Kita-Ausstattung</t>
        </is>
      </c>
      <c r="H369" s="15" t="inlineStr">
        <is>
          <t>Schlafraum 3</t>
        </is>
      </c>
      <c r="I369" s="15" t="inlineStr">
        <is>
          <t>B</t>
        </is>
      </c>
      <c r="J369" s="17" t="n">
        <v>1</v>
      </c>
      <c r="K369" s="17" t="n"/>
      <c r="L369" s="18">
        <f>J369-IF(K369="",0,K369)</f>
        <v/>
      </c>
      <c r="M369" s="15" t="inlineStr">
        <is>
          <t>Stück</t>
        </is>
      </c>
      <c r="N369" s="15" t="inlineStr">
        <is>
          <t>gebraucht</t>
        </is>
      </c>
      <c r="O369" s="19" t="n"/>
      <c r="P369" s="19" t="inlineStr">
        <is>
          <t>ja</t>
        </is>
      </c>
      <c r="Q369" s="19" t="n"/>
      <c r="R369" s="20" t="n"/>
      <c r="S369" s="20" t="n">
        <v>180</v>
      </c>
      <c r="T369" s="19" t="inlineStr">
        <is>
          <t>VHB</t>
        </is>
      </c>
      <c r="U369" s="21">
        <f>L369*S369</f>
        <v/>
      </c>
      <c r="V369" s="15" t="inlineStr">
        <is>
          <t>nur Abholung</t>
        </is>
      </c>
      <c r="W369" s="15" t="inlineStr">
        <is>
          <t>F-461</t>
        </is>
      </c>
      <c r="X369" s="19" t="inlineStr">
        <is>
          <t>ja</t>
        </is>
      </c>
      <c r="Y369" s="19" t="n"/>
      <c r="Z369" s="19" t="inlineStr">
        <is>
          <t>verfügbar</t>
        </is>
      </c>
      <c r="AA369" s="19" t="inlineStr">
        <is>
          <t>Baby Jogger</t>
        </is>
      </c>
      <c r="AB369" s="19" t="n"/>
      <c r="AC369" s="19" t="n"/>
      <c r="AD369" s="19" t="n"/>
      <c r="AE369" s="20" t="n"/>
      <c r="AF369" s="21">
        <f>IF(K369="","",K369*AE369)</f>
        <v/>
      </c>
      <c r="AG369" s="19" t="n"/>
      <c r="AH369" s="19" t="n"/>
      <c r="AI369" s="19" t="n"/>
      <c r="AJ369" s="19" t="n"/>
      <c r="AK369" s="19" t="n"/>
      <c r="AL369" s="19" t="n"/>
      <c r="AM369" s="16" t="inlineStr">
        <is>
          <t>1 Wagen. Das Gestell mit Rädern ist auf Foto F-462 zu sehen.</t>
        </is>
      </c>
      <c r="AN369" s="22" t="n"/>
    </row>
    <row r="370" ht="30" customHeight="1">
      <c r="A370" s="15" t="inlineStr">
        <is>
          <t>NE04-12</t>
        </is>
      </c>
      <c r="B370" s="15" t="n"/>
      <c r="C370" s="15" t="n"/>
      <c r="D370" s="15" t="inlineStr">
        <is>
          <t>NE04</t>
        </is>
      </c>
      <c r="E370" s="15" t="inlineStr">
        <is>
          <t>Hochflorteppich rund, rot-orange</t>
        </is>
      </c>
      <c r="F370" s="16" t="inlineStr">
        <is>
          <t>Runder Hochflorteppich in melierten Rot-, Orange- und Violetttönen.</t>
        </is>
      </c>
      <c r="G370" s="15" t="inlineStr">
        <is>
          <t>Textilien</t>
        </is>
      </c>
      <c r="H370" s="15" t="inlineStr">
        <is>
          <t>Schlafraum 3</t>
        </is>
      </c>
      <c r="I370" s="15" t="inlineStr">
        <is>
          <t>C</t>
        </is>
      </c>
      <c r="J370" s="17" t="n">
        <v>1</v>
      </c>
      <c r="K370" s="17" t="n"/>
      <c r="L370" s="18">
        <f>J370-IF(K370="",0,K370)</f>
        <v/>
      </c>
      <c r="M370" s="15" t="inlineStr">
        <is>
          <t>Stück</t>
        </is>
      </c>
      <c r="N370" s="15" t="inlineStr">
        <is>
          <t>gebraucht</t>
        </is>
      </c>
      <c r="O370" s="19" t="inlineStr">
        <is>
          <t>Ø ca. 200 cm</t>
        </is>
      </c>
      <c r="P370" s="19" t="inlineStr">
        <is>
          <t>ja</t>
        </is>
      </c>
      <c r="Q370" s="19" t="n"/>
      <c r="R370" s="20" t="n"/>
      <c r="S370" s="20" t="n">
        <v>60</v>
      </c>
      <c r="T370" s="19" t="inlineStr">
        <is>
          <t>VHB</t>
        </is>
      </c>
      <c r="U370" s="21">
        <f>L370*S370</f>
        <v/>
      </c>
      <c r="V370" s="15" t="inlineStr">
        <is>
          <t>Versand möglich</t>
        </is>
      </c>
      <c r="W370" s="15" t="inlineStr">
        <is>
          <t>F-463</t>
        </is>
      </c>
      <c r="X370" s="19" t="inlineStr">
        <is>
          <t>ja</t>
        </is>
      </c>
      <c r="Y370" s="19" t="n"/>
      <c r="Z370" s="19" t="inlineStr">
        <is>
          <t>verfügbar</t>
        </is>
      </c>
      <c r="AA370" s="19" t="n"/>
      <c r="AB370" s="19" t="n"/>
      <c r="AC370" s="19" t="n"/>
      <c r="AD370" s="19" t="n"/>
      <c r="AE370" s="20" t="n"/>
      <c r="AF370" s="21">
        <f>IF(K370="","",K370*AE370)</f>
        <v/>
      </c>
      <c r="AG370" s="19" t="n"/>
      <c r="AH370" s="19" t="n"/>
      <c r="AI370" s="19" t="n"/>
      <c r="AJ370" s="19" t="n"/>
      <c r="AK370" s="19" t="n"/>
      <c r="AL370" s="19" t="n"/>
      <c r="AM370" s="16" t="inlineStr">
        <is>
          <t>1 Teppich, Maß vom Erfassungsblatt. Der Flor ist auf Foto F-464 aus der Nähe zu sehen.</t>
        </is>
      </c>
      <c r="AN370" s="22" t="n"/>
    </row>
    <row r="371" ht="30" customHeight="1">
      <c r="A371" s="15" t="inlineStr">
        <is>
          <t>NE04-13</t>
        </is>
      </c>
      <c r="B371" s="15" t="n"/>
      <c r="C371" s="15" t="n"/>
      <c r="D371" s="15" t="inlineStr">
        <is>
          <t>NE04</t>
        </is>
      </c>
      <c r="E371" s="15" t="inlineStr">
        <is>
          <t>Windeleimer weiß mit Deckel</t>
        </is>
      </c>
      <c r="F371" s="16" t="inlineStr">
        <is>
          <t>Hoher Windeleimer aus weißem Kunststoff mit aufklappbarem Deckel, Dichtring und Fußpedal.</t>
        </is>
      </c>
      <c r="G371" s="15" t="inlineStr">
        <is>
          <t>Kita-Ausstattung</t>
        </is>
      </c>
      <c r="H371" s="15" t="inlineStr">
        <is>
          <t>Schlafraum 3</t>
        </is>
      </c>
      <c r="I371" s="15" t="inlineStr">
        <is>
          <t>C</t>
        </is>
      </c>
      <c r="J371" s="17" t="n">
        <v>2</v>
      </c>
      <c r="K371" s="17" t="n"/>
      <c r="L371" s="18">
        <f>J371-IF(K371="",0,K371)</f>
        <v/>
      </c>
      <c r="M371" s="15" t="inlineStr">
        <is>
          <t>Stück</t>
        </is>
      </c>
      <c r="N371" s="15" t="inlineStr">
        <is>
          <t>gut</t>
        </is>
      </c>
      <c r="O371" s="19" t="n"/>
      <c r="P371" s="19" t="inlineStr">
        <is>
          <t>ja</t>
        </is>
      </c>
      <c r="Q371" s="19" t="n"/>
      <c r="R371" s="20" t="n"/>
      <c r="S371" s="20" t="n">
        <v>25</v>
      </c>
      <c r="T371" s="19" t="inlineStr">
        <is>
          <t>VHB</t>
        </is>
      </c>
      <c r="U371" s="21">
        <f>L371*S371</f>
        <v/>
      </c>
      <c r="V371" s="15" t="inlineStr">
        <is>
          <t>Versand möglich</t>
        </is>
      </c>
      <c r="W371" s="15" t="inlineStr">
        <is>
          <t>F-465</t>
        </is>
      </c>
      <c r="X371" s="19" t="inlineStr">
        <is>
          <t>ja</t>
        </is>
      </c>
      <c r="Y371" s="19" t="n"/>
      <c r="Z371" s="19" t="inlineStr">
        <is>
          <t>verfügbar</t>
        </is>
      </c>
      <c r="AA371" s="19" t="n"/>
      <c r="AB371" s="19" t="n"/>
      <c r="AC371" s="19" t="n"/>
      <c r="AD371" s="19" t="n"/>
      <c r="AE371" s="20" t="n"/>
      <c r="AF371" s="21">
        <f>IF(K371="","",K371*AE371)</f>
        <v/>
      </c>
      <c r="AG371" s="19" t="n"/>
      <c r="AH371" s="19" t="n"/>
      <c r="AI371" s="19" t="n"/>
      <c r="AJ371" s="19" t="n"/>
      <c r="AK371" s="19" t="n"/>
      <c r="AL371" s="19" t="n"/>
      <c r="AM371" s="16" t="inlineStr">
        <is>
          <t>2 Eimer – abgebildet ist einer davon.</t>
        </is>
      </c>
      <c r="AN371" s="22" t="n"/>
    </row>
    <row r="372" ht="30" customHeight="1">
      <c r="A372" s="15" t="inlineStr">
        <is>
          <t>NE04-14</t>
        </is>
      </c>
      <c r="B372" s="15" t="n"/>
      <c r="C372" s="15" t="n"/>
      <c r="D372" s="15" t="inlineStr">
        <is>
          <t>NE04</t>
        </is>
      </c>
      <c r="E372" s="15" t="inlineStr">
        <is>
          <t>Wandregal in Bergform, Holz</t>
        </is>
      </c>
      <c r="F372" s="16" t="inlineStr">
        <is>
          <t>Wandregal in Form einer Bergkette aus hellem Holz mit weiß lackierten Gipfeln, durchgehender Ablageboden.</t>
        </is>
      </c>
      <c r="G372" s="15" t="inlineStr">
        <is>
          <t>Deko</t>
        </is>
      </c>
      <c r="H372" s="15" t="inlineStr">
        <is>
          <t>Schlafraum 3</t>
        </is>
      </c>
      <c r="I372" s="15" t="inlineStr">
        <is>
          <t>C</t>
        </is>
      </c>
      <c r="J372" s="17" t="n">
        <v>3</v>
      </c>
      <c r="K372" s="17" t="n"/>
      <c r="L372" s="18">
        <f>J372-IF(K372="",0,K372)</f>
        <v/>
      </c>
      <c r="M372" s="15" t="inlineStr">
        <is>
          <t>Stück</t>
        </is>
      </c>
      <c r="N372" s="15" t="inlineStr">
        <is>
          <t>gut</t>
        </is>
      </c>
      <c r="O372" s="19" t="n"/>
      <c r="P372" s="19" t="inlineStr">
        <is>
          <t>ja</t>
        </is>
      </c>
      <c r="Q372" s="19" t="n"/>
      <c r="R372" s="20" t="n"/>
      <c r="S372" s="20" t="n">
        <v>25</v>
      </c>
      <c r="T372" s="19" t="inlineStr">
        <is>
          <t>VHB</t>
        </is>
      </c>
      <c r="U372" s="21">
        <f>L372*S372</f>
        <v/>
      </c>
      <c r="V372" s="15" t="inlineStr">
        <is>
          <t>Versand möglich</t>
        </is>
      </c>
      <c r="W372" s="15" t="inlineStr">
        <is>
          <t>F-466</t>
        </is>
      </c>
      <c r="X372" s="19" t="inlineStr">
        <is>
          <t>ja</t>
        </is>
      </c>
      <c r="Y372" s="19" t="n"/>
      <c r="Z372" s="19" t="inlineStr">
        <is>
          <t>verfügbar</t>
        </is>
      </c>
      <c r="AA372" s="19" t="n"/>
      <c r="AB372" s="19" t="n"/>
      <c r="AC372" s="19" t="n"/>
      <c r="AD372" s="19" t="n"/>
      <c r="AE372" s="20" t="n"/>
      <c r="AF372" s="21">
        <f>IF(K372="","",K372*AE372)</f>
        <v/>
      </c>
      <c r="AG372" s="19" t="n"/>
      <c r="AH372" s="19" t="n"/>
      <c r="AI372" s="19" t="n"/>
      <c r="AJ372" s="19" t="n"/>
      <c r="AK372" s="19" t="n"/>
      <c r="AL372" s="19" t="n"/>
      <c r="AM372" s="16" t="inlineStr">
        <is>
          <t>3 Regale – abgebildet ist eines davon.</t>
        </is>
      </c>
      <c r="AN372" s="22" t="n"/>
    </row>
    <row r="373" ht="30" customHeight="1">
      <c r="A373" s="15" t="inlineStr">
        <is>
          <t>NE04-15</t>
        </is>
      </c>
      <c r="B373" s="15" t="n"/>
      <c r="C373" s="15" t="n"/>
      <c r="D373" s="15" t="inlineStr">
        <is>
          <t>NE04</t>
        </is>
      </c>
      <c r="E373" s="15" t="inlineStr">
        <is>
          <t>Mobile Holzbogen mit Filzkugeln</t>
        </is>
      </c>
      <c r="F373" s="16" t="inlineStr">
        <is>
          <t>Mobile mit geschwungenem Bogen aus Birkenholz, daran Filzkugeln in Rot, Grau und Weiß sowie Sterne und Häuschen aus Holz und Filz in Schwarz, Grau und Natur.</t>
        </is>
      </c>
      <c r="G373" s="15" t="inlineStr">
        <is>
          <t>Deko</t>
        </is>
      </c>
      <c r="H373" s="15" t="inlineStr">
        <is>
          <t>Schlafraum 3</t>
        </is>
      </c>
      <c r="I373" s="15" t="inlineStr">
        <is>
          <t>C</t>
        </is>
      </c>
      <c r="J373" s="17" t="n">
        <v>3</v>
      </c>
      <c r="K373" s="17" t="n"/>
      <c r="L373" s="18">
        <f>J373-IF(K373="",0,K373)</f>
        <v/>
      </c>
      <c r="M373" s="15" t="inlineStr">
        <is>
          <t>Stück</t>
        </is>
      </c>
      <c r="N373" s="15" t="inlineStr">
        <is>
          <t>gut</t>
        </is>
      </c>
      <c r="O373" s="19" t="n"/>
      <c r="P373" s="19" t="inlineStr">
        <is>
          <t>ja</t>
        </is>
      </c>
      <c r="Q373" s="19" t="n"/>
      <c r="R373" s="20" t="n"/>
      <c r="S373" s="20" t="n">
        <v>25</v>
      </c>
      <c r="T373" s="19" t="inlineStr">
        <is>
          <t>VHB</t>
        </is>
      </c>
      <c r="U373" s="21">
        <f>L373*S373</f>
        <v/>
      </c>
      <c r="V373" s="15" t="inlineStr">
        <is>
          <t>Versand möglich</t>
        </is>
      </c>
      <c r="W373" s="15" t="inlineStr">
        <is>
          <t>F-467</t>
        </is>
      </c>
      <c r="X373" s="19" t="inlineStr">
        <is>
          <t>ja</t>
        </is>
      </c>
      <c r="Y373" s="19" t="n"/>
      <c r="Z373" s="19" t="inlineStr">
        <is>
          <t>verfügbar</t>
        </is>
      </c>
      <c r="AA373" s="19" t="n"/>
      <c r="AB373" s="19" t="n"/>
      <c r="AC373" s="19" t="n"/>
      <c r="AD373" s="19" t="n"/>
      <c r="AE373" s="20" t="n"/>
      <c r="AF373" s="21">
        <f>IF(K373="","",K373*AE373)</f>
        <v/>
      </c>
      <c r="AG373" s="19" t="n"/>
      <c r="AH373" s="19" t="n"/>
      <c r="AI373" s="19" t="n"/>
      <c r="AJ373" s="19" t="n"/>
      <c r="AK373" s="19" t="n"/>
      <c r="AL373" s="19" t="n"/>
      <c r="AM373" s="16" t="inlineStr">
        <is>
          <t>3 Mobiles – abgebildet ist eines davon.</t>
        </is>
      </c>
      <c r="AN373" s="22" t="n"/>
    </row>
    <row r="374" ht="30" customHeight="1">
      <c r="A374" s="15" t="inlineStr">
        <is>
          <t>NE05-04</t>
        </is>
      </c>
      <c r="B374" s="15" t="n"/>
      <c r="C374" s="15" t="n"/>
      <c r="D374" s="15" t="inlineStr">
        <is>
          <t>NE05</t>
        </is>
      </c>
      <c r="E374" s="15" t="inlineStr">
        <is>
          <t>Vitra Panton Chair rot, Erwachsenengröße</t>
        </is>
      </c>
      <c r="F374" s="16" t="inlineStr">
        <is>
          <t>Panton Chair von Vitra, Entwurf Verner Panton: Freischwinger aus einem Stück Kunststoff, rot matt, S-förmig geschwungen. Erwachsenengröße. Aufkleber an der Unterseite: 44003000, 26.03.2019.</t>
        </is>
      </c>
      <c r="G374" s="15" t="inlineStr">
        <is>
          <t>Möbel</t>
        </is>
      </c>
      <c r="H374" s="15" t="inlineStr">
        <is>
          <t>Speisesaal</t>
        </is>
      </c>
      <c r="I374" s="15" t="inlineStr">
        <is>
          <t>A</t>
        </is>
      </c>
      <c r="J374" s="17" t="n">
        <v>1</v>
      </c>
      <c r="K374" s="17" t="n"/>
      <c r="L374" s="18">
        <f>J374-IF(K374="",0,K374)</f>
        <v/>
      </c>
      <c r="M374" s="15" t="inlineStr">
        <is>
          <t>Stück</t>
        </is>
      </c>
      <c r="N374" s="15" t="inlineStr">
        <is>
          <t>gebraucht</t>
        </is>
      </c>
      <c r="O374" s="19" t="n"/>
      <c r="P374" s="19" t="inlineStr">
        <is>
          <t>ja</t>
        </is>
      </c>
      <c r="Q374" s="19" t="n"/>
      <c r="R374" s="20" t="n"/>
      <c r="S374" s="20" t="n">
        <v>220</v>
      </c>
      <c r="T374" s="19" t="inlineStr">
        <is>
          <t>VHB</t>
        </is>
      </c>
      <c r="U374" s="21">
        <f>L374*S374</f>
        <v/>
      </c>
      <c r="V374" s="15" t="inlineStr">
        <is>
          <t>nur Abholung</t>
        </is>
      </c>
      <c r="W374" s="15" t="inlineStr">
        <is>
          <t>F-469</t>
        </is>
      </c>
      <c r="X374" s="19" t="inlineStr">
        <is>
          <t>ja</t>
        </is>
      </c>
      <c r="Y374" s="19" t="n"/>
      <c r="Z374" s="19" t="inlineStr">
        <is>
          <t>verfügbar</t>
        </is>
      </c>
      <c r="AA374" s="19" t="inlineStr">
        <is>
          <t>Vitra</t>
        </is>
      </c>
      <c r="AB374" s="19" t="n"/>
      <c r="AC374" s="19" t="n"/>
      <c r="AD374" s="19" t="n"/>
      <c r="AE374" s="20" t="n"/>
      <c r="AF374" s="21">
        <f>IF(K374="","",K374*AE374)</f>
        <v/>
      </c>
      <c r="AG374" s="19" t="n"/>
      <c r="AH374" s="19" t="n"/>
      <c r="AI374" s="19" t="n"/>
      <c r="AJ374" s="19" t="n"/>
      <c r="AK374" s="19" t="n"/>
      <c r="AL374" s="19" t="n"/>
      <c r="AM374" s="16" t="inlineStr">
        <is>
          <t>1 Stuhl. Die Seitenansicht ist auf Foto F-470 zu sehen. Panton Chairs in Kindergröße stehen unter NE05-05 (rot) und NE05-12 (weiß).</t>
        </is>
      </c>
      <c r="AN374" s="22" t="n"/>
    </row>
    <row r="375" ht="30" customHeight="1">
      <c r="A375" s="15" t="inlineStr">
        <is>
          <t>NE05-05</t>
        </is>
      </c>
      <c r="B375" s="15" t="n"/>
      <c r="C375" s="15" t="n"/>
      <c r="D375" s="15" t="inlineStr">
        <is>
          <t>NE05</t>
        </is>
      </c>
      <c r="E375" s="15" t="inlineStr">
        <is>
          <t>Vitra Panton Chair Junior rot, Kindergröße</t>
        </is>
      </c>
      <c r="F375" s="16" t="inlineStr">
        <is>
          <t>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G375" s="15" t="inlineStr">
        <is>
          <t>Kita-Ausstattung</t>
        </is>
      </c>
      <c r="H375" s="15" t="inlineStr">
        <is>
          <t>Speisesaal</t>
        </is>
      </c>
      <c r="I375" s="15" t="inlineStr">
        <is>
          <t>A</t>
        </is>
      </c>
      <c r="J375" s="17" t="n">
        <v>5</v>
      </c>
      <c r="K375" s="17" t="n"/>
      <c r="L375" s="18">
        <f>J375-IF(K375="",0,K375)</f>
        <v/>
      </c>
      <c r="M375" s="15" t="inlineStr">
        <is>
          <t>Stück</t>
        </is>
      </c>
      <c r="N375" s="15" t="inlineStr">
        <is>
          <t>gebraucht</t>
        </is>
      </c>
      <c r="O375" s="19" t="n"/>
      <c r="P375" s="19" t="inlineStr">
        <is>
          <t>ja</t>
        </is>
      </c>
      <c r="Q375" s="19" t="n"/>
      <c r="R375" s="20" t="n"/>
      <c r="S375" s="20" t="n">
        <v>150</v>
      </c>
      <c r="T375" s="19" t="inlineStr">
        <is>
          <t>VHB</t>
        </is>
      </c>
      <c r="U375" s="21">
        <f>L375*S375</f>
        <v/>
      </c>
      <c r="V375" s="15" t="inlineStr">
        <is>
          <t>nur Abholung</t>
        </is>
      </c>
      <c r="W375" s="15" t="inlineStr">
        <is>
          <t>F-471</t>
        </is>
      </c>
      <c r="X375" s="19" t="inlineStr">
        <is>
          <t>ja</t>
        </is>
      </c>
      <c r="Y375" s="19" t="n"/>
      <c r="Z375" s="19" t="inlineStr">
        <is>
          <t>verfügbar</t>
        </is>
      </c>
      <c r="AA375" s="19" t="inlineStr">
        <is>
          <t>Vitra</t>
        </is>
      </c>
      <c r="AB375" s="19" t="n"/>
      <c r="AC375" s="19" t="n"/>
      <c r="AD375" s="19" t="n"/>
      <c r="AE375" s="20" t="n"/>
      <c r="AF375" s="21">
        <f>IF(K375="","",K375*AE375)</f>
        <v/>
      </c>
      <c r="AG375" s="19" t="n"/>
      <c r="AH375" s="19" t="n"/>
      <c r="AI375" s="19" t="n"/>
      <c r="AJ375" s="19" t="n"/>
      <c r="AK375" s="19" t="n"/>
      <c r="AL375" s="19" t="n"/>
      <c r="AM375" s="16" t="inlineStr">
        <is>
          <t>5 Stühle – abgebildet ist einer davon.</t>
        </is>
      </c>
      <c r="AN375" s="22" t="n"/>
    </row>
    <row r="376" ht="30" customHeight="1">
      <c r="A376" s="15" t="inlineStr">
        <is>
          <t>NE05-06</t>
        </is>
      </c>
      <c r="B376" s="15" t="n"/>
      <c r="C376" s="15" t="n"/>
      <c r="D376" s="15" t="inlineStr">
        <is>
          <t>NE05</t>
        </is>
      </c>
      <c r="E376" s="15" t="inlineStr">
        <is>
          <t>Stokke Steps Treppenhochstuhl, schwarz</t>
        </is>
      </c>
      <c r="F376" s="16" t="inlineStr">
        <is>
          <t>Stokke Steps: mitwachsender Treppenhochstuhl, Seitenwangen und Platten schwarz, Sitz- und Fußbrett in der Höhe verstellbar, Rückenlehne mit umlaufendem Bügel. Artikelnummer 460002.</t>
        </is>
      </c>
      <c r="G376" s="15" t="inlineStr">
        <is>
          <t>Kita-Ausstattung</t>
        </is>
      </c>
      <c r="H376" s="15" t="inlineStr">
        <is>
          <t>Speisesaal</t>
        </is>
      </c>
      <c r="I376" s="15" t="inlineStr">
        <is>
          <t>B</t>
        </is>
      </c>
      <c r="J376" s="17" t="n">
        <v>7</v>
      </c>
      <c r="K376" s="17" t="n"/>
      <c r="L376" s="18">
        <f>J376-IF(K376="",0,K376)</f>
        <v/>
      </c>
      <c r="M376" s="15" t="inlineStr">
        <is>
          <t>Stück</t>
        </is>
      </c>
      <c r="N376" s="15" t="inlineStr">
        <is>
          <t>gebraucht</t>
        </is>
      </c>
      <c r="O376" s="19" t="n"/>
      <c r="P376" s="19" t="inlineStr">
        <is>
          <t>ja</t>
        </is>
      </c>
      <c r="Q376" s="19" t="n"/>
      <c r="R376" s="20" t="n"/>
      <c r="S376" s="20" t="n">
        <v>130</v>
      </c>
      <c r="T376" s="19" t="inlineStr">
        <is>
          <t>VHB</t>
        </is>
      </c>
      <c r="U376" s="21">
        <f>L376*S376</f>
        <v/>
      </c>
      <c r="V376" s="15" t="inlineStr">
        <is>
          <t>nur Abholung</t>
        </is>
      </c>
      <c r="W376" s="15" t="inlineStr">
        <is>
          <t>F-472</t>
        </is>
      </c>
      <c r="X376" s="19" t="inlineStr">
        <is>
          <t>ja</t>
        </is>
      </c>
      <c r="Y376" s="19" t="n"/>
      <c r="Z376" s="19" t="inlineStr">
        <is>
          <t>verfügbar</t>
        </is>
      </c>
      <c r="AA376" s="19" t="inlineStr">
        <is>
          <t>Stokke</t>
        </is>
      </c>
      <c r="AB376" s="19" t="n"/>
      <c r="AC376" s="19" t="n"/>
      <c r="AD376" s="19" t="n"/>
      <c r="AE376" s="20" t="n"/>
      <c r="AF376" s="21">
        <f>IF(K376="","",K376*AE376)</f>
        <v/>
      </c>
      <c r="AG376" s="19" t="n"/>
      <c r="AH376" s="19" t="n"/>
      <c r="AI376" s="19" t="n"/>
      <c r="AJ376" s="19" t="n"/>
      <c r="AK376" s="19" t="n"/>
      <c r="AL376" s="19" t="n"/>
      <c r="AM376" s="16" t="inlineStr">
        <is>
          <t>7 Stühle – abgebildet ist einer davon. Dieselbe Reihe in anderen Farben steht unter NE05-07, NE05-08 und NU05-01.</t>
        </is>
      </c>
      <c r="AN376" s="22" t="n"/>
    </row>
    <row r="377" ht="30" customHeight="1">
      <c r="A377" s="15" t="inlineStr">
        <is>
          <t>NE05-07</t>
        </is>
      </c>
      <c r="B377" s="15" t="n"/>
      <c r="C377" s="15" t="n"/>
      <c r="D377" s="15" t="inlineStr">
        <is>
          <t>NE05</t>
        </is>
      </c>
      <c r="E377" s="15" t="inlineStr">
        <is>
          <t>Stokke Steps Treppenhochstuhl, weiß mit schwarzem Gestell</t>
        </is>
      </c>
      <c r="F377" s="16" t="inlineStr">
        <is>
          <t>Stokke Steps: mitwachsender Treppenhochstuhl, Seitenwangen schwarz, Sitz- und Fußbrett sowie Rückenlehne mit Bügel in Weiß, in der Höhe verstellbar. Artikelnummer 460001.</t>
        </is>
      </c>
      <c r="G377" s="15" t="inlineStr">
        <is>
          <t>Kita-Ausstattung</t>
        </is>
      </c>
      <c r="H377" s="15" t="inlineStr">
        <is>
          <t>Speisesaal</t>
        </is>
      </c>
      <c r="I377" s="15" t="inlineStr">
        <is>
          <t>B</t>
        </is>
      </c>
      <c r="J377" s="17" t="n">
        <v>4</v>
      </c>
      <c r="K377" s="17" t="n"/>
      <c r="L377" s="18">
        <f>J377-IF(K377="",0,K377)</f>
        <v/>
      </c>
      <c r="M377" s="15" t="inlineStr">
        <is>
          <t>Stück</t>
        </is>
      </c>
      <c r="N377" s="15" t="inlineStr">
        <is>
          <t>gebraucht</t>
        </is>
      </c>
      <c r="O377" s="19" t="n"/>
      <c r="P377" s="19" t="inlineStr">
        <is>
          <t>ja</t>
        </is>
      </c>
      <c r="Q377" s="19" t="n"/>
      <c r="R377" s="20" t="n"/>
      <c r="S377" s="20" t="n">
        <v>130</v>
      </c>
      <c r="T377" s="19" t="inlineStr">
        <is>
          <t>VHB</t>
        </is>
      </c>
      <c r="U377" s="21">
        <f>L377*S377</f>
        <v/>
      </c>
      <c r="V377" s="15" t="inlineStr">
        <is>
          <t>nur Abholung</t>
        </is>
      </c>
      <c r="W377" s="15" t="inlineStr">
        <is>
          <t>F-473</t>
        </is>
      </c>
      <c r="X377" s="19" t="inlineStr">
        <is>
          <t>ja</t>
        </is>
      </c>
      <c r="Y377" s="19" t="n"/>
      <c r="Z377" s="19" t="inlineStr">
        <is>
          <t>verfügbar</t>
        </is>
      </c>
      <c r="AA377" s="19" t="inlineStr">
        <is>
          <t>Stokke</t>
        </is>
      </c>
      <c r="AB377" s="19" t="n"/>
      <c r="AC377" s="19" t="n"/>
      <c r="AD377" s="19" t="n"/>
      <c r="AE377" s="20" t="n"/>
      <c r="AF377" s="21">
        <f>IF(K377="","",K377*AE377)</f>
        <v/>
      </c>
      <c r="AG377" s="19" t="n"/>
      <c r="AH377" s="19" t="n"/>
      <c r="AI377" s="19" t="n"/>
      <c r="AJ377" s="19" t="n"/>
      <c r="AK377" s="19" t="n"/>
      <c r="AL377" s="19" t="n"/>
      <c r="AM377" s="16" t="inlineStr">
        <is>
          <t>4 Stühle – abgebildet ist einer davon. Dieselbe Reihe in anderen Farben steht unter NE05-06, NE05-08 und NU05-01.</t>
        </is>
      </c>
      <c r="AN377" s="22" t="n"/>
    </row>
    <row r="378" ht="30" customHeight="1">
      <c r="A378" s="15" t="inlineStr">
        <is>
          <t>NE05-08</t>
        </is>
      </c>
      <c r="B378" s="15" t="n"/>
      <c r="C378" s="15" t="n"/>
      <c r="D378" s="15" t="inlineStr">
        <is>
          <t>NE05</t>
        </is>
      </c>
      <c r="E378" s="15" t="inlineStr">
        <is>
          <t>Stokke Steps Treppenhochstuhl, grau mit Buchengestell</t>
        </is>
      </c>
      <c r="F378" s="16" t="inlineStr">
        <is>
          <t>Stokke Steps: mitwachsender Treppenhochstuhl, Seitenwangen aus Buche natur, Sitz- und Fußbrett sowie Rückenlehne mit Bügel in Grau, in der Höhe verstellbar. Artikelnummer 460003.</t>
        </is>
      </c>
      <c r="G378" s="15" t="inlineStr">
        <is>
          <t>Kita-Ausstattung</t>
        </is>
      </c>
      <c r="H378" s="15" t="inlineStr">
        <is>
          <t>Speisesaal</t>
        </is>
      </c>
      <c r="I378" s="15" t="inlineStr">
        <is>
          <t>B</t>
        </is>
      </c>
      <c r="J378" s="17" t="n">
        <v>4</v>
      </c>
      <c r="K378" s="17" t="n"/>
      <c r="L378" s="18">
        <f>J378-IF(K378="",0,K378)</f>
        <v/>
      </c>
      <c r="M378" s="15" t="inlineStr">
        <is>
          <t>Stück</t>
        </is>
      </c>
      <c r="N378" s="15" t="inlineStr">
        <is>
          <t>gebraucht</t>
        </is>
      </c>
      <c r="O378" s="19" t="n"/>
      <c r="P378" s="19" t="inlineStr">
        <is>
          <t>ja</t>
        </is>
      </c>
      <c r="Q378" s="19" t="n"/>
      <c r="R378" s="20" t="n"/>
      <c r="S378" s="20" t="n">
        <v>130</v>
      </c>
      <c r="T378" s="19" t="inlineStr">
        <is>
          <t>VHB</t>
        </is>
      </c>
      <c r="U378" s="21">
        <f>L378*S378</f>
        <v/>
      </c>
      <c r="V378" s="15" t="inlineStr">
        <is>
          <t>nur Abholung</t>
        </is>
      </c>
      <c r="W378" s="15" t="inlineStr">
        <is>
          <t>F-474</t>
        </is>
      </c>
      <c r="X378" s="19" t="inlineStr">
        <is>
          <t>ja</t>
        </is>
      </c>
      <c r="Y378" s="19" t="n"/>
      <c r="Z378" s="19" t="inlineStr">
        <is>
          <t>verfügbar</t>
        </is>
      </c>
      <c r="AA378" s="19" t="inlineStr">
        <is>
          <t>Stokke</t>
        </is>
      </c>
      <c r="AB378" s="19" t="n"/>
      <c r="AC378" s="19" t="n"/>
      <c r="AD378" s="19" t="n"/>
      <c r="AE378" s="20" t="n"/>
      <c r="AF378" s="21">
        <f>IF(K378="","",K378*AE378)</f>
        <v/>
      </c>
      <c r="AG378" s="19" t="n"/>
      <c r="AH378" s="19" t="n"/>
      <c r="AI378" s="19" t="n"/>
      <c r="AJ378" s="19" t="n"/>
      <c r="AK378" s="19" t="n"/>
      <c r="AL378" s="19" t="n"/>
      <c r="AM378" s="16" t="inlineStr">
        <is>
          <t>4 Stühle – abgebildet ist einer davon. Dieselbe Reihe in anderen Farben steht unter NE05-06, NE05-07 und NU05-01.</t>
        </is>
      </c>
      <c r="AN378" s="22" t="n"/>
    </row>
    <row r="379" ht="30" customHeight="1">
      <c r="A379" s="15" t="inlineStr">
        <is>
          <t>NE05-09</t>
        </is>
      </c>
      <c r="B379" s="15" t="n"/>
      <c r="C379" s="15" t="n"/>
      <c r="D379" s="15" t="inlineStr">
        <is>
          <t>NE05</t>
        </is>
      </c>
      <c r="E379" s="15" t="inlineStr">
        <is>
          <t>IKEA Ingolf Kinderhochstuhl weiß</t>
        </is>
      </c>
      <c r="F379" s="16" t="inlineStr">
        <is>
          <t>Hoher Kinderstuhl von IKEA aus Massivholz, weiß lackiert, mit Kreuzstrebe in der Lehne und Fußstütze. Etikett an der Unterseite: Ingolf, 20948, IKEA of Sweden. Die Sitzfläche ist stark verkratzt und die Farbe an den Kanten abgeplatzt.</t>
        </is>
      </c>
      <c r="G379" s="15" t="inlineStr">
        <is>
          <t>Kita-Ausstattung</t>
        </is>
      </c>
      <c r="H379" s="15" t="inlineStr">
        <is>
          <t>Speisesaal</t>
        </is>
      </c>
      <c r="I379" s="15" t="inlineStr">
        <is>
          <t>C</t>
        </is>
      </c>
      <c r="J379" s="17" t="n">
        <v>2</v>
      </c>
      <c r="K379" s="17" t="n"/>
      <c r="L379" s="18">
        <f>J379-IF(K379="",0,K379)</f>
        <v/>
      </c>
      <c r="M379" s="15" t="inlineStr">
        <is>
          <t>Stück</t>
        </is>
      </c>
      <c r="N379" s="15" t="inlineStr">
        <is>
          <t>stark gebraucht</t>
        </is>
      </c>
      <c r="O379" s="19" t="n"/>
      <c r="P379" s="19" t="inlineStr">
        <is>
          <t>ja</t>
        </is>
      </c>
      <c r="Q379" s="19" t="n"/>
      <c r="R379" s="20" t="n"/>
      <c r="S379" s="20" t="n">
        <v>35</v>
      </c>
      <c r="T379" s="19" t="inlineStr">
        <is>
          <t>VHB</t>
        </is>
      </c>
      <c r="U379" s="21">
        <f>L379*S379</f>
        <v/>
      </c>
      <c r="V379" s="15" t="inlineStr">
        <is>
          <t>nur Abholung</t>
        </is>
      </c>
      <c r="W379" s="15" t="inlineStr">
        <is>
          <t>F-475</t>
        </is>
      </c>
      <c r="X379" s="19" t="inlineStr">
        <is>
          <t>ja</t>
        </is>
      </c>
      <c r="Y379" s="19" t="n"/>
      <c r="Z379" s="19" t="inlineStr">
        <is>
          <t>verfügbar</t>
        </is>
      </c>
      <c r="AA379" s="19" t="inlineStr">
        <is>
          <t>IKEA</t>
        </is>
      </c>
      <c r="AB379" s="19" t="n"/>
      <c r="AC379" s="19" t="n"/>
      <c r="AD379" s="19" t="n"/>
      <c r="AE379" s="20" t="n"/>
      <c r="AF379" s="21">
        <f>IF(K379="","",K379*AE379)</f>
        <v/>
      </c>
      <c r="AG379" s="19" t="n"/>
      <c r="AH379" s="19" t="n"/>
      <c r="AI379" s="19" t="n"/>
      <c r="AJ379" s="19" t="n"/>
      <c r="AK379" s="19" t="n"/>
      <c r="AL379" s="19" t="n"/>
      <c r="AM379" s="16" t="inlineStr">
        <is>
          <t>2 Stühle – abgebildet ist einer davon. Das Etikett ist auf Foto F-476 zu sehen.</t>
        </is>
      </c>
      <c r="AN379" s="22" t="n"/>
    </row>
    <row r="380" ht="30" customHeight="1">
      <c r="A380" s="15" t="inlineStr">
        <is>
          <t>NE05-13</t>
        </is>
      </c>
      <c r="B380" s="15" t="n"/>
      <c r="C380" s="15" t="n"/>
      <c r="D380" s="15" t="inlineStr">
        <is>
          <t>NE05</t>
        </is>
      </c>
      <c r="E380" s="15" t="inlineStr">
        <is>
          <t>Rollwagen schwarz mit Holzplatte</t>
        </is>
      </c>
      <c r="F380" s="16" t="inlineStr">
        <is>
          <t>Rollwagen mit schwarzem Metallgestell, oberer Platte aus Multiplex und zwei schwarzen Ablageböden, auf vier Lenkrollen.</t>
        </is>
      </c>
      <c r="G380" s="15" t="inlineStr">
        <is>
          <t>Möbel</t>
        </is>
      </c>
      <c r="H380" s="15" t="inlineStr">
        <is>
          <t>Speisesaal</t>
        </is>
      </c>
      <c r="I380" s="15" t="inlineStr">
        <is>
          <t>B</t>
        </is>
      </c>
      <c r="J380" s="17" t="n">
        <v>3</v>
      </c>
      <c r="K380" s="17" t="n"/>
      <c r="L380" s="18">
        <f>J380-IF(K380="",0,K380)</f>
        <v/>
      </c>
      <c r="M380" s="15" t="inlineStr">
        <is>
          <t>Stück</t>
        </is>
      </c>
      <c r="N380" s="15" t="inlineStr">
        <is>
          <t>gebraucht</t>
        </is>
      </c>
      <c r="O380" s="19" t="n"/>
      <c r="P380" s="19" t="inlineStr">
        <is>
          <t>ja</t>
        </is>
      </c>
      <c r="Q380" s="19" t="n"/>
      <c r="R380" s="20" t="n"/>
      <c r="S380" s="20" t="n">
        <v>70</v>
      </c>
      <c r="T380" s="19" t="inlineStr">
        <is>
          <t>VHB</t>
        </is>
      </c>
      <c r="U380" s="21">
        <f>L380*S380</f>
        <v/>
      </c>
      <c r="V380" s="15" t="inlineStr">
        <is>
          <t>nur Abholung</t>
        </is>
      </c>
      <c r="W380" s="15" t="inlineStr">
        <is>
          <t>F-481</t>
        </is>
      </c>
      <c r="X380" s="19" t="inlineStr">
        <is>
          <t>ja</t>
        </is>
      </c>
      <c r="Y380" s="19" t="n"/>
      <c r="Z380" s="19" t="inlineStr">
        <is>
          <t>verfügbar</t>
        </is>
      </c>
      <c r="AA380" s="19" t="n"/>
      <c r="AB380" s="19" t="n"/>
      <c r="AC380" s="19" t="n"/>
      <c r="AD380" s="19" t="n"/>
      <c r="AE380" s="20" t="n"/>
      <c r="AF380" s="21">
        <f>IF(K380="","",K380*AE380)</f>
        <v/>
      </c>
      <c r="AG380" s="19" t="n"/>
      <c r="AH380" s="19" t="n"/>
      <c r="AI380" s="19" t="n"/>
      <c r="AJ380" s="19" t="n"/>
      <c r="AK380" s="19" t="n"/>
      <c r="AL380" s="19" t="n"/>
      <c r="AM380" s="16" t="inlineStr">
        <is>
          <t>3 Wagen – abgebildet ist einer davon. Der Inhalt gehört nicht dazu.</t>
        </is>
      </c>
      <c r="AN380" s="22" t="n"/>
    </row>
    <row r="381" ht="30" customHeight="1">
      <c r="A381" s="15" t="inlineStr">
        <is>
          <t>NE05-14</t>
        </is>
      </c>
      <c r="B381" s="15" t="n"/>
      <c r="C381" s="15" t="n"/>
      <c r="D381" s="15" t="inlineStr">
        <is>
          <t>NE05</t>
        </is>
      </c>
      <c r="E381" s="15" t="inlineStr">
        <is>
          <t>Glas-Magnettafel weiß, großformatig</t>
        </is>
      </c>
      <c r="F381" s="16" t="inlineStr">
        <is>
          <t>Große Schreib- und Magnettafel aus weiß lackiertem Glas, beschreibbar mit Whiteboard-Markern, einschließlich Magneten.</t>
        </is>
      </c>
      <c r="G381" s="15" t="inlineStr">
        <is>
          <t>Büro</t>
        </is>
      </c>
      <c r="H381" s="15" t="inlineStr">
        <is>
          <t>Speisesaal</t>
        </is>
      </c>
      <c r="I381" s="15" t="inlineStr">
        <is>
          <t>B</t>
        </is>
      </c>
      <c r="J381" s="17" t="n">
        <v>1</v>
      </c>
      <c r="K381" s="17" t="n"/>
      <c r="L381" s="18">
        <f>J381-IF(K381="",0,K381)</f>
        <v/>
      </c>
      <c r="M381" s="15" t="inlineStr">
        <is>
          <t>Stück</t>
        </is>
      </c>
      <c r="N381" s="15" t="inlineStr">
        <is>
          <t>gut</t>
        </is>
      </c>
      <c r="O381" s="19" t="n"/>
      <c r="P381" s="19" t="inlineStr">
        <is>
          <t>ja</t>
        </is>
      </c>
      <c r="Q381" s="19" t="n"/>
      <c r="R381" s="20" t="n"/>
      <c r="S381" s="20" t="n">
        <v>120</v>
      </c>
      <c r="T381" s="19" t="inlineStr">
        <is>
          <t>VHB</t>
        </is>
      </c>
      <c r="U381" s="21">
        <f>L381*S381</f>
        <v/>
      </c>
      <c r="V381" s="15" t="inlineStr">
        <is>
          <t>nur Abholung</t>
        </is>
      </c>
      <c r="W381" s="15" t="inlineStr">
        <is>
          <t>F-482</t>
        </is>
      </c>
      <c r="X381" s="19" t="inlineStr">
        <is>
          <t>ja</t>
        </is>
      </c>
      <c r="Y381" s="19" t="n"/>
      <c r="Z381" s="19" t="inlineStr">
        <is>
          <t>verfügbar</t>
        </is>
      </c>
      <c r="AA381" s="19" t="n"/>
      <c r="AB381" s="19" t="n"/>
      <c r="AC381" s="19" t="n"/>
      <c r="AD381" s="19" t="n"/>
      <c r="AE381" s="20" t="n"/>
      <c r="AF381" s="21">
        <f>IF(K381="","",K381*AE381)</f>
        <v/>
      </c>
      <c r="AG381" s="19" t="n"/>
      <c r="AH381" s="19" t="n"/>
      <c r="AI381" s="19" t="n"/>
      <c r="AJ381" s="19" t="n"/>
      <c r="AK381" s="19" t="n"/>
      <c r="AL381" s="19" t="n"/>
      <c r="AM381" s="16" t="inlineStr">
        <is>
          <t>1 Tafel einschließlich der Magnete.</t>
        </is>
      </c>
      <c r="AN381" s="22" t="n"/>
    </row>
    <row r="382" ht="30" customHeight="1">
      <c r="A382" s="15" t="inlineStr">
        <is>
          <t>NE05-15</t>
        </is>
      </c>
      <c r="B382" s="15" t="n"/>
      <c r="C382" s="15" t="n"/>
      <c r="D382" s="15" t="inlineStr">
        <is>
          <t>NE05</t>
        </is>
      </c>
      <c r="E382" s="15" t="inlineStr">
        <is>
          <t>Wandleuchte Rehkitz schwarz</t>
        </is>
      </c>
      <c r="F382" s="16" t="inlineStr">
        <is>
          <t>Wandleuchte in Form eines Rehkitzes aus schwarz lackiertem Holz, mit Kabel und Schnurschalter.</t>
        </is>
      </c>
      <c r="G382" s="15" t="inlineStr">
        <is>
          <t>Leuchten</t>
        </is>
      </c>
      <c r="H382" s="15" t="inlineStr">
        <is>
          <t>Speisesaal</t>
        </is>
      </c>
      <c r="I382" s="15" t="inlineStr">
        <is>
          <t>C</t>
        </is>
      </c>
      <c r="J382" s="17" t="n">
        <v>2</v>
      </c>
      <c r="K382" s="17" t="n"/>
      <c r="L382" s="18">
        <f>J382-IF(K382="",0,K382)</f>
        <v/>
      </c>
      <c r="M382" s="15" t="inlineStr">
        <is>
          <t>Stück</t>
        </is>
      </c>
      <c r="N382" s="15" t="inlineStr">
        <is>
          <t>gut</t>
        </is>
      </c>
      <c r="O382" s="19" t="n"/>
      <c r="P382" s="19" t="inlineStr">
        <is>
          <t>ja</t>
        </is>
      </c>
      <c r="Q382" s="19" t="n"/>
      <c r="R382" s="20" t="n"/>
      <c r="S382" s="20" t="n">
        <v>35</v>
      </c>
      <c r="T382" s="19" t="inlineStr">
        <is>
          <t>VHB</t>
        </is>
      </c>
      <c r="U382" s="21">
        <f>L382*S382</f>
        <v/>
      </c>
      <c r="V382" s="15" t="inlineStr">
        <is>
          <t>Versand möglich</t>
        </is>
      </c>
      <c r="W382" s="15" t="inlineStr">
        <is>
          <t>F-483</t>
        </is>
      </c>
      <c r="X382" s="19" t="inlineStr">
        <is>
          <t>ja</t>
        </is>
      </c>
      <c r="Y382" s="19" t="n"/>
      <c r="Z382" s="19" t="inlineStr">
        <is>
          <t>verfügbar</t>
        </is>
      </c>
      <c r="AA382" s="19" t="n"/>
      <c r="AB382" s="19" t="n"/>
      <c r="AC382" s="19" t="n"/>
      <c r="AD382" s="19" t="n"/>
      <c r="AE382" s="20" t="n"/>
      <c r="AF382" s="21">
        <f>IF(K382="","",K382*AE382)</f>
        <v/>
      </c>
      <c r="AG382" s="19" t="n"/>
      <c r="AH382" s="19" t="n"/>
      <c r="AI382" s="19" t="n"/>
      <c r="AJ382" s="19" t="n"/>
      <c r="AK382" s="19" t="n"/>
      <c r="AL382" s="19" t="n"/>
      <c r="AM382" s="16" t="inlineStr">
        <is>
          <t>2 Leuchten – abgebildet ist eine davon. Ohne Leuchtmittel.</t>
        </is>
      </c>
      <c r="AN382" s="22" t="n"/>
    </row>
    <row r="383" ht="30" customHeight="1">
      <c r="A383" s="15" t="inlineStr">
        <is>
          <t>NE05-16</t>
        </is>
      </c>
      <c r="B383" s="15" t="n"/>
      <c r="C383" s="15" t="n"/>
      <c r="D383" s="15" t="inlineStr">
        <is>
          <t>NE05</t>
        </is>
      </c>
      <c r="E383" s="15" t="inlineStr">
        <is>
          <t>Deko-Stern Holz</t>
        </is>
      </c>
      <c r="F383" s="16" t="inlineStr">
        <is>
          <t>Fünfzackiger Stern aus massivem Holz, natur, zum Stellen oder Aufhängen.</t>
        </is>
      </c>
      <c r="G383" s="15" t="inlineStr">
        <is>
          <t>Deko</t>
        </is>
      </c>
      <c r="H383" s="15" t="inlineStr">
        <is>
          <t>Speisesaal</t>
        </is>
      </c>
      <c r="I383" s="15" t="inlineStr">
        <is>
          <t>C</t>
        </is>
      </c>
      <c r="J383" s="17" t="n">
        <v>6</v>
      </c>
      <c r="K383" s="17" t="n"/>
      <c r="L383" s="18">
        <f>J383-IF(K383="",0,K383)</f>
        <v/>
      </c>
      <c r="M383" s="15" t="inlineStr">
        <is>
          <t>Stück</t>
        </is>
      </c>
      <c r="N383" s="15" t="inlineStr">
        <is>
          <t>gut</t>
        </is>
      </c>
      <c r="O383" s="19" t="n"/>
      <c r="P383" s="19" t="inlineStr">
        <is>
          <t>ja</t>
        </is>
      </c>
      <c r="Q383" s="19" t="n"/>
      <c r="R383" s="20" t="n"/>
      <c r="S383" s="20" t="n">
        <v>15</v>
      </c>
      <c r="T383" s="19" t="inlineStr">
        <is>
          <t>VHB</t>
        </is>
      </c>
      <c r="U383" s="21">
        <f>L383*S383</f>
        <v/>
      </c>
      <c r="V383" s="15" t="inlineStr">
        <is>
          <t>Versand möglich</t>
        </is>
      </c>
      <c r="W383" s="15" t="inlineStr">
        <is>
          <t>F-484</t>
        </is>
      </c>
      <c r="X383" s="19" t="inlineStr">
        <is>
          <t>ja</t>
        </is>
      </c>
      <c r="Y383" s="19" t="n"/>
      <c r="Z383" s="19" t="inlineStr">
        <is>
          <t>verfügbar</t>
        </is>
      </c>
      <c r="AA383" s="19" t="n"/>
      <c r="AB383" s="19" t="n"/>
      <c r="AC383" s="19" t="n"/>
      <c r="AD383" s="19" t="n"/>
      <c r="AE383" s="20" t="n"/>
      <c r="AF383" s="21">
        <f>IF(K383="","",K383*AE383)</f>
        <v/>
      </c>
      <c r="AG383" s="19" t="n"/>
      <c r="AH383" s="19" t="n"/>
      <c r="AI383" s="19" t="n"/>
      <c r="AJ383" s="19" t="n"/>
      <c r="AK383" s="19" t="n"/>
      <c r="AL383" s="19" t="n"/>
      <c r="AM383" s="16" t="inlineStr">
        <is>
          <t>6 Sterne – abgebildet ist einer davon.</t>
        </is>
      </c>
      <c r="AN383" s="22" t="n"/>
    </row>
    <row r="384" ht="30" customHeight="1">
      <c r="A384" s="15" t="inlineStr">
        <is>
          <t>NE05-17</t>
        </is>
      </c>
      <c r="B384" s="15" t="n"/>
      <c r="C384" s="15" t="n"/>
      <c r="D384" s="15" t="inlineStr">
        <is>
          <t>NE05</t>
        </is>
      </c>
      <c r="E384" s="15" t="inlineStr">
        <is>
          <t>Wandhaken in Stuhlform, schwarz</t>
        </is>
      </c>
      <c r="F384" s="16" t="inlineStr">
        <is>
          <t>Kleine Wandhaken in Form von Stühlen aus schwarz lackiertem Holz, in zwei verschiedenen Ausführungen.</t>
        </is>
      </c>
      <c r="G384" s="15" t="inlineStr">
        <is>
          <t>Deko</t>
        </is>
      </c>
      <c r="H384" s="15" t="inlineStr">
        <is>
          <t>Speisesaal</t>
        </is>
      </c>
      <c r="I384" s="15" t="inlineStr">
        <is>
          <t>C</t>
        </is>
      </c>
      <c r="J384" s="17" t="n">
        <v>4</v>
      </c>
      <c r="K384" s="17" t="n"/>
      <c r="L384" s="18">
        <f>J384-IF(K384="",0,K384)</f>
        <v/>
      </c>
      <c r="M384" s="15" t="inlineStr">
        <is>
          <t>Stück</t>
        </is>
      </c>
      <c r="N384" s="15" t="inlineStr">
        <is>
          <t>gut</t>
        </is>
      </c>
      <c r="O384" s="19" t="n"/>
      <c r="P384" s="19" t="inlineStr">
        <is>
          <t>ja</t>
        </is>
      </c>
      <c r="Q384" s="19" t="n"/>
      <c r="R384" s="20" t="n"/>
      <c r="S384" s="20" t="n">
        <v>20</v>
      </c>
      <c r="T384" s="19" t="inlineStr">
        <is>
          <t>VHB</t>
        </is>
      </c>
      <c r="U384" s="21">
        <f>L384*S384</f>
        <v/>
      </c>
      <c r="V384" s="15" t="inlineStr">
        <is>
          <t>Versand möglich</t>
        </is>
      </c>
      <c r="W384" s="15" t="inlineStr">
        <is>
          <t>F-485</t>
        </is>
      </c>
      <c r="X384" s="19" t="inlineStr">
        <is>
          <t>ja</t>
        </is>
      </c>
      <c r="Y384" s="19" t="n"/>
      <c r="Z384" s="19" t="inlineStr">
        <is>
          <t>verfügbar</t>
        </is>
      </c>
      <c r="AA384" s="19" t="n"/>
      <c r="AB384" s="19" t="n"/>
      <c r="AC384" s="19" t="n"/>
      <c r="AD384" s="19" t="n"/>
      <c r="AE384" s="20" t="n"/>
      <c r="AF384" s="21">
        <f>IF(K384="","",K384*AE384)</f>
        <v/>
      </c>
      <c r="AG384" s="19" t="n"/>
      <c r="AH384" s="19" t="n"/>
      <c r="AI384" s="19" t="n"/>
      <c r="AJ384" s="19" t="n"/>
      <c r="AK384" s="19" t="n"/>
      <c r="AL384" s="19" t="n"/>
      <c r="AM384" s="16" t="inlineStr">
        <is>
          <t>4 Haken, alle abgebildet.</t>
        </is>
      </c>
      <c r="AN384" s="22" t="n"/>
    </row>
    <row r="385" ht="30" customHeight="1">
      <c r="A385" s="15" t="inlineStr">
        <is>
          <t>NE05-12</t>
        </is>
      </c>
      <c r="B385" s="15" t="n"/>
      <c r="C385" s="15" t="n"/>
      <c r="D385" s="15" t="inlineStr">
        <is>
          <t>NE05</t>
        </is>
      </c>
      <c r="E385" s="15" t="inlineStr">
        <is>
          <t>Vitra Panton Chair Junior weiß, Kindergröße</t>
        </is>
      </c>
      <c r="F385" s="16" t="inlineStr">
        <is>
          <t>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G385" s="15" t="inlineStr">
        <is>
          <t>Kita-Ausstattung</t>
        </is>
      </c>
      <c r="H385" s="15" t="inlineStr">
        <is>
          <t>Speisesaal</t>
        </is>
      </c>
      <c r="I385" s="15" t="inlineStr">
        <is>
          <t>A</t>
        </is>
      </c>
      <c r="J385" s="17" t="n">
        <v>5</v>
      </c>
      <c r="K385" s="17" t="n"/>
      <c r="L385" s="18">
        <f>J385-IF(K385="",0,K385)</f>
        <v/>
      </c>
      <c r="M385" s="15" t="inlineStr">
        <is>
          <t>Stück</t>
        </is>
      </c>
      <c r="N385" s="15" t="inlineStr">
        <is>
          <t>gebraucht</t>
        </is>
      </c>
      <c r="O385" s="19" t="n"/>
      <c r="P385" s="19" t="inlineStr">
        <is>
          <t>ja</t>
        </is>
      </c>
      <c r="Q385" s="19" t="n"/>
      <c r="R385" s="20" t="n"/>
      <c r="S385" s="20" t="n">
        <v>150</v>
      </c>
      <c r="T385" s="19" t="inlineStr">
        <is>
          <t>VHB</t>
        </is>
      </c>
      <c r="U385" s="21">
        <f>L385*S385</f>
        <v/>
      </c>
      <c r="V385" s="15" t="inlineStr">
        <is>
          <t>nur Abholung</t>
        </is>
      </c>
      <c r="W385" s="15" t="inlineStr">
        <is>
          <t>F-479</t>
        </is>
      </c>
      <c r="X385" s="19" t="inlineStr">
        <is>
          <t>ja</t>
        </is>
      </c>
      <c r="Y385" s="19" t="n"/>
      <c r="Z385" s="19" t="inlineStr">
        <is>
          <t>verfügbar</t>
        </is>
      </c>
      <c r="AA385" s="19" t="inlineStr">
        <is>
          <t>Vitra</t>
        </is>
      </c>
      <c r="AB385" s="19" t="n"/>
      <c r="AC385" s="19" t="n"/>
      <c r="AD385" s="19" t="n"/>
      <c r="AE385" s="20" t="n"/>
      <c r="AF385" s="21">
        <f>IF(K385="","",K385*AE385)</f>
        <v/>
      </c>
      <c r="AG385" s="19" t="n"/>
      <c r="AH385" s="19" t="n"/>
      <c r="AI385" s="19" t="n"/>
      <c r="AJ385" s="19" t="n"/>
      <c r="AK385" s="19" t="n"/>
      <c r="AL385" s="19" t="n"/>
      <c r="AM385" s="16" t="inlineStr">
        <is>
          <t>5 Stühle – abgebildet ist einer davon, die Seitenansicht auf Foto F-480.</t>
        </is>
      </c>
      <c r="AN385" s="22" t="n"/>
    </row>
    <row r="386" ht="30" customHeight="1">
      <c r="A386" s="15" t="inlineStr">
        <is>
          <t>NU02-25</t>
        </is>
      </c>
      <c r="B386" s="15" t="n"/>
      <c r="C386" s="15" t="n"/>
      <c r="D386" s="15" t="inlineStr">
        <is>
          <t>NU02</t>
        </is>
      </c>
      <c r="E386" s="15" t="inlineStr">
        <is>
          <t>Vitra Eames Elephant, kleine Ausführung, schwarz</t>
        </is>
      </c>
      <c r="F386" s="16" t="inlineStr">
        <is>
          <t>Eames Elephant Small von Vitra, Entwurf Charles und Ray Eames 1945: Sitz- und Spieltier in Elefantenform aus Kunststoff, kleine Ausführung, schwarz. An der Flanke das runde Vitra-Metallplättchen.</t>
        </is>
      </c>
      <c r="G386" s="15" t="inlineStr">
        <is>
          <t>Deko</t>
        </is>
      </c>
      <c r="H386" s="15" t="inlineStr">
        <is>
          <t>Gruppenraum 5</t>
        </is>
      </c>
      <c r="I386" s="15" t="inlineStr">
        <is>
          <t>A</t>
        </is>
      </c>
      <c r="J386" s="17" t="n">
        <v>1</v>
      </c>
      <c r="K386" s="17" t="n"/>
      <c r="L386" s="18">
        <f>J386-IF(K386="",0,K386)</f>
        <v/>
      </c>
      <c r="M386" s="15" t="inlineStr">
        <is>
          <t>Stück</t>
        </is>
      </c>
      <c r="N386" s="15" t="inlineStr">
        <is>
          <t>gebraucht</t>
        </is>
      </c>
      <c r="O386" s="19" t="n"/>
      <c r="P386" s="19" t="inlineStr">
        <is>
          <t>ja</t>
        </is>
      </c>
      <c r="Q386" s="19" t="n"/>
      <c r="R386" s="20" t="n"/>
      <c r="S386" s="20" t="n">
        <v>110</v>
      </c>
      <c r="T386" s="19" t="inlineStr">
        <is>
          <t>VHB</t>
        </is>
      </c>
      <c r="U386" s="21">
        <f>L386*S386</f>
        <v/>
      </c>
      <c r="V386" s="15" t="inlineStr">
        <is>
          <t>Versand möglich</t>
        </is>
      </c>
      <c r="W386" s="15" t="inlineStr">
        <is>
          <t>F-487</t>
        </is>
      </c>
      <c r="X386" s="19" t="inlineStr">
        <is>
          <t>ja</t>
        </is>
      </c>
      <c r="Y386" s="19" t="n"/>
      <c r="Z386" s="19" t="inlineStr">
        <is>
          <t>verfügbar</t>
        </is>
      </c>
      <c r="AA386" s="19" t="inlineStr">
        <is>
          <t>Vitra</t>
        </is>
      </c>
      <c r="AB386" s="19" t="n"/>
      <c r="AC386" s="19" t="n"/>
      <c r="AD386" s="19" t="n"/>
      <c r="AE386" s="20" t="n"/>
      <c r="AF386" s="21">
        <f>IF(K386="","",K386*AE386)</f>
        <v/>
      </c>
      <c r="AG386" s="19" t="n"/>
      <c r="AH386" s="19" t="n"/>
      <c r="AI386" s="19" t="n"/>
      <c r="AJ386" s="19" t="n"/>
      <c r="AK386" s="19" t="n"/>
      <c r="AL386" s="19" t="n"/>
      <c r="AM386" s="16" t="inlineStr">
        <is>
          <t>1 Elefant. Auf dem Foto steht er neben einem Exemplar der großen Ausführung (NU02-18), sodass der Größenunterschied zu sehen ist.</t>
        </is>
      </c>
      <c r="AN386" s="22" t="n"/>
    </row>
    <row r="387" ht="30" customHeight="1">
      <c r="A387" s="15" t="inlineStr">
        <is>
          <t>BE01-04</t>
        </is>
      </c>
      <c r="B387" s="15" t="n"/>
      <c r="C387" s="15" t="n"/>
      <c r="D387" s="15" t="inlineStr">
        <is>
          <t>BE01</t>
        </is>
      </c>
      <c r="E387" s="15" t="inlineStr">
        <is>
          <t>Beistelltisch rund, Drahtgestell schwarz</t>
        </is>
      </c>
      <c r="F387" s="16" t="inlineStr">
        <is>
          <t>Runder Beistelltisch mit taillentem Gestell aus schwarzen Rundstäben und aufgelegter Holzplatte in Nussbaumton.</t>
        </is>
      </c>
      <c r="G387" s="15" t="inlineStr">
        <is>
          <t>Möbel</t>
        </is>
      </c>
      <c r="H387" s="15" t="inlineStr">
        <is>
          <t>Flur 1</t>
        </is>
      </c>
      <c r="I387" s="15" t="inlineStr">
        <is>
          <t>C</t>
        </is>
      </c>
      <c r="J387" s="17" t="n">
        <v>1</v>
      </c>
      <c r="K387" s="17" t="n"/>
      <c r="L387" s="18">
        <f>J387-IF(K387="",0,K387)</f>
        <v/>
      </c>
      <c r="M387" s="15" t="inlineStr">
        <is>
          <t>Stück</t>
        </is>
      </c>
      <c r="N387" s="15" t="inlineStr">
        <is>
          <t>gut</t>
        </is>
      </c>
      <c r="O387" s="19" t="n"/>
      <c r="P387" s="19" t="inlineStr">
        <is>
          <t>ja</t>
        </is>
      </c>
      <c r="Q387" s="19" t="n"/>
      <c r="R387" s="20" t="n"/>
      <c r="S387" s="20" t="n">
        <v>45</v>
      </c>
      <c r="T387" s="19" t="inlineStr">
        <is>
          <t>VHB</t>
        </is>
      </c>
      <c r="U387" s="21">
        <f>L387*S387</f>
        <v/>
      </c>
      <c r="V387" s="15" t="inlineStr">
        <is>
          <t>nur Abholung</t>
        </is>
      </c>
      <c r="W387" s="15" t="inlineStr">
        <is>
          <t>F-489</t>
        </is>
      </c>
      <c r="X387" s="19" t="inlineStr">
        <is>
          <t>ja</t>
        </is>
      </c>
      <c r="Y387" s="19" t="n"/>
      <c r="Z387" s="19" t="inlineStr">
        <is>
          <t>verfügbar</t>
        </is>
      </c>
      <c r="AA387" s="19" t="n"/>
      <c r="AB387" s="19" t="n"/>
      <c r="AC387" s="19" t="n"/>
      <c r="AD387" s="19" t="n"/>
      <c r="AE387" s="20" t="n"/>
      <c r="AF387" s="21">
        <f>IF(K387="","",K387*AE387)</f>
        <v/>
      </c>
      <c r="AG387" s="19" t="n"/>
      <c r="AH387" s="19" t="n"/>
      <c r="AI387" s="19" t="n"/>
      <c r="AJ387" s="19" t="n"/>
      <c r="AK387" s="19" t="n"/>
      <c r="AL387" s="19" t="n"/>
      <c r="AM387" s="16" t="inlineStr">
        <is>
          <t>1 Tisch.</t>
        </is>
      </c>
      <c r="AN387" s="22" t="n"/>
    </row>
    <row r="388" ht="30" customHeight="1">
      <c r="A388" s="15" t="inlineStr">
        <is>
          <t>BE01-05</t>
        </is>
      </c>
      <c r="B388" s="15" t="n"/>
      <c r="C388" s="15" t="n"/>
      <c r="D388" s="15" t="inlineStr">
        <is>
          <t>BE01</t>
        </is>
      </c>
      <c r="E388" s="15" t="inlineStr">
        <is>
          <t>Wandhängeregal weiß, drei Fächer</t>
        </is>
      </c>
      <c r="F388" s="16" t="inlineStr">
        <is>
          <t>Weißes Wandregal mit drei offenen Fächern und seitlichen Aufhängungen, zum Einhängen an eine Schiene.</t>
        </is>
      </c>
      <c r="G388" s="15" t="inlineStr">
        <is>
          <t>Möbel</t>
        </is>
      </c>
      <c r="H388" s="15" t="inlineStr">
        <is>
          <t>Flur 1</t>
        </is>
      </c>
      <c r="I388" s="15" t="inlineStr">
        <is>
          <t>C</t>
        </is>
      </c>
      <c r="J388" s="17" t="n">
        <v>2</v>
      </c>
      <c r="K388" s="17" t="n"/>
      <c r="L388" s="18">
        <f>J388-IF(K388="",0,K388)</f>
        <v/>
      </c>
      <c r="M388" s="15" t="inlineStr">
        <is>
          <t>Stück</t>
        </is>
      </c>
      <c r="N388" s="15" t="inlineStr">
        <is>
          <t>gebraucht</t>
        </is>
      </c>
      <c r="O388" s="19" t="n"/>
      <c r="P388" s="19" t="inlineStr">
        <is>
          <t>ja</t>
        </is>
      </c>
      <c r="Q388" s="19" t="n"/>
      <c r="R388" s="20" t="n"/>
      <c r="S388" s="20" t="n">
        <v>35</v>
      </c>
      <c r="T388" s="19" t="inlineStr">
        <is>
          <t>VHB</t>
        </is>
      </c>
      <c r="U388" s="21">
        <f>L388*S388</f>
        <v/>
      </c>
      <c r="V388" s="15" t="inlineStr">
        <is>
          <t>nur Abholung</t>
        </is>
      </c>
      <c r="W388" s="15" t="inlineStr">
        <is>
          <t>F-490</t>
        </is>
      </c>
      <c r="X388" s="19" t="inlineStr">
        <is>
          <t>ja</t>
        </is>
      </c>
      <c r="Y388" s="19" t="n"/>
      <c r="Z388" s="19" t="inlineStr">
        <is>
          <t>verfügbar</t>
        </is>
      </c>
      <c r="AA388" s="19" t="n"/>
      <c r="AB388" s="19" t="n"/>
      <c r="AC388" s="19" t="n"/>
      <c r="AD388" s="19" t="n"/>
      <c r="AE388" s="20" t="n"/>
      <c r="AF388" s="21">
        <f>IF(K388="","",K388*AE388)</f>
        <v/>
      </c>
      <c r="AG388" s="19" t="n"/>
      <c r="AH388" s="19" t="n"/>
      <c r="AI388" s="19" t="n"/>
      <c r="AJ388" s="19" t="n"/>
      <c r="AK388" s="19" t="n"/>
      <c r="AL388" s="19" t="n"/>
      <c r="AM388" s="16" t="inlineStr">
        <is>
          <t>2 Regale – abgebildet ist eines davon. Die Dekoration gehört nicht dazu.</t>
        </is>
      </c>
      <c r="AN388" s="22" t="n"/>
    </row>
    <row r="389" ht="30" customHeight="1">
      <c r="A389" s="15" t="inlineStr">
        <is>
          <t>BE01-06</t>
        </is>
      </c>
      <c r="B389" s="15" t="n"/>
      <c r="C389" s="15" t="n"/>
      <c r="D389" s="15" t="inlineStr">
        <is>
          <t>BE01</t>
        </is>
      </c>
      <c r="E389" s="15" t="inlineStr">
        <is>
          <t>Wandregal in Hausform, Holz</t>
        </is>
      </c>
      <c r="F389" s="16" t="inlineStr">
        <is>
          <t>Wandelement in Hausform aus hellem Holz mit offener Front, als Bilder- oder Dekoablage.</t>
        </is>
      </c>
      <c r="G389" s="15" t="inlineStr">
        <is>
          <t>Deko</t>
        </is>
      </c>
      <c r="H389" s="15" t="inlineStr">
        <is>
          <t>Flur 1</t>
        </is>
      </c>
      <c r="I389" s="15" t="inlineStr">
        <is>
          <t>C</t>
        </is>
      </c>
      <c r="J389" s="17" t="n">
        <v>2</v>
      </c>
      <c r="K389" s="17" t="n"/>
      <c r="L389" s="18">
        <f>J389-IF(K389="",0,K389)</f>
        <v/>
      </c>
      <c r="M389" s="15" t="inlineStr">
        <is>
          <t>Stück</t>
        </is>
      </c>
      <c r="N389" s="15" t="inlineStr">
        <is>
          <t>gut</t>
        </is>
      </c>
      <c r="O389" s="19" t="n"/>
      <c r="P389" s="19" t="inlineStr">
        <is>
          <t>ja</t>
        </is>
      </c>
      <c r="Q389" s="19" t="n"/>
      <c r="R389" s="20" t="n"/>
      <c r="S389" s="20" t="n">
        <v>20</v>
      </c>
      <c r="T389" s="19" t="inlineStr">
        <is>
          <t>VHB</t>
        </is>
      </c>
      <c r="U389" s="21">
        <f>L389*S389</f>
        <v/>
      </c>
      <c r="V389" s="15" t="inlineStr">
        <is>
          <t>Versand möglich</t>
        </is>
      </c>
      <c r="W389" s="15" t="inlineStr">
        <is>
          <t>F-491</t>
        </is>
      </c>
      <c r="X389" s="19" t="inlineStr">
        <is>
          <t>ja</t>
        </is>
      </c>
      <c r="Y389" s="19" t="n"/>
      <c r="Z389" s="19" t="inlineStr">
        <is>
          <t>verfügbar</t>
        </is>
      </c>
      <c r="AA389" s="19" t="n"/>
      <c r="AB389" s="19" t="n"/>
      <c r="AC389" s="19" t="n"/>
      <c r="AD389" s="19" t="n"/>
      <c r="AE389" s="20" t="n"/>
      <c r="AF389" s="21">
        <f>IF(K389="","",K389*AE389)</f>
        <v/>
      </c>
      <c r="AG389" s="19" t="n"/>
      <c r="AH389" s="19" t="n"/>
      <c r="AI389" s="19" t="n"/>
      <c r="AJ389" s="19" t="n"/>
      <c r="AK389" s="19" t="n"/>
      <c r="AL389" s="19" t="n"/>
      <c r="AM389" s="16" t="inlineStr">
        <is>
          <t>2 Häuser in zwei Größen, beide abgebildet.</t>
        </is>
      </c>
      <c r="AN389" s="22" t="n"/>
    </row>
    <row r="390" ht="30" customHeight="1">
      <c r="A390" s="15" t="inlineStr">
        <is>
          <t>BE01-07</t>
        </is>
      </c>
      <c r="B390" s="15" t="n"/>
      <c r="C390" s="15" t="n"/>
      <c r="D390" s="15" t="inlineStr">
        <is>
          <t>BE01</t>
        </is>
      </c>
      <c r="E390" s="15" t="inlineStr">
        <is>
          <t>Wanddeko Hirschkopf mit Holzgeweih</t>
        </is>
      </c>
      <c r="F390" s="16" t="inlineStr">
        <is>
          <t>Hirschkopf als Wanddekoration: facettierter Kopf in Braun-Grau mit aufgestecktem Geweih aus hellem Holz.</t>
        </is>
      </c>
      <c r="G390" s="15" t="inlineStr">
        <is>
          <t>Deko</t>
        </is>
      </c>
      <c r="H390" s="15" t="inlineStr">
        <is>
          <t>Flur 1</t>
        </is>
      </c>
      <c r="I390" s="15" t="inlineStr">
        <is>
          <t>C</t>
        </is>
      </c>
      <c r="J390" s="17" t="n">
        <v>1</v>
      </c>
      <c r="K390" s="17" t="n"/>
      <c r="L390" s="18">
        <f>J390-IF(K390="",0,K390)</f>
        <v/>
      </c>
      <c r="M390" s="15" t="inlineStr">
        <is>
          <t>Stück</t>
        </is>
      </c>
      <c r="N390" s="15" t="inlineStr">
        <is>
          <t>gut</t>
        </is>
      </c>
      <c r="O390" s="19" t="n"/>
      <c r="P390" s="19" t="inlineStr">
        <is>
          <t>ja</t>
        </is>
      </c>
      <c r="Q390" s="19" t="n"/>
      <c r="R390" s="20" t="n"/>
      <c r="S390" s="20" t="n">
        <v>35</v>
      </c>
      <c r="T390" s="19" t="inlineStr">
        <is>
          <t>VHB</t>
        </is>
      </c>
      <c r="U390" s="21">
        <f>L390*S390</f>
        <v/>
      </c>
      <c r="V390" s="15" t="inlineStr">
        <is>
          <t>Versand möglich</t>
        </is>
      </c>
      <c r="W390" s="15" t="inlineStr">
        <is>
          <t>F-492</t>
        </is>
      </c>
      <c r="X390" s="19" t="inlineStr">
        <is>
          <t>ja</t>
        </is>
      </c>
      <c r="Y390" s="19" t="n"/>
      <c r="Z390" s="19" t="inlineStr">
        <is>
          <t>verfügbar</t>
        </is>
      </c>
      <c r="AA390" s="19" t="n"/>
      <c r="AB390" s="19" t="n"/>
      <c r="AC390" s="19" t="n"/>
      <c r="AD390" s="19" t="n"/>
      <c r="AE390" s="20" t="n"/>
      <c r="AF390" s="21">
        <f>IF(K390="","",K390*AE390)</f>
        <v/>
      </c>
      <c r="AG390" s="19" t="n"/>
      <c r="AH390" s="19" t="n"/>
      <c r="AI390" s="19" t="n"/>
      <c r="AJ390" s="19" t="n"/>
      <c r="AK390" s="19" t="n"/>
      <c r="AL390" s="19" t="n"/>
      <c r="AM390" s="16" t="inlineStr">
        <is>
          <t>1 Stück. Flache Hirschköpfe aus Sperrholz stehen unter NU04-01.</t>
        </is>
      </c>
      <c r="AN390" s="22" t="n"/>
    </row>
    <row r="391" ht="30" customHeight="1">
      <c r="A391" s="15" t="inlineStr">
        <is>
          <t>BE10-05</t>
        </is>
      </c>
      <c r="B391" s="15" t="n"/>
      <c r="C391" s="15" t="n"/>
      <c r="D391" s="15" t="inlineStr">
        <is>
          <t>BE10</t>
        </is>
      </c>
      <c r="E391" s="15" t="inlineStr">
        <is>
          <t>Schalenstuhl weiß mit Holzbeinen</t>
        </is>
      </c>
      <c r="F391" s="16" t="inlineStr">
        <is>
          <t>Stuhl mit weißer Kunststoff-Sitzschale auf konischen Beinen aus hellem Holz mit schwarzer Drahtstrebe. Kein Original: Das Etikett an der Unterseite nennt P and N Homewares Ltd, Leicester, Item No. EC101.</t>
        </is>
      </c>
      <c r="G391" s="15" t="inlineStr">
        <is>
          <t>Möbel</t>
        </is>
      </c>
      <c r="H391" s="15" t="inlineStr">
        <is>
          <t>Büro / Besprechung</t>
        </is>
      </c>
      <c r="I391" s="15" t="inlineStr">
        <is>
          <t>B</t>
        </is>
      </c>
      <c r="J391" s="17" t="n">
        <v>9</v>
      </c>
      <c r="K391" s="17" t="n"/>
      <c r="L391" s="18">
        <f>J391-IF(K391="",0,K391)</f>
        <v/>
      </c>
      <c r="M391" s="15" t="inlineStr">
        <is>
          <t>Stück</t>
        </is>
      </c>
      <c r="N391" s="15" t="inlineStr">
        <is>
          <t>gut</t>
        </is>
      </c>
      <c r="O391" s="19" t="n"/>
      <c r="P391" s="19" t="inlineStr">
        <is>
          <t>ja</t>
        </is>
      </c>
      <c r="Q391" s="19" t="n"/>
      <c r="R391" s="20" t="n"/>
      <c r="S391" s="20" t="n">
        <v>30</v>
      </c>
      <c r="T391" s="19" t="inlineStr">
        <is>
          <t>VHB</t>
        </is>
      </c>
      <c r="U391" s="21">
        <f>L391*S391</f>
        <v/>
      </c>
      <c r="V391" s="15" t="inlineStr">
        <is>
          <t>Versand möglich</t>
        </is>
      </c>
      <c r="W391" s="15" t="inlineStr">
        <is>
          <t>F-495</t>
        </is>
      </c>
      <c r="X391" s="19" t="inlineStr">
        <is>
          <t>ja</t>
        </is>
      </c>
      <c r="Y391" s="19" t="n"/>
      <c r="Z391" s="19" t="inlineStr">
        <is>
          <t>verfügbar</t>
        </is>
      </c>
      <c r="AA391" s="19" t="n"/>
      <c r="AB391" s="19" t="n"/>
      <c r="AC391" s="19" t="n"/>
      <c r="AD391" s="19" t="n"/>
      <c r="AE391" s="20" t="n"/>
      <c r="AF391" s="21">
        <f>IF(K391="","",K391*AE391)</f>
        <v/>
      </c>
      <c r="AG391" s="19" t="n"/>
      <c r="AH391" s="19" t="n"/>
      <c r="AI391" s="19" t="n"/>
      <c r="AJ391" s="19" t="n"/>
      <c r="AK391" s="19" t="n"/>
      <c r="AL391" s="19" t="n"/>
      <c r="AM391" s="16" t="inlineStr">
        <is>
          <t>9 Stühle – abgebildet ist einer davon. Das Etikett ist auf Foto F-496 zu sehen.</t>
        </is>
      </c>
      <c r="AN391" s="22" t="n"/>
    </row>
    <row r="392" ht="30" customHeight="1">
      <c r="A392" s="15" t="inlineStr">
        <is>
          <t>BE10-06</t>
        </is>
      </c>
      <c r="B392" s="15" t="n"/>
      <c r="C392" s="15" t="n"/>
      <c r="D392" s="15" t="inlineStr">
        <is>
          <t>BE10</t>
        </is>
      </c>
      <c r="E392" s="15" t="inlineStr">
        <is>
          <t>Acrylbild abstrakt, schwarz-weiß-beige, großformatig</t>
        </is>
      </c>
      <c r="F392" s="16" t="inlineStr">
        <is>
          <t>Acryl auf Leinwand im Querformat: breite Pinselzüge und Spachtelflächen in Schwarz, Weiß, Grau und Beige. Eigenarbeit einer Privatperson, nicht signiert.</t>
        </is>
      </c>
      <c r="G392" s="15" t="inlineStr">
        <is>
          <t>Kunst</t>
        </is>
      </c>
      <c r="H392" s="15" t="inlineStr">
        <is>
          <t>Büro / Besprechung</t>
        </is>
      </c>
      <c r="I392" s="15" t="inlineStr">
        <is>
          <t>B</t>
        </is>
      </c>
      <c r="J392" s="17" t="n">
        <v>1</v>
      </c>
      <c r="K392" s="17" t="n"/>
      <c r="L392" s="18">
        <f>J392-IF(K392="",0,K392)</f>
        <v/>
      </c>
      <c r="M392" s="15" t="inlineStr">
        <is>
          <t>Stück</t>
        </is>
      </c>
      <c r="N392" s="15" t="inlineStr">
        <is>
          <t>gut</t>
        </is>
      </c>
      <c r="O392" s="19" t="n"/>
      <c r="P392" s="19" t="inlineStr">
        <is>
          <t>ja</t>
        </is>
      </c>
      <c r="Q392" s="19" t="n"/>
      <c r="R392" s="20" t="n"/>
      <c r="S392" s="20" t="n">
        <v>180</v>
      </c>
      <c r="T392" s="19" t="inlineStr">
        <is>
          <t>VHB</t>
        </is>
      </c>
      <c r="U392" s="21">
        <f>L392*S392</f>
        <v/>
      </c>
      <c r="V392" s="15" t="inlineStr">
        <is>
          <t>nur Abholung</t>
        </is>
      </c>
      <c r="W392" s="15" t="inlineStr">
        <is>
          <t>F-497</t>
        </is>
      </c>
      <c r="X392" s="19" t="inlineStr">
        <is>
          <t>ja</t>
        </is>
      </c>
      <c r="Y392" s="19" t="n"/>
      <c r="Z392" s="19" t="inlineStr">
        <is>
          <t>verfügbar</t>
        </is>
      </c>
      <c r="AA392" s="19" t="n"/>
      <c r="AB392" s="19" t="n"/>
      <c r="AC392" s="19" t="n"/>
      <c r="AD392" s="19" t="n"/>
      <c r="AE392" s="20" t="n"/>
      <c r="AF392" s="21">
        <f>IF(K392="","",K392*AE392)</f>
        <v/>
      </c>
      <c r="AG392" s="19" t="n"/>
      <c r="AH392" s="19" t="n"/>
      <c r="AI392" s="19" t="n"/>
      <c r="AJ392" s="19" t="n"/>
      <c r="AK392" s="19" t="n"/>
      <c r="AL392" s="19" t="n"/>
      <c r="AM392" s="16" t="inlineStr">
        <is>
          <t>1 Bild auf Keilrahmen, ungerahmt.</t>
        </is>
      </c>
      <c r="AN392" s="22" t="n"/>
    </row>
    <row r="393" ht="30" customHeight="1">
      <c r="A393" s="15" t="inlineStr">
        <is>
          <t>BE10-07</t>
        </is>
      </c>
      <c r="B393" s="15" t="n"/>
      <c r="C393" s="15" t="n"/>
      <c r="D393" s="15" t="inlineStr">
        <is>
          <t>BE10</t>
        </is>
      </c>
      <c r="E393" s="15" t="inlineStr">
        <is>
          <t>Flipchart fahrbar mit Papierrolle</t>
        </is>
      </c>
      <c r="F393" s="16" t="inlineStr">
        <is>
          <t>Flipchart auf einem Standfuß mit weißer Säule, mit eingehängter Papierrolle. Aufdruck am unteren Rand der Rolle: Staufen.</t>
        </is>
      </c>
      <c r="G393" s="15" t="inlineStr">
        <is>
          <t>Büro</t>
        </is>
      </c>
      <c r="H393" s="15" t="inlineStr">
        <is>
          <t>Büro / Besprechung</t>
        </is>
      </c>
      <c r="I393" s="15" t="inlineStr">
        <is>
          <t>C</t>
        </is>
      </c>
      <c r="J393" s="17" t="n">
        <v>1</v>
      </c>
      <c r="K393" s="17" t="n"/>
      <c r="L393" s="18">
        <f>J393-IF(K393="",0,K393)</f>
        <v/>
      </c>
      <c r="M393" s="15" t="inlineStr">
        <is>
          <t>Stück</t>
        </is>
      </c>
      <c r="N393" s="15" t="inlineStr">
        <is>
          <t>gut</t>
        </is>
      </c>
      <c r="O393" s="19" t="n"/>
      <c r="P393" s="19" t="inlineStr">
        <is>
          <t>ja</t>
        </is>
      </c>
      <c r="Q393" s="19" t="n"/>
      <c r="R393" s="20" t="n"/>
      <c r="S393" s="20" t="n">
        <v>90</v>
      </c>
      <c r="T393" s="19" t="inlineStr">
        <is>
          <t>VHB</t>
        </is>
      </c>
      <c r="U393" s="21">
        <f>L393*S393</f>
        <v/>
      </c>
      <c r="V393" s="15" t="inlineStr">
        <is>
          <t>nur Abholung</t>
        </is>
      </c>
      <c r="W393" s="15" t="inlineStr">
        <is>
          <t>F-499</t>
        </is>
      </c>
      <c r="X393" s="19" t="inlineStr">
        <is>
          <t>ja</t>
        </is>
      </c>
      <c r="Y393" s="19" t="n"/>
      <c r="Z393" s="19" t="inlineStr">
        <is>
          <t>verfügbar</t>
        </is>
      </c>
      <c r="AA393" s="19" t="n"/>
      <c r="AB393" s="19" t="n"/>
      <c r="AC393" s="19" t="n"/>
      <c r="AD393" s="19" t="n"/>
      <c r="AE393" s="20" t="n"/>
      <c r="AF393" s="21">
        <f>IF(K393="","",K393*AE393)</f>
        <v/>
      </c>
      <c r="AG393" s="19" t="n"/>
      <c r="AH393" s="19" t="n"/>
      <c r="AI393" s="19" t="n"/>
      <c r="AJ393" s="19" t="n"/>
      <c r="AK393" s="19" t="n"/>
      <c r="AL393" s="19" t="n"/>
      <c r="AM393" s="16" t="inlineStr">
        <is>
          <t>1 Flipchart einschließlich der angefangenen Papierrolle.</t>
        </is>
      </c>
      <c r="AN393" s="22" t="n"/>
    </row>
    <row r="394" ht="30" customHeight="1">
      <c r="A394" s="15" t="inlineStr">
        <is>
          <t>BE10-08</t>
        </is>
      </c>
      <c r="B394" s="15" t="n"/>
      <c r="C394" s="15" t="n"/>
      <c r="D394" s="15" t="inlineStr">
        <is>
          <t>BE10</t>
        </is>
      </c>
      <c r="E394" s="15" t="inlineStr">
        <is>
          <t>Eckschreibtisch weiß</t>
        </is>
      </c>
      <c r="F394" s="16" t="inlineStr">
        <is>
          <t>Eckschreibtisch mit weißer Platte und ausgeschnittener Vorderkante auf weißem Metallgestell mit Säulenfüßen.</t>
        </is>
      </c>
      <c r="G394" s="15" t="inlineStr">
        <is>
          <t>Büro</t>
        </is>
      </c>
      <c r="H394" s="15" t="inlineStr">
        <is>
          <t>Büro / Besprechung</t>
        </is>
      </c>
      <c r="I394" s="15" t="inlineStr">
        <is>
          <t>B</t>
        </is>
      </c>
      <c r="J394" s="17" t="n">
        <v>1</v>
      </c>
      <c r="K394" s="17" t="n"/>
      <c r="L394" s="18">
        <f>J394-IF(K394="",0,K394)</f>
        <v/>
      </c>
      <c r="M394" s="15" t="inlineStr">
        <is>
          <t>Stück</t>
        </is>
      </c>
      <c r="N394" s="15" t="inlineStr">
        <is>
          <t>gebraucht</t>
        </is>
      </c>
      <c r="O394" s="19" t="n"/>
      <c r="P394" s="19" t="inlineStr">
        <is>
          <t>ja</t>
        </is>
      </c>
      <c r="Q394" s="19" t="n"/>
      <c r="R394" s="20" t="n"/>
      <c r="S394" s="20" t="n">
        <v>150</v>
      </c>
      <c r="T394" s="19" t="inlineStr">
        <is>
          <t>VHB</t>
        </is>
      </c>
      <c r="U394" s="21">
        <f>L394*S394</f>
        <v/>
      </c>
      <c r="V394" s="15" t="inlineStr">
        <is>
          <t>nur Abholung</t>
        </is>
      </c>
      <c r="W394" s="15" t="inlineStr">
        <is>
          <t>F-500</t>
        </is>
      </c>
      <c r="X394" s="19" t="inlineStr">
        <is>
          <t>ja</t>
        </is>
      </c>
      <c r="Y394" s="19" t="n"/>
      <c r="Z394" s="19" t="inlineStr">
        <is>
          <t>verfügbar</t>
        </is>
      </c>
      <c r="AA394" s="19" t="n"/>
      <c r="AB394" s="19" t="n"/>
      <c r="AC394" s="19" t="n"/>
      <c r="AD394" s="19" t="n"/>
      <c r="AE394" s="20" t="n"/>
      <c r="AF394" s="21">
        <f>IF(K394="","",K394*AE394)</f>
        <v/>
      </c>
      <c r="AG394" s="19" t="n"/>
      <c r="AH394" s="19" t="n"/>
      <c r="AI394" s="19" t="n"/>
      <c r="AJ394" s="19" t="n"/>
      <c r="AK394" s="19" t="n"/>
      <c r="AL394" s="19" t="n"/>
      <c r="AM394" s="16" t="inlineStr">
        <is>
          <t>1 Tisch. Rechner, Bildschirm, Tastatur, Schreibunterlage und das übrige Zubehör gehören nicht dazu. Das Post-it ist auf Foto F-501 zu lesen.</t>
        </is>
      </c>
      <c r="AN394" s="22" t="n"/>
    </row>
    <row r="395" ht="30" customHeight="1">
      <c r="A395" s="15" t="inlineStr">
        <is>
          <t>TE02-07</t>
        </is>
      </c>
      <c r="B395" s="15" t="n"/>
      <c r="C395" s="15" t="n"/>
      <c r="D395" s="15" t="inlineStr">
        <is>
          <t>TE02</t>
        </is>
      </c>
      <c r="E395" s="15" t="inlineStr">
        <is>
          <t>KidKraft Kinder-Strandliege mit Sonnendach</t>
        </is>
      </c>
      <c r="F395" s="16" t="inlineStr">
        <is>
          <t>Liege für Kinder aus lasiertem Holz mit Lattenrost, hochgestellter Rückenlehne, Sonnendach aus grauem Stoff und einer Mittelkonsole mit zwei Bechereinsätzen. Das Holz ist wettergrau, der Stoff verschmutzt.</t>
        </is>
      </c>
      <c r="G395" s="15" t="inlineStr">
        <is>
          <t>Garten</t>
        </is>
      </c>
      <c r="H395" s="15" t="inlineStr">
        <is>
          <t>Dachterrasse</t>
        </is>
      </c>
      <c r="I395" s="15" t="inlineStr">
        <is>
          <t>C</t>
        </is>
      </c>
      <c r="J395" s="17" t="n">
        <v>1</v>
      </c>
      <c r="K395" s="17" t="n"/>
      <c r="L395" s="18">
        <f>J395-IF(K395="",0,K395)</f>
        <v/>
      </c>
      <c r="M395" s="15" t="inlineStr">
        <is>
          <t>Stück</t>
        </is>
      </c>
      <c r="N395" s="15" t="inlineStr">
        <is>
          <t>gebraucht</t>
        </is>
      </c>
      <c r="O395" s="19" t="n"/>
      <c r="P395" s="19" t="inlineStr">
        <is>
          <t>ja</t>
        </is>
      </c>
      <c r="Q395" s="19" t="n"/>
      <c r="R395" s="20" t="n"/>
      <c r="S395" s="20" t="n">
        <v>60</v>
      </c>
      <c r="T395" s="19" t="inlineStr">
        <is>
          <t>VHB</t>
        </is>
      </c>
      <c r="U395" s="21">
        <f>L395*S395</f>
        <v/>
      </c>
      <c r="V395" s="15" t="inlineStr">
        <is>
          <t>nur Abholung</t>
        </is>
      </c>
      <c r="W395" s="15" t="inlineStr">
        <is>
          <t>F-504</t>
        </is>
      </c>
      <c r="X395" s="19" t="inlineStr">
        <is>
          <t>ja</t>
        </is>
      </c>
      <c r="Y395" s="19" t="n"/>
      <c r="Z395" s="19" t="inlineStr">
        <is>
          <t>verfügbar</t>
        </is>
      </c>
      <c r="AA395" s="19" t="inlineStr">
        <is>
          <t>KidKraft</t>
        </is>
      </c>
      <c r="AB395" s="19" t="n"/>
      <c r="AC395" s="19" t="n"/>
      <c r="AD395" s="19" t="n"/>
      <c r="AE395" s="20" t="n"/>
      <c r="AF395" s="21">
        <f>IF(K395="","",K395*AE395)</f>
        <v/>
      </c>
      <c r="AG395" s="19" t="n"/>
      <c r="AH395" s="19" t="n"/>
      <c r="AI395" s="19" t="n"/>
      <c r="AJ395" s="19" t="n"/>
      <c r="AK395" s="19" t="n"/>
      <c r="AL395" s="19" t="n"/>
      <c r="AM395" s="16" t="inlineStr">
        <is>
          <t>1 Liege einschließlich Sonnendach und Mittelkonsole.</t>
        </is>
      </c>
      <c r="AN395" s="22" t="n"/>
    </row>
    <row r="396" ht="30" customHeight="1">
      <c r="A396" s="15" t="inlineStr">
        <is>
          <t>TE02-08</t>
        </is>
      </c>
      <c r="B396" s="15" t="n"/>
      <c r="C396" s="15" t="n"/>
      <c r="D396" s="15" t="inlineStr">
        <is>
          <t>TE02</t>
        </is>
      </c>
      <c r="E396" s="15" t="inlineStr">
        <is>
          <t>IKEA Skarpö Sessel weiß</t>
        </is>
      </c>
      <c r="F396" s="16" t="inlineStr">
        <is>
          <t>Gartensessel IKEA Skarpö, Entwurf Magnus Elebäck: weißer Kunststoff in einem Stück, stapelbar. Etikett an der Unterseite: Skarpö, 702.341.85, 18809. Sitzflächen verschmutzt und bewittert.</t>
        </is>
      </c>
      <c r="G396" s="15" t="inlineStr">
        <is>
          <t>Garten</t>
        </is>
      </c>
      <c r="H396" s="15" t="inlineStr">
        <is>
          <t>Dachterrasse</t>
        </is>
      </c>
      <c r="I396" s="15" t="inlineStr">
        <is>
          <t>C</t>
        </is>
      </c>
      <c r="J396" s="17" t="n">
        <v>4</v>
      </c>
      <c r="K396" s="17" t="n"/>
      <c r="L396" s="18">
        <f>J396-IF(K396="",0,K396)</f>
        <v/>
      </c>
      <c r="M396" s="15" t="inlineStr">
        <is>
          <t>Stück</t>
        </is>
      </c>
      <c r="N396" s="15" t="inlineStr">
        <is>
          <t>gebraucht</t>
        </is>
      </c>
      <c r="O396" s="19" t="n"/>
      <c r="P396" s="19" t="inlineStr">
        <is>
          <t>ja</t>
        </is>
      </c>
      <c r="Q396" s="19" t="n"/>
      <c r="R396" s="20" t="n"/>
      <c r="S396" s="20" t="n">
        <v>25</v>
      </c>
      <c r="T396" s="19" t="inlineStr">
        <is>
          <t>VHB</t>
        </is>
      </c>
      <c r="U396" s="21">
        <f>L396*S396</f>
        <v/>
      </c>
      <c r="V396" s="15" t="inlineStr">
        <is>
          <t>nur Abholung</t>
        </is>
      </c>
      <c r="W396" s="15" t="inlineStr">
        <is>
          <t>F-506</t>
        </is>
      </c>
      <c r="X396" s="19" t="inlineStr">
        <is>
          <t>ja</t>
        </is>
      </c>
      <c r="Y396" s="19" t="n"/>
      <c r="Z396" s="19" t="inlineStr">
        <is>
          <t>verfügbar</t>
        </is>
      </c>
      <c r="AA396" s="19" t="inlineStr">
        <is>
          <t>IKEA</t>
        </is>
      </c>
      <c r="AB396" s="19" t="n"/>
      <c r="AC396" s="19" t="n"/>
      <c r="AD396" s="19" t="n"/>
      <c r="AE396" s="20" t="n"/>
      <c r="AF396" s="21">
        <f>IF(K396="","",K396*AE396)</f>
        <v/>
      </c>
      <c r="AG396" s="19" t="n"/>
      <c r="AH396" s="19" t="n"/>
      <c r="AI396" s="19" t="n"/>
      <c r="AJ396" s="19" t="n"/>
      <c r="AK396" s="19" t="n"/>
      <c r="AL396" s="19" t="n"/>
      <c r="AM396" s="16" t="inlineStr">
        <is>
          <t>4 Sessel – abgebildet ist einer davon. Das Etikett ist auf Foto F-505 zu sehen.</t>
        </is>
      </c>
      <c r="AN396" s="22" t="n"/>
    </row>
    <row r="397" ht="30" customHeight="1">
      <c r="A397" s="15" t="inlineStr">
        <is>
          <t>TE02-09</t>
        </is>
      </c>
      <c r="B397" s="15" t="n"/>
      <c r="C397" s="15" t="inlineStr">
        <is>
          <t>TE02-16</t>
        </is>
      </c>
      <c r="D397" s="15" t="inlineStr">
        <is>
          <t>TE02</t>
        </is>
      </c>
      <c r="E397" s="15" t="inlineStr">
        <is>
          <t>IKEA Mammut Kinderstuhl rot</t>
        </is>
      </c>
      <c r="F397" s="16" t="inlineStr">
        <is>
          <t>Kinderstuhl IKEA Mammut aus rotem Kunststoff mit runden Beinen und breiter Rückenlehne, für drinnen und draußen.</t>
        </is>
      </c>
      <c r="G397" s="15" t="inlineStr">
        <is>
          <t>Garten</t>
        </is>
      </c>
      <c r="H397" s="15" t="inlineStr">
        <is>
          <t>Dachterrasse</t>
        </is>
      </c>
      <c r="I397" s="15" t="inlineStr">
        <is>
          <t>C</t>
        </is>
      </c>
      <c r="J397" s="17" t="n">
        <v>20</v>
      </c>
      <c r="K397" s="17" t="n"/>
      <c r="L397" s="18">
        <f>J397-IF(K397="",0,K397)</f>
        <v/>
      </c>
      <c r="M397" s="15" t="inlineStr">
        <is>
          <t>Stück</t>
        </is>
      </c>
      <c r="N397" s="15" t="inlineStr">
        <is>
          <t>gebraucht</t>
        </is>
      </c>
      <c r="O397" s="19" t="n"/>
      <c r="P397" s="19" t="inlineStr">
        <is>
          <t>ja</t>
        </is>
      </c>
      <c r="Q397" s="19" t="n"/>
      <c r="R397" s="20" t="n"/>
      <c r="S397" s="20" t="n">
        <v>12</v>
      </c>
      <c r="T397" s="19" t="inlineStr">
        <is>
          <t>VHB</t>
        </is>
      </c>
      <c r="U397" s="21">
        <f>L397*S397</f>
        <v/>
      </c>
      <c r="V397" s="15" t="inlineStr">
        <is>
          <t>nur Abholung</t>
        </is>
      </c>
      <c r="W397" s="15" t="inlineStr">
        <is>
          <t>F-507</t>
        </is>
      </c>
      <c r="X397" s="19" t="inlineStr">
        <is>
          <t>ja</t>
        </is>
      </c>
      <c r="Y397" s="19" t="n"/>
      <c r="Z397" s="19" t="inlineStr">
        <is>
          <t>verfügbar</t>
        </is>
      </c>
      <c r="AA397" s="19" t="inlineStr">
        <is>
          <t>IKEA</t>
        </is>
      </c>
      <c r="AB397" s="19" t="n"/>
      <c r="AC397" s="19" t="n"/>
      <c r="AD397" s="19" t="n"/>
      <c r="AE397" s="20" t="n"/>
      <c r="AF397" s="21">
        <f>IF(K397="","",K397*AE397)</f>
        <v/>
      </c>
      <c r="AG397" s="19" t="n"/>
      <c r="AH397" s="19" t="n"/>
      <c r="AI397" s="19" t="n"/>
      <c r="AJ397" s="19" t="n"/>
      <c r="AK397" s="19" t="n"/>
      <c r="AL397" s="19" t="n"/>
      <c r="AM397" s="16" t="inlineStr">
        <is>
          <t>20 Stühle insgesamt. Zehn davon sind in gutem Zustand (auf dem Erfassungsblatt TE02-09), zehn weitere sind gebraucht (dort TE02-16) und auf Foto F-514 gestapelt zu sehen. Insgesamt stehen 68 Mammut-Kinderstühle zum Verkauf: 20 rot (TE02-09), 20 weiß (TE02-13 und GA01-06), 16 grün (TE02-10 und NU02-14), 6 rosa (TE02-14, GA01-08 und NU02-14) und 6 blau (GA01-07). Sie stehen als eigene Positionen, weil Zustand und Standort sich unterscheiden.</t>
        </is>
      </c>
      <c r="AN397" s="22" t="inlineStr">
        <is>
          <t>Zusammengefasste Position aus zwei Nummern desselben Raums – Post-it-Nummer: TE02-16.</t>
        </is>
      </c>
    </row>
    <row r="398" ht="30" customHeight="1">
      <c r="A398" s="15" t="inlineStr">
        <is>
          <t>TE02-10</t>
        </is>
      </c>
      <c r="B398" s="15" t="n"/>
      <c r="C398" s="15" t="n"/>
      <c r="D398" s="15" t="inlineStr">
        <is>
          <t>TE02</t>
        </is>
      </c>
      <c r="E398" s="15" t="inlineStr">
        <is>
          <t>IKEA Mammut Kinderstuhl grün</t>
        </is>
      </c>
      <c r="F398" s="16" t="inlineStr">
        <is>
          <t>Kinderstuhl IKEA Mammut aus grünem Kunststoff. Die Stühle standen lange im Freien: Farbe ausgeblichen, Oberflächen stumpf und stark verkratzt.</t>
        </is>
      </c>
      <c r="G398" s="15" t="inlineStr">
        <is>
          <t>Garten</t>
        </is>
      </c>
      <c r="H398" s="15" t="inlineStr">
        <is>
          <t>Dachterrasse</t>
        </is>
      </c>
      <c r="I398" s="15" t="inlineStr">
        <is>
          <t>C</t>
        </is>
      </c>
      <c r="J398" s="17" t="n">
        <v>15</v>
      </c>
      <c r="K398" s="17" t="n"/>
      <c r="L398" s="18">
        <f>J398-IF(K398="",0,K398)</f>
        <v/>
      </c>
      <c r="M398" s="15" t="inlineStr">
        <is>
          <t>Stück</t>
        </is>
      </c>
      <c r="N398" s="15" t="inlineStr">
        <is>
          <t>stark gebraucht</t>
        </is>
      </c>
      <c r="O398" s="19" t="n"/>
      <c r="P398" s="19" t="inlineStr">
        <is>
          <t>ja</t>
        </is>
      </c>
      <c r="Q398" s="19" t="n"/>
      <c r="R398" s="20" t="n"/>
      <c r="S398" s="20" t="n">
        <v>5</v>
      </c>
      <c r="T398" s="19" t="inlineStr">
        <is>
          <t>VHB</t>
        </is>
      </c>
      <c r="U398" s="21">
        <f>L398*S398</f>
        <v/>
      </c>
      <c r="V398" s="15" t="inlineStr">
        <is>
          <t>nur Abholung</t>
        </is>
      </c>
      <c r="W398" s="15" t="inlineStr">
        <is>
          <t>F-508</t>
        </is>
      </c>
      <c r="X398" s="19" t="inlineStr">
        <is>
          <t>ja</t>
        </is>
      </c>
      <c r="Y398" s="19" t="n"/>
      <c r="Z398" s="19" t="inlineStr">
        <is>
          <t>verfügbar</t>
        </is>
      </c>
      <c r="AA398" s="19" t="inlineStr">
        <is>
          <t>IKEA</t>
        </is>
      </c>
      <c r="AB398" s="19" t="n"/>
      <c r="AC398" s="19" t="n"/>
      <c r="AD398" s="19" t="n"/>
      <c r="AE398" s="20" t="n"/>
      <c r="AF398" s="21">
        <f>IF(K398="","",K398*AE398)</f>
        <v/>
      </c>
      <c r="AG398" s="19" t="n"/>
      <c r="AH398" s="19" t="n"/>
      <c r="AI398" s="19" t="n"/>
      <c r="AJ398" s="19" t="n"/>
      <c r="AK398" s="19" t="n"/>
      <c r="AL398" s="19" t="n"/>
      <c r="AM398" s="16" t="inlineStr">
        <is>
          <t>15 Stühle – abgebildet ist einer davon. Auf dem Erfassungsblatt als stark verwittert vermerkt. Insgesamt stehen 68 Mammut-Kinderstühle zum Verkauf: 20 rot (TE02-09), 20 weiß (TE02-13 und GA01-06), 16 grün (TE02-10 und NU02-14), 6 rosa (TE02-14, GA01-08 und NU02-14) und 6 blau (GA01-07). Sie stehen als eigene Positionen, weil Zustand und Standort sich unterscheiden.</t>
        </is>
      </c>
      <c r="AN398" s="22" t="n"/>
    </row>
    <row r="399" ht="30" customHeight="1">
      <c r="A399" s="15" t="inlineStr">
        <is>
          <t>TE02-11</t>
        </is>
      </c>
      <c r="B399" s="15" t="n"/>
      <c r="C399" s="15" t="n"/>
      <c r="D399" s="15" t="inlineStr">
        <is>
          <t>TE02</t>
        </is>
      </c>
      <c r="E399" s="15" t="inlineStr">
        <is>
          <t>IKEA Mammut Kindertisch grün, rund</t>
        </is>
      </c>
      <c r="F399" s="16" t="inlineStr">
        <is>
          <t>Runder Kindertisch IKEA Mammut aus grünem Kunststoff auf drei konischen Beinen.</t>
        </is>
      </c>
      <c r="G399" s="15" t="inlineStr">
        <is>
          <t>Garten</t>
        </is>
      </c>
      <c r="H399" s="15" t="inlineStr">
        <is>
          <t>Dachterrasse</t>
        </is>
      </c>
      <c r="I399" s="15" t="inlineStr">
        <is>
          <t>C</t>
        </is>
      </c>
      <c r="J399" s="17" t="n">
        <v>2</v>
      </c>
      <c r="K399" s="17" t="n"/>
      <c r="L399" s="18">
        <f>J399-IF(K399="",0,K399)</f>
        <v/>
      </c>
      <c r="M399" s="15" t="inlineStr">
        <is>
          <t>Stück</t>
        </is>
      </c>
      <c r="N399" s="15" t="inlineStr">
        <is>
          <t>stark gebraucht</t>
        </is>
      </c>
      <c r="O399" s="19" t="n"/>
      <c r="P399" s="19" t="inlineStr">
        <is>
          <t>ja</t>
        </is>
      </c>
      <c r="Q399" s="19" t="n"/>
      <c r="R399" s="20" t="n"/>
      <c r="S399" s="20" t="n">
        <v>15</v>
      </c>
      <c r="T399" s="19" t="inlineStr">
        <is>
          <t>VHB</t>
        </is>
      </c>
      <c r="U399" s="21">
        <f>L399*S399</f>
        <v/>
      </c>
      <c r="V399" s="15" t="inlineStr">
        <is>
          <t>nur Abholung</t>
        </is>
      </c>
      <c r="W399" s="15" t="inlineStr">
        <is>
          <t>F-509</t>
        </is>
      </c>
      <c r="X399" s="19" t="inlineStr">
        <is>
          <t>ja</t>
        </is>
      </c>
      <c r="Y399" s="19" t="n"/>
      <c r="Z399" s="19" t="inlineStr">
        <is>
          <t>verfügbar</t>
        </is>
      </c>
      <c r="AA399" s="19" t="inlineStr">
        <is>
          <t>IKEA</t>
        </is>
      </c>
      <c r="AB399" s="19" t="n"/>
      <c r="AC399" s="19" t="n"/>
      <c r="AD399" s="19" t="n"/>
      <c r="AE399" s="20" t="n"/>
      <c r="AF399" s="21">
        <f>IF(K399="","",K399*AE399)</f>
        <v/>
      </c>
      <c r="AG399" s="19" t="n"/>
      <c r="AH399" s="19" t="n"/>
      <c r="AI399" s="19" t="n"/>
      <c r="AJ399" s="19" t="n"/>
      <c r="AK399" s="19" t="n"/>
      <c r="AL399" s="19" t="n"/>
      <c r="AM399" s="16" t="inlineStr">
        <is>
          <t>2 Tische – abgebildet ist einer davon.</t>
        </is>
      </c>
      <c r="AN399" s="22" t="n"/>
    </row>
    <row r="400" ht="30" customHeight="1">
      <c r="A400" s="15" t="inlineStr">
        <is>
          <t>TE02-12</t>
        </is>
      </c>
      <c r="B400" s="15" t="n"/>
      <c r="C400" s="15" t="n"/>
      <c r="D400" s="15" t="inlineStr">
        <is>
          <t>TE02</t>
        </is>
      </c>
      <c r="E400" s="15" t="inlineStr">
        <is>
          <t>IKEA Mammut Kindertisch grün, rund, stark verwittert</t>
        </is>
      </c>
      <c r="F400" s="16" t="inlineStr">
        <is>
          <t>Runder Kindertisch IKEA Mammut aus grünem Kunststoff. Die Platte ist vom Wetter ausgebleicht und großflächig grau verfärbt.</t>
        </is>
      </c>
      <c r="G400" s="15" t="inlineStr">
        <is>
          <t>Garten</t>
        </is>
      </c>
      <c r="H400" s="15" t="inlineStr">
        <is>
          <t>Dachterrasse</t>
        </is>
      </c>
      <c r="I400" s="15" t="inlineStr">
        <is>
          <t>C</t>
        </is>
      </c>
      <c r="J400" s="17" t="n">
        <v>2</v>
      </c>
      <c r="K400" s="17" t="n"/>
      <c r="L400" s="18">
        <f>J400-IF(K400="",0,K400)</f>
        <v/>
      </c>
      <c r="M400" s="15" t="inlineStr">
        <is>
          <t>Stück</t>
        </is>
      </c>
      <c r="N400" s="15" t="inlineStr">
        <is>
          <t>stark gebraucht</t>
        </is>
      </c>
      <c r="O400" s="19" t="n"/>
      <c r="P400" s="19" t="inlineStr">
        <is>
          <t>ja</t>
        </is>
      </c>
      <c r="Q400" s="19" t="n"/>
      <c r="R400" s="20" t="n"/>
      <c r="S400" s="20" t="n">
        <v>10</v>
      </c>
      <c r="T400" s="19" t="inlineStr">
        <is>
          <t>VHB</t>
        </is>
      </c>
      <c r="U400" s="21">
        <f>L400*S400</f>
        <v/>
      </c>
      <c r="V400" s="15" t="inlineStr">
        <is>
          <t>nur Abholung</t>
        </is>
      </c>
      <c r="W400" s="15" t="inlineStr">
        <is>
          <t>F-510</t>
        </is>
      </c>
      <c r="X400" s="19" t="inlineStr">
        <is>
          <t>ja</t>
        </is>
      </c>
      <c r="Y400" s="19" t="n"/>
      <c r="Z400" s="19" t="inlineStr">
        <is>
          <t>verfügbar</t>
        </is>
      </c>
      <c r="AA400" s="19" t="inlineStr">
        <is>
          <t>IKEA</t>
        </is>
      </c>
      <c r="AB400" s="19" t="n"/>
      <c r="AC400" s="19" t="n"/>
      <c r="AD400" s="19" t="n"/>
      <c r="AE400" s="20" t="n"/>
      <c r="AF400" s="21">
        <f>IF(K400="","",K400*AE400)</f>
        <v/>
      </c>
      <c r="AG400" s="19" t="n"/>
      <c r="AH400" s="19" t="n"/>
      <c r="AI400" s="19" t="n"/>
      <c r="AJ400" s="19" t="n"/>
      <c r="AK400" s="19" t="n"/>
      <c r="AL400" s="19" t="n"/>
      <c r="AM400" s="16" t="inlineStr">
        <is>
          <t>2 Tische – abgebildet ist einer davon. Weniger stark bewitterte Tische gleicher Bauart stehen unter TE02-11.</t>
        </is>
      </c>
      <c r="AN400" s="22" t="n"/>
    </row>
    <row r="401" ht="30" customHeight="1">
      <c r="A401" s="15" t="inlineStr">
        <is>
          <t>TE02-13</t>
        </is>
      </c>
      <c r="B401" s="15" t="n"/>
      <c r="C401" s="15" t="inlineStr">
        <is>
          <t>TE02-18</t>
        </is>
      </c>
      <c r="D401" s="15" t="inlineStr">
        <is>
          <t>TE02</t>
        </is>
      </c>
      <c r="E401" s="15" t="inlineStr">
        <is>
          <t>IKEA Mammut Kinderstuhl weiß</t>
        </is>
      </c>
      <c r="F401" s="16" t="inlineStr">
        <is>
          <t>Kinderstuhl IKEA Mammut aus weißem Kunststoff mit runden Beinen und breiter Rückenlehne.</t>
        </is>
      </c>
      <c r="G401" s="15" t="inlineStr">
        <is>
          <t>Garten</t>
        </is>
      </c>
      <c r="H401" s="15" t="inlineStr">
        <is>
          <t>Dachterrasse</t>
        </is>
      </c>
      <c r="I401" s="15" t="inlineStr">
        <is>
          <t>C</t>
        </is>
      </c>
      <c r="J401" s="17" t="n">
        <v>14</v>
      </c>
      <c r="K401" s="17" t="n"/>
      <c r="L401" s="18">
        <f>J401-IF(K401="",0,K401)</f>
        <v/>
      </c>
      <c r="M401" s="15" t="inlineStr">
        <is>
          <t>Stück</t>
        </is>
      </c>
      <c r="N401" s="15" t="inlineStr">
        <is>
          <t>gebraucht</t>
        </is>
      </c>
      <c r="O401" s="19" t="n"/>
      <c r="P401" s="19" t="inlineStr">
        <is>
          <t>ja</t>
        </is>
      </c>
      <c r="Q401" s="19" t="n"/>
      <c r="R401" s="20" t="n"/>
      <c r="S401" s="20" t="n">
        <v>10</v>
      </c>
      <c r="T401" s="19" t="inlineStr">
        <is>
          <t>VHB</t>
        </is>
      </c>
      <c r="U401" s="21">
        <f>L401*S401</f>
        <v/>
      </c>
      <c r="V401" s="15" t="inlineStr">
        <is>
          <t>nur Abholung</t>
        </is>
      </c>
      <c r="W401" s="15" t="inlineStr">
        <is>
          <t>F-511</t>
        </is>
      </c>
      <c r="X401" s="19" t="inlineStr">
        <is>
          <t>ja</t>
        </is>
      </c>
      <c r="Y401" s="19" t="n"/>
      <c r="Z401" s="19" t="inlineStr">
        <is>
          <t>verfügbar</t>
        </is>
      </c>
      <c r="AA401" s="19" t="inlineStr">
        <is>
          <t>IKEA</t>
        </is>
      </c>
      <c r="AB401" s="19" t="n"/>
      <c r="AC401" s="19" t="n"/>
      <c r="AD401" s="19" t="n"/>
      <c r="AE401" s="20" t="n"/>
      <c r="AF401" s="21">
        <f>IF(K401="","",K401*AE401)</f>
        <v/>
      </c>
      <c r="AG401" s="19" t="n"/>
      <c r="AH401" s="19" t="n"/>
      <c r="AI401" s="19" t="n"/>
      <c r="AJ401" s="19" t="n"/>
      <c r="AK401" s="19" t="n"/>
      <c r="AL401" s="19" t="n"/>
      <c r="AM401" s="16" t="inlineStr">
        <is>
          <t>14 Stühle insgesamt – abgebildet ist einer davon. Auf dem Erfassungsblatt stehen sie unter TE02-13 (5 Stück) und TE02-18 (9 Stück). Insgesamt stehen 68 Mammut-Kinderstühle zum Verkauf: 20 rot (TE02-09), 20 weiß (TE02-13 und GA01-06), 16 grün (TE02-10 und NU02-14), 6 rosa (TE02-14, GA01-08 und NU02-14) und 6 blau (GA01-07). Sie stehen als eigene Positionen, weil Zustand und Standort sich unterscheiden.</t>
        </is>
      </c>
      <c r="AN401" s="22" t="inlineStr">
        <is>
          <t>Zusammengefasste Position aus zwei Nummern desselben Raums – Post-it-Nummer: TE02-18.</t>
        </is>
      </c>
    </row>
    <row r="402" ht="30" customHeight="1">
      <c r="A402" s="15" t="inlineStr">
        <is>
          <t>TE02-14</t>
        </is>
      </c>
      <c r="B402" s="15" t="n"/>
      <c r="C402" s="15" t="n"/>
      <c r="D402" s="15" t="inlineStr">
        <is>
          <t>TE02</t>
        </is>
      </c>
      <c r="E402" s="15" t="inlineStr">
        <is>
          <t>IKEA Mammut Kinderstuhl rosa</t>
        </is>
      </c>
      <c r="F402" s="16" t="inlineStr">
        <is>
          <t>Kinderstuhl IKEA Mammut aus rosa Kunststoff, Farbe an Sitz und Lehne ausgeblichen.</t>
        </is>
      </c>
      <c r="G402" s="15" t="inlineStr">
        <is>
          <t>Garten</t>
        </is>
      </c>
      <c r="H402" s="15" t="inlineStr">
        <is>
          <t>Dachterrasse</t>
        </is>
      </c>
      <c r="I402" s="15" t="inlineStr">
        <is>
          <t>C</t>
        </is>
      </c>
      <c r="J402" s="17" t="n">
        <v>1</v>
      </c>
      <c r="K402" s="17" t="n"/>
      <c r="L402" s="18">
        <f>J402-IF(K402="",0,K402)</f>
        <v/>
      </c>
      <c r="M402" s="15" t="inlineStr">
        <is>
          <t>Stück</t>
        </is>
      </c>
      <c r="N402" s="15" t="inlineStr">
        <is>
          <t>gebraucht</t>
        </is>
      </c>
      <c r="O402" s="19" t="n"/>
      <c r="P402" s="19" t="inlineStr">
        <is>
          <t>ja</t>
        </is>
      </c>
      <c r="Q402" s="19" t="n"/>
      <c r="R402" s="20" t="n"/>
      <c r="S402" s="20" t="n">
        <v>10</v>
      </c>
      <c r="T402" s="19" t="inlineStr">
        <is>
          <t>VHB</t>
        </is>
      </c>
      <c r="U402" s="21">
        <f>L402*S402</f>
        <v/>
      </c>
      <c r="V402" s="15" t="inlineStr">
        <is>
          <t>nur Abholung</t>
        </is>
      </c>
      <c r="W402" s="15" t="inlineStr">
        <is>
          <t>F-512</t>
        </is>
      </c>
      <c r="X402" s="19" t="inlineStr">
        <is>
          <t>ja</t>
        </is>
      </c>
      <c r="Y402" s="19" t="n"/>
      <c r="Z402" s="19" t="inlineStr">
        <is>
          <t>verfügbar</t>
        </is>
      </c>
      <c r="AA402" s="19" t="inlineStr">
        <is>
          <t>IKEA</t>
        </is>
      </c>
      <c r="AB402" s="19" t="n"/>
      <c r="AC402" s="19" t="n"/>
      <c r="AD402" s="19" t="n"/>
      <c r="AE402" s="20" t="n"/>
      <c r="AF402" s="21">
        <f>IF(K402="","",K402*AE402)</f>
        <v/>
      </c>
      <c r="AG402" s="19" t="n"/>
      <c r="AH402" s="19" t="n"/>
      <c r="AI402" s="19" t="n"/>
      <c r="AJ402" s="19" t="n"/>
      <c r="AK402" s="19" t="n"/>
      <c r="AL402" s="19" t="n"/>
      <c r="AM402" s="16" t="inlineStr">
        <is>
          <t>1 Stuhl. Insgesamt stehen 68 Mammut-Kinderstühle zum Verkauf: 20 rot (TE02-09), 20 weiß (TE02-13 und GA01-06), 16 grün (TE02-10 und NU02-14), 6 rosa (TE02-14, GA01-08 und NU02-14) und 6 blau (GA01-07). Sie stehen als eigene Positionen, weil Zustand und Standort sich unterscheiden.</t>
        </is>
      </c>
      <c r="AN402" s="22" t="n"/>
    </row>
    <row r="403" ht="30" customHeight="1">
      <c r="A403" s="15" t="inlineStr">
        <is>
          <t>TE02-15</t>
        </is>
      </c>
      <c r="B403" s="15" t="n"/>
      <c r="C403" s="15" t="n"/>
      <c r="D403" s="15" t="inlineStr">
        <is>
          <t>TE02</t>
        </is>
      </c>
      <c r="E403" s="15" t="inlineStr">
        <is>
          <t>IKEA Mammut Kindertisch rot</t>
        </is>
      </c>
      <c r="F403" s="16" t="inlineStr">
        <is>
          <t>Kindertisch IKEA Mammut aus rotem Kunststoff auf konischen Beinen.</t>
        </is>
      </c>
      <c r="G403" s="15" t="inlineStr">
        <is>
          <t>Garten</t>
        </is>
      </c>
      <c r="H403" s="15" t="inlineStr">
        <is>
          <t>Dachterrasse</t>
        </is>
      </c>
      <c r="I403" s="15" t="inlineStr">
        <is>
          <t>C</t>
        </is>
      </c>
      <c r="J403" s="17" t="n">
        <v>3</v>
      </c>
      <c r="K403" s="17" t="n"/>
      <c r="L403" s="18">
        <f>J403-IF(K403="",0,K403)</f>
        <v/>
      </c>
      <c r="M403" s="15" t="inlineStr">
        <is>
          <t>Stück</t>
        </is>
      </c>
      <c r="N403" s="15" t="inlineStr">
        <is>
          <t>gebraucht</t>
        </is>
      </c>
      <c r="O403" s="19" t="n"/>
      <c r="P403" s="19" t="inlineStr">
        <is>
          <t>ja</t>
        </is>
      </c>
      <c r="Q403" s="19" t="n"/>
      <c r="R403" s="20" t="n"/>
      <c r="S403" s="20" t="n">
        <v>20</v>
      </c>
      <c r="T403" s="19" t="inlineStr">
        <is>
          <t>VHB</t>
        </is>
      </c>
      <c r="U403" s="21">
        <f>L403*S403</f>
        <v/>
      </c>
      <c r="V403" s="15" t="inlineStr">
        <is>
          <t>nur Abholung</t>
        </is>
      </c>
      <c r="W403" s="15" t="inlineStr">
        <is>
          <t>F-514</t>
        </is>
      </c>
      <c r="X403" s="19" t="inlineStr">
        <is>
          <t>ja</t>
        </is>
      </c>
      <c r="Y403" s="19" t="n"/>
      <c r="Z403" s="19" t="inlineStr">
        <is>
          <t>verfügbar</t>
        </is>
      </c>
      <c r="AA403" s="19" t="inlineStr">
        <is>
          <t>IKEA</t>
        </is>
      </c>
      <c r="AB403" s="19" t="n"/>
      <c r="AC403" s="19" t="n"/>
      <c r="AD403" s="19" t="n"/>
      <c r="AE403" s="20" t="n"/>
      <c r="AF403" s="21">
        <f>IF(K403="","",K403*AE403)</f>
        <v/>
      </c>
      <c r="AG403" s="19" t="n"/>
      <c r="AH403" s="19" t="n"/>
      <c r="AI403" s="19" t="n"/>
      <c r="AJ403" s="19" t="n"/>
      <c r="AK403" s="19" t="n"/>
      <c r="AL403" s="19" t="n"/>
      <c r="AM403" s="16" t="inlineStr">
        <is>
          <t>3 Tische. Auf dem Foto sind sie mit den roten Stühlen aus TE02-09 aufeinandergestellt.</t>
        </is>
      </c>
      <c r="AN403" s="22" t="n"/>
    </row>
    <row r="404" ht="30" customHeight="1">
      <c r="A404" s="15" t="inlineStr">
        <is>
          <t>TE02-17</t>
        </is>
      </c>
      <c r="B404" s="15" t="n"/>
      <c r="C404" s="15" t="n"/>
      <c r="D404" s="15" t="inlineStr">
        <is>
          <t>TE02</t>
        </is>
      </c>
      <c r="E404" s="15" t="inlineStr">
        <is>
          <t>IKEA Mammut Kindertisch weiß</t>
        </is>
      </c>
      <c r="F404" s="16" t="inlineStr">
        <is>
          <t>Rechteckiger Kindertisch IKEA Mammut aus weißem Kunststoff auf konischen Beinen. Die Platte ist fleckig und vom Wetter gezeichnet.</t>
        </is>
      </c>
      <c r="G404" s="15" t="inlineStr">
        <is>
          <t>Garten</t>
        </is>
      </c>
      <c r="H404" s="15" t="inlineStr">
        <is>
          <t>Dachterrasse</t>
        </is>
      </c>
      <c r="I404" s="15" t="inlineStr">
        <is>
          <t>C</t>
        </is>
      </c>
      <c r="J404" s="17" t="n">
        <v>3</v>
      </c>
      <c r="K404" s="17" t="n"/>
      <c r="L404" s="18">
        <f>J404-IF(K404="",0,K404)</f>
        <v/>
      </c>
      <c r="M404" s="15" t="inlineStr">
        <is>
          <t>Stück</t>
        </is>
      </c>
      <c r="N404" s="15" t="inlineStr">
        <is>
          <t>gebraucht</t>
        </is>
      </c>
      <c r="O404" s="19" t="n"/>
      <c r="P404" s="19" t="inlineStr">
        <is>
          <t>ja</t>
        </is>
      </c>
      <c r="Q404" s="19" t="n"/>
      <c r="R404" s="20" t="n"/>
      <c r="S404" s="20" t="n">
        <v>20</v>
      </c>
      <c r="T404" s="19" t="inlineStr">
        <is>
          <t>VHB</t>
        </is>
      </c>
      <c r="U404" s="21">
        <f>L404*S404</f>
        <v/>
      </c>
      <c r="V404" s="15" t="inlineStr">
        <is>
          <t>nur Abholung</t>
        </is>
      </c>
      <c r="W404" s="15" t="inlineStr">
        <is>
          <t>F-513</t>
        </is>
      </c>
      <c r="X404" s="19" t="inlineStr">
        <is>
          <t>ja</t>
        </is>
      </c>
      <c r="Y404" s="19" t="n"/>
      <c r="Z404" s="19" t="inlineStr">
        <is>
          <t>verfügbar</t>
        </is>
      </c>
      <c r="AA404" s="19" t="inlineStr">
        <is>
          <t>IKEA</t>
        </is>
      </c>
      <c r="AB404" s="19" t="n"/>
      <c r="AC404" s="19" t="n"/>
      <c r="AD404" s="19" t="n"/>
      <c r="AE404" s="20" t="n"/>
      <c r="AF404" s="21">
        <f>IF(K404="","",K404*AE404)</f>
        <v/>
      </c>
      <c r="AG404" s="19" t="n"/>
      <c r="AH404" s="19" t="n"/>
      <c r="AI404" s="19" t="n"/>
      <c r="AJ404" s="19" t="n"/>
      <c r="AK404" s="19" t="n"/>
      <c r="AL404" s="19" t="n"/>
      <c r="AM404" s="16" t="inlineStr">
        <is>
          <t>3 Tische – abgebildet ist einer davon.</t>
        </is>
      </c>
      <c r="AN404" s="22" t="n"/>
    </row>
    <row r="405" ht="30" customHeight="1">
      <c r="A405" s="15" t="inlineStr">
        <is>
          <t>GA01-02</t>
        </is>
      </c>
      <c r="B405" s="15" t="n"/>
      <c r="C405" s="15" t="n"/>
      <c r="D405" s="15" t="inlineStr">
        <is>
          <t>GA01</t>
        </is>
      </c>
      <c r="E405" s="15" t="inlineStr">
        <is>
          <t>Smoby Kinderrutsche</t>
        </is>
      </c>
      <c r="F405" s="16" t="inlineStr">
        <is>
          <t>Freistehende Kinderrutsche von Smoby aus Kunststoff mit Leiter und Handläufen. Logo am Gestell eingeprägt: Smoby.</t>
        </is>
      </c>
      <c r="G405" s="15" t="inlineStr">
        <is>
          <t>Garten</t>
        </is>
      </c>
      <c r="H405" s="15" t="inlineStr">
        <is>
          <t>Gartenanlage</t>
        </is>
      </c>
      <c r="I405" s="15" t="inlineStr">
        <is>
          <t>C</t>
        </is>
      </c>
      <c r="J405" s="17" t="n">
        <v>2</v>
      </c>
      <c r="K405" s="17" t="n"/>
      <c r="L405" s="18">
        <f>J405-IF(K405="",0,K405)</f>
        <v/>
      </c>
      <c r="M405" s="15" t="inlineStr">
        <is>
          <t>Stück</t>
        </is>
      </c>
      <c r="N405" s="15" t="inlineStr">
        <is>
          <t>gebraucht</t>
        </is>
      </c>
      <c r="O405" s="19" t="n"/>
      <c r="P405" s="19" t="inlineStr">
        <is>
          <t>ja</t>
        </is>
      </c>
      <c r="Q405" s="19" t="n"/>
      <c r="R405" s="20" t="n"/>
      <c r="S405" s="20" t="n">
        <v>35</v>
      </c>
      <c r="T405" s="19" t="inlineStr">
        <is>
          <t>VHB</t>
        </is>
      </c>
      <c r="U405" s="21">
        <f>L405*S405</f>
        <v/>
      </c>
      <c r="V405" s="15" t="inlineStr">
        <is>
          <t>nur Abholung</t>
        </is>
      </c>
      <c r="W405" s="15" t="inlineStr">
        <is>
          <t>F-533</t>
        </is>
      </c>
      <c r="X405" s="19" t="inlineStr">
        <is>
          <t>ja</t>
        </is>
      </c>
      <c r="Y405" s="19" t="n"/>
      <c r="Z405" s="19" t="inlineStr">
        <is>
          <t>verfügbar</t>
        </is>
      </c>
      <c r="AA405" s="19" t="inlineStr">
        <is>
          <t>Smoby</t>
        </is>
      </c>
      <c r="AB405" s="19" t="n"/>
      <c r="AC405" s="19" t="n"/>
      <c r="AD405" s="19" t="n"/>
      <c r="AE405" s="20" t="n"/>
      <c r="AF405" s="21">
        <f>IF(K405="","",K405*AE405)</f>
        <v/>
      </c>
      <c r="AG405" s="19" t="n"/>
      <c r="AH405" s="19" t="n"/>
      <c r="AI405" s="19" t="n"/>
      <c r="AJ405" s="19" t="n"/>
      <c r="AK405" s="19" t="n"/>
      <c r="AL405" s="19" t="n"/>
      <c r="AM405" s="16" t="inlineStr">
        <is>
          <t>2 Rutschen in unterschiedlichen Farben: rot-grün auf dem Foto, rot-blau auf Foto F-539. Das Logo ist auf den Fotos F-534 und F-540 zu sehen.</t>
        </is>
      </c>
      <c r="AN405" s="22" t="n"/>
    </row>
    <row r="406" ht="30" customHeight="1">
      <c r="A406" s="15" t="inlineStr">
        <is>
          <t>GA01-03</t>
        </is>
      </c>
      <c r="B406" s="15" t="n"/>
      <c r="C406" s="15" t="n"/>
      <c r="D406" s="15" t="inlineStr">
        <is>
          <t>GA01</t>
        </is>
      </c>
      <c r="E406" s="15" t="inlineStr">
        <is>
          <t>Schaukelanlage Holz mit Leiter und Hängehöhle</t>
        </is>
      </c>
      <c r="F406" s="16" t="inlineStr">
        <is>
          <t>Schaukelgerüst aus massiven Holzbalken mit zwei Schaukelsitzen an Seilen, einer Stoff-Hängehöhle und einer angebauten Leiter. Das Holz ist wettergrau.</t>
        </is>
      </c>
      <c r="G406" s="15" t="inlineStr">
        <is>
          <t>Kita-Ausstattung</t>
        </is>
      </c>
      <c r="H406" s="15" t="inlineStr">
        <is>
          <t>Gartenanlage</t>
        </is>
      </c>
      <c r="I406" s="15" t="inlineStr">
        <is>
          <t>B</t>
        </is>
      </c>
      <c r="J406" s="17" t="n">
        <v>1</v>
      </c>
      <c r="K406" s="17" t="n"/>
      <c r="L406" s="18">
        <f>J406-IF(K406="",0,K406)</f>
        <v/>
      </c>
      <c r="M406" s="15" t="inlineStr">
        <is>
          <t>Stück</t>
        </is>
      </c>
      <c r="N406" s="15" t="inlineStr">
        <is>
          <t>gebraucht</t>
        </is>
      </c>
      <c r="O406" s="19" t="n"/>
      <c r="P406" s="19" t="inlineStr">
        <is>
          <t>ja</t>
        </is>
      </c>
      <c r="Q406" s="19" t="n"/>
      <c r="R406" s="20" t="n"/>
      <c r="S406" s="20" t="n">
        <v>200</v>
      </c>
      <c r="T406" s="19" t="inlineStr">
        <is>
          <t>VHB</t>
        </is>
      </c>
      <c r="U406" s="21">
        <f>L406*S406</f>
        <v/>
      </c>
      <c r="V406" s="15" t="inlineStr">
        <is>
          <t>nur Abholung</t>
        </is>
      </c>
      <c r="W406" s="15" t="inlineStr">
        <is>
          <t>F-536</t>
        </is>
      </c>
      <c r="X406" s="19" t="inlineStr">
        <is>
          <t>ja</t>
        </is>
      </c>
      <c r="Y406" s="19" t="n"/>
      <c r="Z406" s="19" t="inlineStr">
        <is>
          <t>verfügbar</t>
        </is>
      </c>
      <c r="AA406" s="19" t="n"/>
      <c r="AB406" s="19" t="n"/>
      <c r="AC406" s="19" t="n"/>
      <c r="AD406" s="19" t="n"/>
      <c r="AE406" s="20" t="n"/>
      <c r="AF406" s="21">
        <f>IF(K406="","",K406*AE406)</f>
        <v/>
      </c>
      <c r="AG406" s="19" t="n"/>
      <c r="AH406" s="19" t="n"/>
      <c r="AI406" s="19" t="n"/>
      <c r="AJ406" s="19" t="n"/>
      <c r="AK406" s="19" t="n"/>
      <c r="AL406" s="19" t="n"/>
      <c r="AM406" s="16" t="inlineStr">
        <is>
          <t>1 Anlage einschließlich Schaukelsitzen und Hängehöhle. Das Kissen in der Höhle gehört nicht dazu.</t>
        </is>
      </c>
      <c r="AN406" s="22" t="n"/>
    </row>
    <row r="407" ht="30" customHeight="1">
      <c r="A407" s="15" t="inlineStr">
        <is>
          <t>GA01-04</t>
        </is>
      </c>
      <c r="B407" s="15" t="n"/>
      <c r="C407" s="15" t="n"/>
      <c r="D407" s="15" t="inlineStr">
        <is>
          <t>GA01</t>
        </is>
      </c>
      <c r="E407" s="15" t="inlineStr">
        <is>
          <t>Schaukelanlage Holz mit Rutsche und Strickleiter</t>
        </is>
      </c>
      <c r="F407" s="16" t="inlineStr">
        <is>
          <t>Schaukelgerüst aus Rundhölzern mit Schaukelsitz, Tellerschaukel, Strickleiter, Aufstiegsleiter und angebauter blauer Wellenrutsche. Das Holz ist wettergrau.</t>
        </is>
      </c>
      <c r="G407" s="15" t="inlineStr">
        <is>
          <t>Kita-Ausstattung</t>
        </is>
      </c>
      <c r="H407" s="15" t="inlineStr">
        <is>
          <t>Gartenanlage</t>
        </is>
      </c>
      <c r="I407" s="15" t="inlineStr">
        <is>
          <t>B</t>
        </is>
      </c>
      <c r="J407" s="17" t="n">
        <v>1</v>
      </c>
      <c r="K407" s="17" t="n"/>
      <c r="L407" s="18">
        <f>J407-IF(K407="",0,K407)</f>
        <v/>
      </c>
      <c r="M407" s="15" t="inlineStr">
        <is>
          <t>Stück</t>
        </is>
      </c>
      <c r="N407" s="15" t="inlineStr">
        <is>
          <t>gebraucht</t>
        </is>
      </c>
      <c r="O407" s="19" t="n"/>
      <c r="P407" s="19" t="inlineStr">
        <is>
          <t>ja</t>
        </is>
      </c>
      <c r="Q407" s="19" t="n"/>
      <c r="R407" s="20" t="n"/>
      <c r="S407" s="20" t="n">
        <v>250</v>
      </c>
      <c r="T407" s="19" t="inlineStr">
        <is>
          <t>VHB</t>
        </is>
      </c>
      <c r="U407" s="21">
        <f>L407*S407</f>
        <v/>
      </c>
      <c r="V407" s="15" t="inlineStr">
        <is>
          <t>nur Abholung</t>
        </is>
      </c>
      <c r="W407" s="15" t="inlineStr">
        <is>
          <t>F-537</t>
        </is>
      </c>
      <c r="X407" s="19" t="inlineStr">
        <is>
          <t>ja</t>
        </is>
      </c>
      <c r="Y407" s="19" t="n"/>
      <c r="Z407" s="19" t="inlineStr">
        <is>
          <t>verfügbar</t>
        </is>
      </c>
      <c r="AA407" s="19" t="n"/>
      <c r="AB407" s="19" t="n"/>
      <c r="AC407" s="19" t="n"/>
      <c r="AD407" s="19" t="n"/>
      <c r="AE407" s="20" t="n"/>
      <c r="AF407" s="21">
        <f>IF(K407="","",K407*AE407)</f>
        <v/>
      </c>
      <c r="AG407" s="19" t="n"/>
      <c r="AH407" s="19" t="n"/>
      <c r="AI407" s="19" t="n"/>
      <c r="AJ407" s="19" t="n"/>
      <c r="AK407" s="19" t="n"/>
      <c r="AL407" s="19" t="n"/>
      <c r="AM407" s="16" t="inlineStr">
        <is>
          <t>1 Anlage einschließlich Schaukelsitzen, Strickleiter und Rutsche.</t>
        </is>
      </c>
      <c r="AN407" s="22" t="n"/>
    </row>
    <row r="408" ht="30" customHeight="1">
      <c r="A408" s="15" t="inlineStr">
        <is>
          <t>GA01-05</t>
        </is>
      </c>
      <c r="B408" s="15" t="n"/>
      <c r="C408" s="15" t="n"/>
      <c r="D408" s="15" t="inlineStr">
        <is>
          <t>GA01</t>
        </is>
      </c>
      <c r="E408" s="15" t="inlineStr">
        <is>
          <t>Smoby Kindertisch mit zwei Stühlen</t>
        </is>
      </c>
      <c r="F408" s="16" t="inlineStr">
        <is>
          <t>Kindersitzgruppe von Smoby aus Kunststoff: rechteckiger Tisch in Rot und Weiß sowie zwei Schalenstühle in Rot mit weißer Sitzfläche. Die Platte ist ausgeblichen und verschmutzt.</t>
        </is>
      </c>
      <c r="G408" s="15" t="inlineStr">
        <is>
          <t>Garten</t>
        </is>
      </c>
      <c r="H408" s="15" t="inlineStr">
        <is>
          <t>Gartenanlage</t>
        </is>
      </c>
      <c r="I408" s="15" t="inlineStr">
        <is>
          <t>C</t>
        </is>
      </c>
      <c r="J408" s="17" t="n">
        <v>1</v>
      </c>
      <c r="K408" s="17" t="n"/>
      <c r="L408" s="18">
        <f>J408-IF(K408="",0,K408)</f>
        <v/>
      </c>
      <c r="M408" s="15" t="inlineStr">
        <is>
          <t>Set</t>
        </is>
      </c>
      <c r="N408" s="15" t="inlineStr">
        <is>
          <t>gebraucht</t>
        </is>
      </c>
      <c r="O408" s="19" t="n"/>
      <c r="P408" s="19" t="inlineStr">
        <is>
          <t>ja</t>
        </is>
      </c>
      <c r="Q408" s="19" t="n"/>
      <c r="R408" s="20" t="n"/>
      <c r="S408" s="20" t="n">
        <v>40</v>
      </c>
      <c r="T408" s="19" t="inlineStr">
        <is>
          <t>VHB</t>
        </is>
      </c>
      <c r="U408" s="21">
        <f>L408*S408</f>
        <v/>
      </c>
      <c r="V408" s="15" t="inlineStr">
        <is>
          <t>nur Abholung</t>
        </is>
      </c>
      <c r="W408" s="15" t="inlineStr">
        <is>
          <t>F-535</t>
        </is>
      </c>
      <c r="X408" s="19" t="inlineStr">
        <is>
          <t>ja</t>
        </is>
      </c>
      <c r="Y408" s="19" t="n"/>
      <c r="Z408" s="19" t="inlineStr">
        <is>
          <t>verfügbar</t>
        </is>
      </c>
      <c r="AA408" s="19" t="inlineStr">
        <is>
          <t>Smoby</t>
        </is>
      </c>
      <c r="AB408" s="19" t="n"/>
      <c r="AC408" s="19" t="n"/>
      <c r="AD408" s="19" t="n"/>
      <c r="AE408" s="20" t="n"/>
      <c r="AF408" s="21">
        <f>IF(K408="","",K408*AE408)</f>
        <v/>
      </c>
      <c r="AG408" s="19" t="n"/>
      <c r="AH408" s="19" t="n"/>
      <c r="AI408" s="19" t="n"/>
      <c r="AJ408" s="19" t="n"/>
      <c r="AK408" s="19" t="n"/>
      <c r="AL408" s="19" t="n"/>
      <c r="AM408" s="16" t="inlineStr">
        <is>
          <t>1 Set aus Tisch und zwei Stühlen.</t>
        </is>
      </c>
      <c r="AN408" s="22" t="n"/>
    </row>
    <row r="409" ht="30" customHeight="1">
      <c r="A409" s="15" t="inlineStr">
        <is>
          <t>GA01-06</t>
        </is>
      </c>
      <c r="B409" s="15" t="n"/>
      <c r="C409" s="15" t="n"/>
      <c r="D409" s="15" t="inlineStr">
        <is>
          <t>GA01</t>
        </is>
      </c>
      <c r="E409" s="15" t="inlineStr">
        <is>
          <t>IKEA Mammut Kinderstuhl weiß</t>
        </is>
      </c>
      <c r="F409" s="16" t="inlineStr">
        <is>
          <t>Kinderstuhl IKEA Mammut aus weißem Kunststoff mit runden Beinen und breiter Rückenlehne.</t>
        </is>
      </c>
      <c r="G409" s="15" t="inlineStr">
        <is>
          <t>Garten</t>
        </is>
      </c>
      <c r="H409" s="15" t="inlineStr">
        <is>
          <t>Gartenanlage</t>
        </is>
      </c>
      <c r="I409" s="15" t="inlineStr">
        <is>
          <t>C</t>
        </is>
      </c>
      <c r="J409" s="17" t="n">
        <v>6</v>
      </c>
      <c r="K409" s="17" t="n"/>
      <c r="L409" s="18">
        <f>J409-IF(K409="",0,K409)</f>
        <v/>
      </c>
      <c r="M409" s="15" t="inlineStr">
        <is>
          <t>Stück</t>
        </is>
      </c>
      <c r="N409" s="15" t="inlineStr">
        <is>
          <t>gut</t>
        </is>
      </c>
      <c r="O409" s="19" t="n"/>
      <c r="P409" s="19" t="inlineStr">
        <is>
          <t>ja</t>
        </is>
      </c>
      <c r="Q409" s="19" t="n"/>
      <c r="R409" s="20" t="n"/>
      <c r="S409" s="20" t="n">
        <v>10</v>
      </c>
      <c r="T409" s="19" t="inlineStr">
        <is>
          <t>VHB</t>
        </is>
      </c>
      <c r="U409" s="21">
        <f>L409*S409</f>
        <v/>
      </c>
      <c r="V409" s="15" t="inlineStr">
        <is>
          <t>nur Abholung</t>
        </is>
      </c>
      <c r="W409" s="15" t="inlineStr">
        <is>
          <t>F-520</t>
        </is>
      </c>
      <c r="X409" s="19" t="inlineStr">
        <is>
          <t>ja</t>
        </is>
      </c>
      <c r="Y409" s="19" t="n"/>
      <c r="Z409" s="19" t="inlineStr">
        <is>
          <t>verfügbar</t>
        </is>
      </c>
      <c r="AA409" s="19" t="inlineStr">
        <is>
          <t>IKEA</t>
        </is>
      </c>
      <c r="AB409" s="19" t="n"/>
      <c r="AC409" s="19" t="n"/>
      <c r="AD409" s="19" t="n"/>
      <c r="AE409" s="20" t="n"/>
      <c r="AF409" s="21">
        <f>IF(K409="","",K409*AE409)</f>
        <v/>
      </c>
      <c r="AG409" s="19" t="n"/>
      <c r="AH409" s="19" t="n"/>
      <c r="AI409" s="19" t="n"/>
      <c r="AJ409" s="19" t="n"/>
      <c r="AK409" s="19" t="n"/>
      <c r="AL409" s="19" t="n"/>
      <c r="AM409" s="16" t="inlineStr">
        <is>
          <t>6 Stühle – abgebildet ist einer davon. Insgesamt stehen 68 Mammut-Kinderstühle zum Verkauf: 20 rot (TE02-09), 20 weiß (TE02-13 und GA01-06), 16 grün (TE02-10 und NU02-14), 6 rosa (TE02-14, GA01-08 und NU02-14) und 6 blau (GA01-07). Sie stehen als eigene Positionen, weil Zustand und Standort sich unterscheiden.</t>
        </is>
      </c>
      <c r="AN409" s="22" t="n"/>
    </row>
    <row r="410" ht="30" customHeight="1">
      <c r="A410" s="15" t="inlineStr">
        <is>
          <t>GA01-07</t>
        </is>
      </c>
      <c r="B410" s="15" t="n"/>
      <c r="C410" s="15" t="n"/>
      <c r="D410" s="15" t="inlineStr">
        <is>
          <t>GA01</t>
        </is>
      </c>
      <c r="E410" s="15" t="inlineStr">
        <is>
          <t>IKEA Mammut Kinderstuhl blau</t>
        </is>
      </c>
      <c r="F410" s="16" t="inlineStr">
        <is>
          <t>Kinderstuhl IKEA Mammut aus blauem Kunststoff. Die Stühle standen lange im Freien: Farbe ausgeblichen, Oberflächen stumpf und verschmutzt.</t>
        </is>
      </c>
      <c r="G410" s="15" t="inlineStr">
        <is>
          <t>Garten</t>
        </is>
      </c>
      <c r="H410" s="15" t="inlineStr">
        <is>
          <t>Gartenanlage</t>
        </is>
      </c>
      <c r="I410" s="15" t="inlineStr">
        <is>
          <t>C</t>
        </is>
      </c>
      <c r="J410" s="17" t="n">
        <v>6</v>
      </c>
      <c r="K410" s="17" t="n"/>
      <c r="L410" s="18">
        <f>J410-IF(K410="",0,K410)</f>
        <v/>
      </c>
      <c r="M410" s="15" t="inlineStr">
        <is>
          <t>Stück</t>
        </is>
      </c>
      <c r="N410" s="15" t="inlineStr">
        <is>
          <t>stark gebraucht</t>
        </is>
      </c>
      <c r="O410" s="19" t="n"/>
      <c r="P410" s="19" t="inlineStr">
        <is>
          <t>ja</t>
        </is>
      </c>
      <c r="Q410" s="19" t="n"/>
      <c r="R410" s="20" t="n"/>
      <c r="S410" s="20" t="n">
        <v>5</v>
      </c>
      <c r="T410" s="19" t="inlineStr">
        <is>
          <t>VHB</t>
        </is>
      </c>
      <c r="U410" s="21">
        <f>L410*S410</f>
        <v/>
      </c>
      <c r="V410" s="15" t="inlineStr">
        <is>
          <t>nur Abholung</t>
        </is>
      </c>
      <c r="W410" s="15" t="inlineStr">
        <is>
          <t>F-538</t>
        </is>
      </c>
      <c r="X410" s="19" t="inlineStr">
        <is>
          <t>ja</t>
        </is>
      </c>
      <c r="Y410" s="19" t="n"/>
      <c r="Z410" s="19" t="inlineStr">
        <is>
          <t>verfügbar</t>
        </is>
      </c>
      <c r="AA410" s="19" t="inlineStr">
        <is>
          <t>IKEA</t>
        </is>
      </c>
      <c r="AB410" s="19" t="n"/>
      <c r="AC410" s="19" t="n"/>
      <c r="AD410" s="19" t="n"/>
      <c r="AE410" s="20" t="n"/>
      <c r="AF410" s="21">
        <f>IF(K410="","",K410*AE410)</f>
        <v/>
      </c>
      <c r="AG410" s="19" t="n"/>
      <c r="AH410" s="19" t="n"/>
      <c r="AI410" s="19" t="n"/>
      <c r="AJ410" s="19" t="n"/>
      <c r="AK410" s="19" t="n"/>
      <c r="AL410" s="19" t="n"/>
      <c r="AM410" s="16" t="inlineStr">
        <is>
          <t>6 Stühle – auf dem Foto sind mehrere davon gestapelt zu sehen. Insgesamt stehen 68 Mammut-Kinderstühle zum Verkauf: 20 rot (TE02-09), 20 weiß (TE02-13 und GA01-06), 16 grün (TE02-10 und NU02-14), 6 rosa (TE02-14, GA01-08 und NU02-14) und 6 blau (GA01-07). Sie stehen als eigene Positionen, weil Zustand und Standort sich unterscheiden.</t>
        </is>
      </c>
      <c r="AN410" s="22" t="n"/>
    </row>
    <row r="411" ht="30" customHeight="1">
      <c r="A411" s="15" t="inlineStr">
        <is>
          <t>GA01-08</t>
        </is>
      </c>
      <c r="B411" s="15" t="n"/>
      <c r="C411" s="15" t="n"/>
      <c r="D411" s="15" t="inlineStr">
        <is>
          <t>GA01</t>
        </is>
      </c>
      <c r="E411" s="15" t="inlineStr">
        <is>
          <t>IKEA Mammut Kinderstuhl rosa</t>
        </is>
      </c>
      <c r="F411" s="16" t="inlineStr">
        <is>
          <t>Kinderstuhl IKEA Mammut aus rosa Kunststoff. Die Stühle standen lange im Freien: Farbe ausgeblichen, Oberflächen stumpf.</t>
        </is>
      </c>
      <c r="G411" s="15" t="inlineStr">
        <is>
          <t>Garten</t>
        </is>
      </c>
      <c r="H411" s="15" t="inlineStr">
        <is>
          <t>Gartenanlage</t>
        </is>
      </c>
      <c r="I411" s="15" t="inlineStr">
        <is>
          <t>C</t>
        </is>
      </c>
      <c r="J411" s="17" t="n">
        <v>3</v>
      </c>
      <c r="K411" s="17" t="n"/>
      <c r="L411" s="18">
        <f>J411-IF(K411="",0,K411)</f>
        <v/>
      </c>
      <c r="M411" s="15" t="inlineStr">
        <is>
          <t>Stück</t>
        </is>
      </c>
      <c r="N411" s="15" t="inlineStr">
        <is>
          <t>stark gebraucht</t>
        </is>
      </c>
      <c r="O411" s="19" t="n"/>
      <c r="P411" s="19" t="inlineStr">
        <is>
          <t>ja</t>
        </is>
      </c>
      <c r="Q411" s="19" t="n"/>
      <c r="R411" s="20" t="n"/>
      <c r="S411" s="20" t="n">
        <v>5</v>
      </c>
      <c r="T411" s="19" t="inlineStr">
        <is>
          <t>VHB</t>
        </is>
      </c>
      <c r="U411" s="21">
        <f>L411*S411</f>
        <v/>
      </c>
      <c r="V411" s="15" t="inlineStr">
        <is>
          <t>nur Abholung</t>
        </is>
      </c>
      <c r="W411" s="15" t="inlineStr">
        <is>
          <t>F-530</t>
        </is>
      </c>
      <c r="X411" s="19" t="inlineStr">
        <is>
          <t>ja</t>
        </is>
      </c>
      <c r="Y411" s="19" t="n"/>
      <c r="Z411" s="19" t="inlineStr">
        <is>
          <t>verfügbar</t>
        </is>
      </c>
      <c r="AA411" s="19" t="inlineStr">
        <is>
          <t>IKEA</t>
        </is>
      </c>
      <c r="AB411" s="19" t="n"/>
      <c r="AC411" s="19" t="n"/>
      <c r="AD411" s="19" t="n"/>
      <c r="AE411" s="20" t="n"/>
      <c r="AF411" s="21">
        <f>IF(K411="","",K411*AE411)</f>
        <v/>
      </c>
      <c r="AG411" s="19" t="n"/>
      <c r="AH411" s="19" t="n"/>
      <c r="AI411" s="19" t="n"/>
      <c r="AJ411" s="19" t="n"/>
      <c r="AK411" s="19" t="n"/>
      <c r="AL411" s="19" t="n"/>
      <c r="AM411" s="16" t="inlineStr">
        <is>
          <t>3 Stühle. Auf dem Foto ist die Wiese mit den Tischen und Stühlen zu sehen; ein rosa Stuhl steht rechts im Bild. Insgesamt stehen 68 Mammut-Kinderstühle zum Verkauf: 20 rot (TE02-09), 20 weiß (TE02-13 und GA01-06), 16 grün (TE02-10 und NU02-14), 6 rosa (TE02-14, GA01-08 und NU02-14) und 6 blau (GA01-07). Sie stehen als eigene Positionen, weil Zustand und Standort sich unterscheiden.</t>
        </is>
      </c>
      <c r="AN411" s="22" t="n"/>
    </row>
    <row r="412" ht="30" customHeight="1">
      <c r="A412" s="15" t="inlineStr">
        <is>
          <t>GA01-09</t>
        </is>
      </c>
      <c r="B412" s="15" t="n"/>
      <c r="C412" s="15" t="n"/>
      <c r="D412" s="15" t="inlineStr">
        <is>
          <t>GA01</t>
        </is>
      </c>
      <c r="E412" s="15" t="inlineStr">
        <is>
          <t>IKEA Mammut Kindertisch weiß</t>
        </is>
      </c>
      <c r="F412" s="16" t="inlineStr">
        <is>
          <t>Kindertisch IKEA Mammut aus weißem Kunststoff auf konischen Beinen.</t>
        </is>
      </c>
      <c r="G412" s="15" t="inlineStr">
        <is>
          <t>Garten</t>
        </is>
      </c>
      <c r="H412" s="15" t="inlineStr">
        <is>
          <t>Gartenanlage</t>
        </is>
      </c>
      <c r="I412" s="15" t="inlineStr">
        <is>
          <t>C</t>
        </is>
      </c>
      <c r="J412" s="17" t="n">
        <v>2</v>
      </c>
      <c r="K412" s="17" t="n"/>
      <c r="L412" s="18">
        <f>J412-IF(K412="",0,K412)</f>
        <v/>
      </c>
      <c r="M412" s="15" t="inlineStr">
        <is>
          <t>Stück</t>
        </is>
      </c>
      <c r="N412" s="15" t="inlineStr">
        <is>
          <t>gut</t>
        </is>
      </c>
      <c r="O412" s="19" t="n"/>
      <c r="P412" s="19" t="inlineStr">
        <is>
          <t>ja</t>
        </is>
      </c>
      <c r="Q412" s="19" t="n"/>
      <c r="R412" s="20" t="n"/>
      <c r="S412" s="20" t="n">
        <v>25</v>
      </c>
      <c r="T412" s="19" t="inlineStr">
        <is>
          <t>VHB</t>
        </is>
      </c>
      <c r="U412" s="21">
        <f>L412*S412</f>
        <v/>
      </c>
      <c r="V412" s="15" t="inlineStr">
        <is>
          <t>nur Abholung</t>
        </is>
      </c>
      <c r="W412" s="15" t="inlineStr">
        <is>
          <t>F-530</t>
        </is>
      </c>
      <c r="X412" s="19" t="inlineStr">
        <is>
          <t>ja</t>
        </is>
      </c>
      <c r="Y412" s="19" t="n"/>
      <c r="Z412" s="19" t="inlineStr">
        <is>
          <t>verfügbar</t>
        </is>
      </c>
      <c r="AA412" s="19" t="inlineStr">
        <is>
          <t>IKEA</t>
        </is>
      </c>
      <c r="AB412" s="19" t="n"/>
      <c r="AC412" s="19" t="n"/>
      <c r="AD412" s="19" t="n"/>
      <c r="AE412" s="20" t="n"/>
      <c r="AF412" s="21">
        <f>IF(K412="","",K412*AE412)</f>
        <v/>
      </c>
      <c r="AG412" s="19" t="n"/>
      <c r="AH412" s="19" t="n"/>
      <c r="AI412" s="19" t="n"/>
      <c r="AJ412" s="19" t="n"/>
      <c r="AK412" s="19" t="n"/>
      <c r="AL412" s="19" t="n"/>
      <c r="AM412" s="16" t="inlineStr">
        <is>
          <t>2 Tische. Auf dem Foto sind sie links auf der Wiese zu sehen.</t>
        </is>
      </c>
      <c r="AN412" s="22" t="n"/>
    </row>
    <row r="413" ht="30" customHeight="1">
      <c r="A413" s="15" t="inlineStr">
        <is>
          <t>GA01-10</t>
        </is>
      </c>
      <c r="B413" s="15" t="n"/>
      <c r="C413" s="15" t="n"/>
      <c r="D413" s="15" t="inlineStr">
        <is>
          <t>GA01</t>
        </is>
      </c>
      <c r="E413" s="15" t="inlineStr">
        <is>
          <t>IKEA Mammut Kindertisch rot</t>
        </is>
      </c>
      <c r="F413" s="16" t="inlineStr">
        <is>
          <t>Kindertisch IKEA Mammut aus rotem Kunststoff auf konischen Beinen.</t>
        </is>
      </c>
      <c r="G413" s="15" t="inlineStr">
        <is>
          <t>Garten</t>
        </is>
      </c>
      <c r="H413" s="15" t="inlineStr">
        <is>
          <t>Gartenanlage</t>
        </is>
      </c>
      <c r="I413" s="15" t="inlineStr">
        <is>
          <t>C</t>
        </is>
      </c>
      <c r="J413" s="17" t="n">
        <v>2</v>
      </c>
      <c r="K413" s="17" t="n"/>
      <c r="L413" s="18">
        <f>J413-IF(K413="",0,K413)</f>
        <v/>
      </c>
      <c r="M413" s="15" t="inlineStr">
        <is>
          <t>Stück</t>
        </is>
      </c>
      <c r="N413" s="15" t="inlineStr">
        <is>
          <t>gut</t>
        </is>
      </c>
      <c r="O413" s="19" t="n"/>
      <c r="P413" s="19" t="inlineStr">
        <is>
          <t>ja</t>
        </is>
      </c>
      <c r="Q413" s="19" t="n"/>
      <c r="R413" s="20" t="n"/>
      <c r="S413" s="20" t="n">
        <v>25</v>
      </c>
      <c r="T413" s="19" t="inlineStr">
        <is>
          <t>VHB</t>
        </is>
      </c>
      <c r="U413" s="21">
        <f>L413*S413</f>
        <v/>
      </c>
      <c r="V413" s="15" t="inlineStr">
        <is>
          <t>nur Abholung</t>
        </is>
      </c>
      <c r="W413" s="15" t="inlineStr">
        <is>
          <t>F-530</t>
        </is>
      </c>
      <c r="X413" s="19" t="inlineStr">
        <is>
          <t>ja</t>
        </is>
      </c>
      <c r="Y413" s="19" t="n"/>
      <c r="Z413" s="19" t="inlineStr">
        <is>
          <t>verfügbar</t>
        </is>
      </c>
      <c r="AA413" s="19" t="inlineStr">
        <is>
          <t>IKEA</t>
        </is>
      </c>
      <c r="AB413" s="19" t="n"/>
      <c r="AC413" s="19" t="n"/>
      <c r="AD413" s="19" t="n"/>
      <c r="AE413" s="20" t="n"/>
      <c r="AF413" s="21">
        <f>IF(K413="","",K413*AE413)</f>
        <v/>
      </c>
      <c r="AG413" s="19" t="n"/>
      <c r="AH413" s="19" t="n"/>
      <c r="AI413" s="19" t="n"/>
      <c r="AJ413" s="19" t="n"/>
      <c r="AK413" s="19" t="n"/>
      <c r="AL413" s="19" t="n"/>
      <c r="AM413" s="16" t="inlineStr">
        <is>
          <t>2 Tische. Auf dem Foto sind sie links auf der Wiese zu sehen.</t>
        </is>
      </c>
      <c r="AN413" s="22" t="n"/>
    </row>
    <row r="414" ht="30" customHeight="1">
      <c r="A414" s="15" t="inlineStr">
        <is>
          <t>GA01-11</t>
        </is>
      </c>
      <c r="B414" s="15" t="n"/>
      <c r="C414" s="15" t="n"/>
      <c r="D414" s="15" t="inlineStr">
        <is>
          <t>GA01</t>
        </is>
      </c>
      <c r="E414" s="15" t="inlineStr">
        <is>
          <t>Fenwick Trettraktor Gabelstapler</t>
        </is>
      </c>
      <c r="F414" s="16" t="inlineStr">
        <is>
          <t>Tretfahrzeug in Gabelstaplerform, rot mit schwarzem Hubmast und Stollenreifen, Hubgabel über eine Kurbel bedienbar. Aufdruck an der Seite: FENWICK.</t>
        </is>
      </c>
      <c r="G414" s="15" t="inlineStr">
        <is>
          <t>Kita-Ausstattung</t>
        </is>
      </c>
      <c r="H414" s="15" t="inlineStr">
        <is>
          <t>Gartenanlage</t>
        </is>
      </c>
      <c r="I414" s="15" t="inlineStr">
        <is>
          <t>B</t>
        </is>
      </c>
      <c r="J414" s="17" t="n">
        <v>2</v>
      </c>
      <c r="K414" s="17" t="n"/>
      <c r="L414" s="18">
        <f>J414-IF(K414="",0,K414)</f>
        <v/>
      </c>
      <c r="M414" s="15" t="inlineStr">
        <is>
          <t>Stück</t>
        </is>
      </c>
      <c r="N414" s="15" t="inlineStr">
        <is>
          <t>gebraucht</t>
        </is>
      </c>
      <c r="O414" s="19" t="n"/>
      <c r="P414" s="19" t="inlineStr">
        <is>
          <t>ja</t>
        </is>
      </c>
      <c r="Q414" s="19" t="n"/>
      <c r="R414" s="20" t="n"/>
      <c r="S414" s="20" t="n">
        <v>70</v>
      </c>
      <c r="T414" s="19" t="inlineStr">
        <is>
          <t>VHB</t>
        </is>
      </c>
      <c r="U414" s="21">
        <f>L414*S414</f>
        <v/>
      </c>
      <c r="V414" s="15" t="inlineStr">
        <is>
          <t>nur Abholung</t>
        </is>
      </c>
      <c r="W414" s="15" t="inlineStr">
        <is>
          <t>F-528</t>
        </is>
      </c>
      <c r="X414" s="19" t="inlineStr">
        <is>
          <t>ja</t>
        </is>
      </c>
      <c r="Y414" s="19" t="n"/>
      <c r="Z414" s="19" t="inlineStr">
        <is>
          <t>verfügbar</t>
        </is>
      </c>
      <c r="AA414" s="19" t="inlineStr">
        <is>
          <t>Fenwick</t>
        </is>
      </c>
      <c r="AB414" s="19" t="n"/>
      <c r="AC414" s="19" t="n"/>
      <c r="AD414" s="19" t="n"/>
      <c r="AE414" s="20" t="n"/>
      <c r="AF414" s="21">
        <f>IF(K414="","",K414*AE414)</f>
        <v/>
      </c>
      <c r="AG414" s="19" t="n"/>
      <c r="AH414" s="19" t="n"/>
      <c r="AI414" s="19" t="n"/>
      <c r="AJ414" s="19" t="n"/>
      <c r="AK414" s="19" t="n"/>
      <c r="AL414" s="19" t="n"/>
      <c r="AM414" s="16" t="inlineStr">
        <is>
          <t>2 Fahrzeuge – auf dem Foto sind beide zu sehen.</t>
        </is>
      </c>
      <c r="AN414" s="22" t="n"/>
    </row>
    <row r="415" ht="30" customHeight="1">
      <c r="A415" s="15" t="inlineStr">
        <is>
          <t>GA01-12</t>
        </is>
      </c>
      <c r="B415" s="15" t="n"/>
      <c r="C415" s="15" t="n"/>
      <c r="D415" s="15" t="inlineStr">
        <is>
          <t>GA01</t>
        </is>
      </c>
      <c r="E415" s="15" t="inlineStr">
        <is>
          <t>Claas Axos 340 Trettraktor</t>
        </is>
      </c>
      <c r="F415" s="16" t="inlineStr">
        <is>
          <t>Tretfahrzeug in Traktorform mit Claas-Aufdruck, grün-grau, mit Lenkrad, verstellbarem Sitz, Anhängerkupplung und Stollenreifen. Aufdruck an der Motorhaube: CLAAS 340 AXOS.</t>
        </is>
      </c>
      <c r="G415" s="15" t="inlineStr">
        <is>
          <t>Kita-Ausstattung</t>
        </is>
      </c>
      <c r="H415" s="15" t="inlineStr">
        <is>
          <t>Gartenanlage</t>
        </is>
      </c>
      <c r="I415" s="15" t="inlineStr">
        <is>
          <t>B</t>
        </is>
      </c>
      <c r="J415" s="17" t="n">
        <v>4</v>
      </c>
      <c r="K415" s="17" t="n"/>
      <c r="L415" s="18">
        <f>J415-IF(K415="",0,K415)</f>
        <v/>
      </c>
      <c r="M415" s="15" t="inlineStr">
        <is>
          <t>Stück</t>
        </is>
      </c>
      <c r="N415" s="15" t="inlineStr">
        <is>
          <t>gebraucht</t>
        </is>
      </c>
      <c r="O415" s="19" t="n"/>
      <c r="P415" s="19" t="inlineStr">
        <is>
          <t>ja</t>
        </is>
      </c>
      <c r="Q415" s="19" t="n"/>
      <c r="R415" s="20" t="n"/>
      <c r="S415" s="20" t="n">
        <v>70</v>
      </c>
      <c r="T415" s="19" t="inlineStr">
        <is>
          <t>VHB</t>
        </is>
      </c>
      <c r="U415" s="21">
        <f>L415*S415</f>
        <v/>
      </c>
      <c r="V415" s="15" t="inlineStr">
        <is>
          <t>nur Abholung</t>
        </is>
      </c>
      <c r="W415" s="15" t="inlineStr">
        <is>
          <t>F-529</t>
        </is>
      </c>
      <c r="X415" s="19" t="inlineStr">
        <is>
          <t>ja</t>
        </is>
      </c>
      <c r="Y415" s="19" t="n"/>
      <c r="Z415" s="19" t="inlineStr">
        <is>
          <t>verfügbar</t>
        </is>
      </c>
      <c r="AA415" s="19" t="inlineStr">
        <is>
          <t>Claas</t>
        </is>
      </c>
      <c r="AB415" s="19" t="n"/>
      <c r="AC415" s="19" t="n"/>
      <c r="AD415" s="19" t="n"/>
      <c r="AE415" s="20" t="n"/>
      <c r="AF415" s="21">
        <f>IF(K415="","",K415*AE415)</f>
        <v/>
      </c>
      <c r="AG415" s="19" t="n"/>
      <c r="AH415" s="19" t="n"/>
      <c r="AI415" s="19" t="n"/>
      <c r="AJ415" s="19" t="n"/>
      <c r="AK415" s="19" t="n"/>
      <c r="AL415" s="19" t="n"/>
      <c r="AM415" s="16" t="inlineStr">
        <is>
          <t>4 Traktoren – abgebildet ist einer davon, weitere stehen im Hintergrund.</t>
        </is>
      </c>
      <c r="AN415" s="22" t="n"/>
    </row>
    <row r="416" ht="30" customHeight="1">
      <c r="A416" s="15" t="inlineStr">
        <is>
          <t>GA01-13</t>
        </is>
      </c>
      <c r="B416" s="15" t="n"/>
      <c r="C416" s="15" t="n"/>
      <c r="D416" s="15" t="inlineStr">
        <is>
          <t>GA01</t>
        </is>
      </c>
      <c r="E416" s="15" t="inlineStr">
        <is>
          <t>Kinder-Liege Kunststoff orange</t>
        </is>
      </c>
      <c r="F416" s="16" t="inlineStr">
        <is>
          <t>Niedrige Kinderliege aus orangefarbenem Kunststoff in einem Stück, stapelbar. Die Sitzfläche hat einen kleinen Riss an der Vorderkante.</t>
        </is>
      </c>
      <c r="G416" s="15" t="inlineStr">
        <is>
          <t>Garten</t>
        </is>
      </c>
      <c r="H416" s="15" t="inlineStr">
        <is>
          <t>Gartenanlage</t>
        </is>
      </c>
      <c r="I416" s="15" t="inlineStr">
        <is>
          <t>C</t>
        </is>
      </c>
      <c r="J416" s="17" t="n">
        <v>2</v>
      </c>
      <c r="K416" s="17" t="n"/>
      <c r="L416" s="18">
        <f>J416-IF(K416="",0,K416)</f>
        <v/>
      </c>
      <c r="M416" s="15" t="inlineStr">
        <is>
          <t>Stück</t>
        </is>
      </c>
      <c r="N416" s="15" t="inlineStr">
        <is>
          <t>gebraucht</t>
        </is>
      </c>
      <c r="O416" s="19" t="n"/>
      <c r="P416" s="19" t="inlineStr">
        <is>
          <t>ja</t>
        </is>
      </c>
      <c r="Q416" s="19" t="n"/>
      <c r="R416" s="20" t="n"/>
      <c r="S416" s="20" t="n">
        <v>25</v>
      </c>
      <c r="T416" s="19" t="inlineStr">
        <is>
          <t>VHB</t>
        </is>
      </c>
      <c r="U416" s="21">
        <f>L416*S416</f>
        <v/>
      </c>
      <c r="V416" s="15" t="inlineStr">
        <is>
          <t>nur Abholung</t>
        </is>
      </c>
      <c r="W416" s="15" t="inlineStr">
        <is>
          <t>F-531</t>
        </is>
      </c>
      <c r="X416" s="19" t="inlineStr">
        <is>
          <t>ja</t>
        </is>
      </c>
      <c r="Y416" s="19" t="n"/>
      <c r="Z416" s="19" t="inlineStr">
        <is>
          <t>verfügbar</t>
        </is>
      </c>
      <c r="AA416" s="19" t="n"/>
      <c r="AB416" s="19" t="n"/>
      <c r="AC416" s="19" t="n"/>
      <c r="AD416" s="19" t="n"/>
      <c r="AE416" s="20" t="n"/>
      <c r="AF416" s="21">
        <f>IF(K416="","",K416*AE416)</f>
        <v/>
      </c>
      <c r="AG416" s="19" t="n"/>
      <c r="AH416" s="19" t="n"/>
      <c r="AI416" s="19" t="n"/>
      <c r="AJ416" s="19" t="n"/>
      <c r="AK416" s="19" t="n"/>
      <c r="AL416" s="19" t="n"/>
      <c r="AM416" s="16" t="inlineStr">
        <is>
          <t>2 Liegen – abgebildet ist eine davon.</t>
        </is>
      </c>
      <c r="AN416" s="22" t="n"/>
    </row>
    <row r="417" ht="30" customHeight="1">
      <c r="A417" s="15" t="inlineStr">
        <is>
          <t>GA01-14</t>
        </is>
      </c>
      <c r="B417" s="15" t="n"/>
      <c r="C417" s="15" t="n"/>
      <c r="D417" s="15" t="inlineStr">
        <is>
          <t>GA01</t>
        </is>
      </c>
      <c r="E417" s="15" t="inlineStr">
        <is>
          <t>Wehrfritz Spielanlage Burg mit zwei Rutschen</t>
        </is>
      </c>
      <c r="F417" s="16" t="inlineStr">
        <is>
          <t>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G417" s="15" t="inlineStr">
        <is>
          <t>Kita-Ausstattung</t>
        </is>
      </c>
      <c r="H417" s="15" t="inlineStr">
        <is>
          <t>Gartenanlage</t>
        </is>
      </c>
      <c r="I417" s="15" t="inlineStr">
        <is>
          <t>A</t>
        </is>
      </c>
      <c r="J417" s="17" t="n">
        <v>1</v>
      </c>
      <c r="K417" s="17" t="n"/>
      <c r="L417" s="18">
        <f>J417-IF(K417="",0,K417)</f>
        <v/>
      </c>
      <c r="M417" s="15" t="inlineStr">
        <is>
          <t>Stück</t>
        </is>
      </c>
      <c r="N417" s="15" t="inlineStr">
        <is>
          <t>gebraucht</t>
        </is>
      </c>
      <c r="O417" s="19" t="n"/>
      <c r="P417" s="19" t="inlineStr">
        <is>
          <t>ja</t>
        </is>
      </c>
      <c r="Q417" s="19" t="n"/>
      <c r="R417" s="20" t="n"/>
      <c r="S417" s="20" t="n">
        <v>1200</v>
      </c>
      <c r="T417" s="19" t="inlineStr">
        <is>
          <t>VHB</t>
        </is>
      </c>
      <c r="U417" s="21">
        <f>L417*S417</f>
        <v/>
      </c>
      <c r="V417" s="15" t="inlineStr">
        <is>
          <t>nur Abholung</t>
        </is>
      </c>
      <c r="W417" s="15" t="inlineStr">
        <is>
          <t>F-522</t>
        </is>
      </c>
      <c r="X417" s="19" t="inlineStr">
        <is>
          <t>ja</t>
        </is>
      </c>
      <c r="Y417" s="19" t="n"/>
      <c r="Z417" s="19" t="inlineStr">
        <is>
          <t>verfügbar</t>
        </is>
      </c>
      <c r="AA417" s="19" t="inlineStr">
        <is>
          <t>Wehrfritz</t>
        </is>
      </c>
      <c r="AB417" s="19" t="n"/>
      <c r="AC417" s="19" t="n"/>
      <c r="AD417" s="19" t="n"/>
      <c r="AE417" s="20" t="n"/>
      <c r="AF417" s="21">
        <f>IF(K417="","",K417*AE417)</f>
        <v/>
      </c>
      <c r="AG417" s="19" t="n"/>
      <c r="AH417" s="19" t="n"/>
      <c r="AI417" s="19" t="n"/>
      <c r="AJ417" s="19" t="n"/>
      <c r="AK417" s="19" t="n"/>
      <c r="AL417" s="19" t="n"/>
      <c r="AM417" s="16" t="inlineStr">
        <is>
          <t>1 Anlage. Abbau und Abtransport durch den Käufer. Eine zweite Ansicht steht auf Foto F-523, das Typenschild auf Foto F-521.</t>
        </is>
      </c>
      <c r="AN417" s="22" t="n"/>
    </row>
    <row r="418" ht="30" customHeight="1">
      <c r="A418" s="15" t="inlineStr">
        <is>
          <t>GA01-15</t>
        </is>
      </c>
      <c r="B418" s="15" t="n"/>
      <c r="C418" s="15" t="n"/>
      <c r="D418" s="15" t="inlineStr">
        <is>
          <t>GA01</t>
        </is>
      </c>
      <c r="E418" s="15" t="inlineStr">
        <is>
          <t>Sitzgruppe Holz, sechseckig</t>
        </is>
      </c>
      <c r="F418" s="16" t="inlineStr">
        <is>
          <t>Sechseckige Sitzgruppe aus Massivholz: Tischplatte mit umlaufenden Bänken, fest verschraubt. Das Holz ist durchgehend wettergrau.</t>
        </is>
      </c>
      <c r="G418" s="15" t="inlineStr">
        <is>
          <t>Garten</t>
        </is>
      </c>
      <c r="H418" s="15" t="inlineStr">
        <is>
          <t>Gartenanlage</t>
        </is>
      </c>
      <c r="I418" s="15" t="inlineStr">
        <is>
          <t>B</t>
        </is>
      </c>
      <c r="J418" s="17" t="n">
        <v>2</v>
      </c>
      <c r="K418" s="17" t="n"/>
      <c r="L418" s="18">
        <f>J418-IF(K418="",0,K418)</f>
        <v/>
      </c>
      <c r="M418" s="15" t="inlineStr">
        <is>
          <t>Stück</t>
        </is>
      </c>
      <c r="N418" s="15" t="inlineStr">
        <is>
          <t>stark gebraucht</t>
        </is>
      </c>
      <c r="O418" s="19" t="n"/>
      <c r="P418" s="19" t="inlineStr">
        <is>
          <t>ja</t>
        </is>
      </c>
      <c r="Q418" s="19" t="n"/>
      <c r="R418" s="20" t="n"/>
      <c r="S418" s="20" t="n">
        <v>100</v>
      </c>
      <c r="T418" s="19" t="inlineStr">
        <is>
          <t>VHB</t>
        </is>
      </c>
      <c r="U418" s="21">
        <f>L418*S418</f>
        <v/>
      </c>
      <c r="V418" s="15" t="inlineStr">
        <is>
          <t>nur Abholung</t>
        </is>
      </c>
      <c r="W418" s="15" t="inlineStr">
        <is>
          <t>F-532</t>
        </is>
      </c>
      <c r="X418" s="19" t="inlineStr">
        <is>
          <t>ja</t>
        </is>
      </c>
      <c r="Y418" s="19" t="n"/>
      <c r="Z418" s="19" t="inlineStr">
        <is>
          <t>verfügbar</t>
        </is>
      </c>
      <c r="AA418" s="19" t="n"/>
      <c r="AB418" s="19" t="n"/>
      <c r="AC418" s="19" t="n"/>
      <c r="AD418" s="19" t="n"/>
      <c r="AE418" s="20" t="n"/>
      <c r="AF418" s="21">
        <f>IF(K418="","",K418*AE418)</f>
        <v/>
      </c>
      <c r="AG418" s="19" t="n"/>
      <c r="AH418" s="19" t="n"/>
      <c r="AI418" s="19" t="n"/>
      <c r="AJ418" s="19" t="n"/>
      <c r="AK418" s="19" t="n"/>
      <c r="AL418" s="19" t="n"/>
      <c r="AM418" s="16" t="inlineStr">
        <is>
          <t>2 Sitzgruppen – abgebildet ist eine davon.</t>
        </is>
      </c>
      <c r="AN418" s="22" t="n"/>
    </row>
    <row r="419" ht="30" customHeight="1">
      <c r="A419" s="15" t="inlineStr">
        <is>
          <t>GA01-16</t>
        </is>
      </c>
      <c r="B419" s="15" t="n"/>
      <c r="C419" s="15" t="n"/>
      <c r="D419" s="15" t="inlineStr">
        <is>
          <t>GA01</t>
        </is>
      </c>
      <c r="E419" s="15" t="inlineStr">
        <is>
          <t>Pinolino Kindersitzgarnitur mit Tisch</t>
        </is>
      </c>
      <c r="F419" s="16" t="inlineStr">
        <is>
          <t>Kindersitzgarnitur von Pinolino aus Massivholz: Tisch mit zwei fest verbundenen Bänken. Brandzeichen auf der Platte: Pinolino. Das Holz ist durchgehend wettergrau.</t>
        </is>
      </c>
      <c r="G419" s="15" t="inlineStr">
        <is>
          <t>Garten</t>
        </is>
      </c>
      <c r="H419" s="15" t="inlineStr">
        <is>
          <t>Gartenanlage</t>
        </is>
      </c>
      <c r="I419" s="15" t="inlineStr">
        <is>
          <t>C</t>
        </is>
      </c>
      <c r="J419" s="17" t="n">
        <v>4</v>
      </c>
      <c r="K419" s="17" t="n"/>
      <c r="L419" s="18">
        <f>J419-IF(K419="",0,K419)</f>
        <v/>
      </c>
      <c r="M419" s="15" t="inlineStr">
        <is>
          <t>Stück</t>
        </is>
      </c>
      <c r="N419" s="15" t="inlineStr">
        <is>
          <t>stark gebraucht</t>
        </is>
      </c>
      <c r="O419" s="19" t="n"/>
      <c r="P419" s="19" t="inlineStr">
        <is>
          <t>ja</t>
        </is>
      </c>
      <c r="Q419" s="19" t="n"/>
      <c r="R419" s="20" t="n"/>
      <c r="S419" s="20" t="n">
        <v>35</v>
      </c>
      <c r="T419" s="19" t="inlineStr">
        <is>
          <t>VHB</t>
        </is>
      </c>
      <c r="U419" s="21">
        <f>L419*S419</f>
        <v/>
      </c>
      <c r="V419" s="15" t="inlineStr">
        <is>
          <t>nur Abholung</t>
        </is>
      </c>
      <c r="W419" s="15" t="inlineStr">
        <is>
          <t>F-518</t>
        </is>
      </c>
      <c r="X419" s="19" t="inlineStr">
        <is>
          <t>ja</t>
        </is>
      </c>
      <c r="Y419" s="19" t="n"/>
      <c r="Z419" s="19" t="inlineStr">
        <is>
          <t>verfügbar</t>
        </is>
      </c>
      <c r="AA419" s="19" t="inlineStr">
        <is>
          <t>Pinolino</t>
        </is>
      </c>
      <c r="AB419" s="19" t="n"/>
      <c r="AC419" s="19" t="n"/>
      <c r="AD419" s="19" t="n"/>
      <c r="AE419" s="20" t="n"/>
      <c r="AF419" s="21">
        <f>IF(K419="","",K419*AE419)</f>
        <v/>
      </c>
      <c r="AG419" s="19" t="n"/>
      <c r="AH419" s="19" t="n"/>
      <c r="AI419" s="19" t="n"/>
      <c r="AJ419" s="19" t="n"/>
      <c r="AK419" s="19" t="n"/>
      <c r="AL419" s="19" t="n"/>
      <c r="AM419" s="16" t="inlineStr">
        <is>
          <t>4 Garnituren – abgebildet ist eine davon. Das Brandzeichen ist auf Foto F-519 zu sehen.</t>
        </is>
      </c>
      <c r="AN419" s="22" t="n"/>
    </row>
  </sheetData>
  <autoFilter ref="A2:AN419"/>
  <mergeCells count="7">
    <mergeCell ref="AI1:AL1"/>
    <mergeCell ref="V1:AD1"/>
    <mergeCell ref="S1:U1"/>
    <mergeCell ref="Q1:R1"/>
    <mergeCell ref="A1:P1"/>
    <mergeCell ref="AE1:AH1"/>
    <mergeCell ref="AM1:AN1"/>
  </mergeCells>
  <conditionalFormatting sqref="Z3:Z419">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419">
    <cfRule type="cellIs" priority="4" operator="equal" dxfId="3">
      <formula>"A"</formula>
    </cfRule>
  </conditionalFormatting>
  <conditionalFormatting sqref="P3:P419">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COUNTA(Artikelstamm!$A$3:$A$419)</f>
        <v/>
      </c>
    </row>
    <row r="6">
      <c r="A6" s="26" t="inlineStr">
        <is>
          <t>davon verfügbar</t>
        </is>
      </c>
      <c r="B6" s="27">
        <f>COUNTIF(Artikelstamm!$Z$3:$Z$419,"verfügbar")</f>
        <v/>
      </c>
    </row>
    <row r="7">
      <c r="A7" s="26" t="inlineStr">
        <is>
          <t>davon reserviert</t>
        </is>
      </c>
      <c r="B7" s="27">
        <f>COUNTIF(Artikelstamm!$Z$3:$Z$419,"reserviert")</f>
        <v/>
      </c>
    </row>
    <row r="8">
      <c r="A8" s="26" t="inlineStr">
        <is>
          <t>davon teilverkauft</t>
        </is>
      </c>
      <c r="B8" s="27">
        <f>COUNTIF(Artikelstamm!$Z$3:$Z$419,"teilverkauft")</f>
        <v/>
      </c>
    </row>
    <row r="9">
      <c r="A9" s="26" t="inlineStr">
        <is>
          <t>davon verkauft</t>
        </is>
      </c>
      <c r="B9" s="27">
        <f>COUNTIF(Artikelstamm!$Z$3:$Z$419,"verkauft")</f>
        <v/>
      </c>
    </row>
    <row r="10">
      <c r="A10" s="26" t="inlineStr">
        <is>
          <t>Einheiten noch im Bestand</t>
        </is>
      </c>
      <c r="B10" s="27">
        <f>SUM(Artikelstamm!$L$3:$L$419)</f>
        <v/>
      </c>
    </row>
    <row r="11">
      <c r="A11" s="28" t="inlineStr">
        <is>
          <t>Restbestand zu Wunschpreisen (netto)</t>
        </is>
      </c>
      <c r="B11" s="29">
        <f>SUM(Artikelstamm!$U$3:$U$419)</f>
        <v/>
      </c>
    </row>
    <row r="12">
      <c r="A12" s="25" t="inlineStr">
        <is>
          <t>Erlöse</t>
        </is>
      </c>
    </row>
    <row r="13">
      <c r="A13" s="26" t="inlineStr">
        <is>
          <t>Verkaufte Einheiten</t>
        </is>
      </c>
      <c r="B13" s="27">
        <f>SUM(Artikelstamm!$K$3:$K$419)</f>
        <v/>
      </c>
    </row>
    <row r="14">
      <c r="A14" s="26" t="inlineStr">
        <is>
          <t>Umsatz netto</t>
        </is>
      </c>
      <c r="B14" s="30">
        <f>SUMPRODUCT(Artikelstamm!$K$3:$K$419,Artikelstamm!$AE$3:$AE$419)</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SUMPRODUCT((Artikelstamm!$AJ$3:$AJ$419="bezahlt")*Artikelstamm!$K$3:$K$419*Artikelstamm!$AE$3:$AE$419)</f>
        <v/>
      </c>
    </row>
    <row r="18">
      <c r="A18" s="26" t="inlineStr">
        <is>
          <t>noch offen (netto)</t>
        </is>
      </c>
      <c r="B18" s="30">
        <f>B14-B17</f>
        <v/>
      </c>
    </row>
    <row r="20">
      <c r="A20" s="25" t="inlineStr">
        <is>
          <t>To-do</t>
        </is>
      </c>
    </row>
    <row r="21">
      <c r="A21" s="28" t="inlineStr">
        <is>
          <t>Rechnungen noch zu schreiben</t>
        </is>
      </c>
      <c r="B21" s="31">
        <f>COUNTIFS(Artikelstamm!$Z$3:$Z$419,"*verkauft",Artikelstamm!$AI$3:$AI$419,"")</f>
        <v/>
      </c>
    </row>
    <row r="22">
      <c r="A22" s="28" t="inlineStr">
        <is>
          <t>Rechnungen offen (unbezahlt)</t>
        </is>
      </c>
      <c r="B22" s="31">
        <f>COUNTIFS(Artikelstamm!$Z$3:$Z$419,"*verkauft",Artikelstamm!$AJ$3:$AJ$419,"offen")</f>
        <v/>
      </c>
    </row>
    <row r="23">
      <c r="A23" s="26" t="inlineStr">
        <is>
          <t>Reservierungen ohne Abholtermin</t>
        </is>
      </c>
      <c r="B23" s="27">
        <f>COUNTIFS(Artikelstamm!$Z$3:$Z$419,"reserviert",Artikelstamm!$AL$3:$AL$419,"")</f>
        <v/>
      </c>
    </row>
    <row r="24">
      <c r="A24" s="26" t="inlineStr">
        <is>
          <t>Artikel ohne Preis</t>
        </is>
      </c>
      <c r="B24" s="27">
        <f>COUNTIFS(Artikelstamm!$S$3:$S$419,"")</f>
        <v/>
      </c>
    </row>
    <row r="25">
      <c r="A25" s="26" t="inlineStr">
        <is>
          <t>Artikel ohne Maßangabe</t>
        </is>
      </c>
      <c r="B25" s="27">
        <f>COUNTIFS(Artikelstamm!$O$3:$O$419,"")</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COUNTIF(Artikelstamm!$I$3:$I$419,$A30)</f>
        <v/>
      </c>
      <c r="C30" s="34">
        <f>SUMPRODUCT((Artikelstamm!$I$3:$I$419=$A30)*Artikelstamm!$K$3:$K$419*Artikelstamm!$AE$3:$AE$419)</f>
        <v/>
      </c>
      <c r="D30" s="34">
        <f>SUMIF(Artikelstamm!$I$3:$I$419,$A30,Artikelstamm!$U$3:$U$419)</f>
        <v/>
      </c>
    </row>
    <row r="31">
      <c r="A31" s="26" t="inlineStr">
        <is>
          <t>B</t>
        </is>
      </c>
      <c r="B31" s="33">
        <f>COUNTIF(Artikelstamm!$I$3:$I$419,$A31)</f>
        <v/>
      </c>
      <c r="C31" s="34">
        <f>SUMPRODUCT((Artikelstamm!$I$3:$I$419=$A31)*Artikelstamm!$K$3:$K$419*Artikelstamm!$AE$3:$AE$419)</f>
        <v/>
      </c>
      <c r="D31" s="34">
        <f>SUMIF(Artikelstamm!$I$3:$I$419,$A31,Artikelstamm!$U$3:$U$419)</f>
        <v/>
      </c>
    </row>
    <row r="32">
      <c r="A32" s="26" t="inlineStr">
        <is>
          <t>C</t>
        </is>
      </c>
      <c r="B32" s="33">
        <f>COUNTIF(Artikelstamm!$I$3:$I$419,$A32)</f>
        <v/>
      </c>
      <c r="C32" s="34">
        <f>SUMPRODUCT((Artikelstamm!$I$3:$I$419=$A32)*Artikelstamm!$K$3:$K$419*Artikelstamm!$AE$3:$AE$419)</f>
        <v/>
      </c>
      <c r="D32" s="34">
        <f>SUMIF(Artikelstamm!$I$3:$I$419,$A32,Artikelstamm!$U$3:$U$419)</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COUNTIF(Artikelstamm!$G$3:$G$419,$A37)</f>
        <v/>
      </c>
      <c r="C37" s="34">
        <f>SUMPRODUCT((Artikelstamm!$G$3:$G$419=$A37)*Artikelstamm!$K$3:$K$419*Artikelstamm!$AE$3:$AE$419)</f>
        <v/>
      </c>
      <c r="D37" s="34">
        <f>SUMIF(Artikelstamm!$G$3:$G$419,$A37,Artikelstamm!$U$3:$U$419)</f>
        <v/>
      </c>
    </row>
    <row r="38">
      <c r="A38" s="26" t="inlineStr">
        <is>
          <t>Deko</t>
        </is>
      </c>
      <c r="B38" s="33">
        <f>COUNTIF(Artikelstamm!$G$3:$G$419,$A38)</f>
        <v/>
      </c>
      <c r="C38" s="34">
        <f>SUMPRODUCT((Artikelstamm!$G$3:$G$419=$A38)*Artikelstamm!$K$3:$K$419*Artikelstamm!$AE$3:$AE$419)</f>
        <v/>
      </c>
      <c r="D38" s="34">
        <f>SUMIF(Artikelstamm!$G$3:$G$419,$A38,Artikelstamm!$U$3:$U$419)</f>
        <v/>
      </c>
    </row>
    <row r="39">
      <c r="A39" s="26" t="inlineStr">
        <is>
          <t>Designmöbel</t>
        </is>
      </c>
      <c r="B39" s="33">
        <f>COUNTIF(Artikelstamm!$G$3:$G$419,$A39)</f>
        <v/>
      </c>
      <c r="C39" s="34">
        <f>SUMPRODUCT((Artikelstamm!$G$3:$G$419=$A39)*Artikelstamm!$K$3:$K$419*Artikelstamm!$AE$3:$AE$419)</f>
        <v/>
      </c>
      <c r="D39" s="34">
        <f>SUMIF(Artikelstamm!$G$3:$G$419,$A39,Artikelstamm!$U$3:$U$419)</f>
        <v/>
      </c>
    </row>
    <row r="40">
      <c r="A40" s="26" t="inlineStr">
        <is>
          <t>Garten</t>
        </is>
      </c>
      <c r="B40" s="33">
        <f>COUNTIF(Artikelstamm!$G$3:$G$419,$A40)</f>
        <v/>
      </c>
      <c r="C40" s="34">
        <f>SUMPRODUCT((Artikelstamm!$G$3:$G$419=$A40)*Artikelstamm!$K$3:$K$419*Artikelstamm!$AE$3:$AE$419)</f>
        <v/>
      </c>
      <c r="D40" s="34">
        <f>SUMIF(Artikelstamm!$G$3:$G$419,$A40,Artikelstamm!$U$3:$U$419)</f>
        <v/>
      </c>
    </row>
    <row r="41">
      <c r="A41" s="26" t="inlineStr">
        <is>
          <t>Kita-Ausstattung</t>
        </is>
      </c>
      <c r="B41" s="33">
        <f>COUNTIF(Artikelstamm!$G$3:$G$419,$A41)</f>
        <v/>
      </c>
      <c r="C41" s="34">
        <f>SUMPRODUCT((Artikelstamm!$G$3:$G$419=$A41)*Artikelstamm!$K$3:$K$419*Artikelstamm!$AE$3:$AE$419)</f>
        <v/>
      </c>
      <c r="D41" s="34">
        <f>SUMIF(Artikelstamm!$G$3:$G$419,$A41,Artikelstamm!$U$3:$U$419)</f>
        <v/>
      </c>
    </row>
    <row r="42">
      <c r="A42" s="26" t="inlineStr">
        <is>
          <t>Kunst</t>
        </is>
      </c>
      <c r="B42" s="33">
        <f>COUNTIF(Artikelstamm!$G$3:$G$419,$A42)</f>
        <v/>
      </c>
      <c r="C42" s="34">
        <f>SUMPRODUCT((Artikelstamm!$G$3:$G$419=$A42)*Artikelstamm!$K$3:$K$419*Artikelstamm!$AE$3:$AE$419)</f>
        <v/>
      </c>
      <c r="D42" s="34">
        <f>SUMIF(Artikelstamm!$G$3:$G$419,$A42,Artikelstamm!$U$3:$U$419)</f>
        <v/>
      </c>
    </row>
    <row r="43">
      <c r="A43" s="26" t="inlineStr">
        <is>
          <t>Leuchten</t>
        </is>
      </c>
      <c r="B43" s="33">
        <f>COUNTIF(Artikelstamm!$G$3:$G$419,$A43)</f>
        <v/>
      </c>
      <c r="C43" s="34">
        <f>SUMPRODUCT((Artikelstamm!$G$3:$G$419=$A43)*Artikelstamm!$K$3:$K$419*Artikelstamm!$AE$3:$AE$419)</f>
        <v/>
      </c>
      <c r="D43" s="34">
        <f>SUMIF(Artikelstamm!$G$3:$G$419,$A43,Artikelstamm!$U$3:$U$419)</f>
        <v/>
      </c>
    </row>
    <row r="44">
      <c r="A44" s="26" t="inlineStr">
        <is>
          <t>Möbel</t>
        </is>
      </c>
      <c r="B44" s="33">
        <f>COUNTIF(Artikelstamm!$G$3:$G$419,$A44)</f>
        <v/>
      </c>
      <c r="C44" s="34">
        <f>SUMPRODUCT((Artikelstamm!$G$3:$G$419=$A44)*Artikelstamm!$K$3:$K$419*Artikelstamm!$AE$3:$AE$419)</f>
        <v/>
      </c>
      <c r="D44" s="34">
        <f>SUMIF(Artikelstamm!$G$3:$G$419,$A44,Artikelstamm!$U$3:$U$419)</f>
        <v/>
      </c>
    </row>
    <row r="45">
      <c r="A45" s="26" t="inlineStr">
        <is>
          <t>Pflanzen</t>
        </is>
      </c>
      <c r="B45" s="33">
        <f>COUNTIF(Artikelstamm!$G$3:$G$419,$A45)</f>
        <v/>
      </c>
      <c r="C45" s="34">
        <f>SUMPRODUCT((Artikelstamm!$G$3:$G$419=$A45)*Artikelstamm!$K$3:$K$419*Artikelstamm!$AE$3:$AE$419)</f>
        <v/>
      </c>
      <c r="D45" s="34">
        <f>SUMIF(Artikelstamm!$G$3:$G$419,$A45,Artikelstamm!$U$3:$U$419)</f>
        <v/>
      </c>
    </row>
    <row r="46">
      <c r="A46" s="26" t="inlineStr">
        <is>
          <t>Sonstiges</t>
        </is>
      </c>
      <c r="B46" s="33">
        <f>COUNTIF(Artikelstamm!$G$3:$G$419,$A46)</f>
        <v/>
      </c>
      <c r="C46" s="34">
        <f>SUMPRODUCT((Artikelstamm!$G$3:$G$419=$A46)*Artikelstamm!$K$3:$K$419*Artikelstamm!$AE$3:$AE$419)</f>
        <v/>
      </c>
      <c r="D46" s="34">
        <f>SUMIF(Artikelstamm!$G$3:$G$419,$A46,Artikelstamm!$U$3:$U$419)</f>
        <v/>
      </c>
    </row>
    <row r="47">
      <c r="A47" s="26" t="inlineStr">
        <is>
          <t>Technik</t>
        </is>
      </c>
      <c r="B47" s="33">
        <f>COUNTIF(Artikelstamm!$G$3:$G$419,$A47)</f>
        <v/>
      </c>
      <c r="C47" s="34">
        <f>SUMPRODUCT((Artikelstamm!$G$3:$G$419=$A47)*Artikelstamm!$K$3:$K$419*Artikelstamm!$AE$3:$AE$419)</f>
        <v/>
      </c>
      <c r="D47" s="34">
        <f>SUMIF(Artikelstamm!$G$3:$G$419,$A47,Artikelstamm!$U$3:$U$419)</f>
        <v/>
      </c>
    </row>
    <row r="48">
      <c r="A48" s="26" t="inlineStr">
        <is>
          <t>Textilien</t>
        </is>
      </c>
      <c r="B48" s="33">
        <f>COUNTIF(Artikelstamm!$G$3:$G$419,$A48)</f>
        <v/>
      </c>
      <c r="C48" s="34">
        <f>SUMPRODUCT((Artikelstamm!$G$3:$G$419=$A48)*Artikelstamm!$K$3:$K$419*Artikelstamm!$AE$3:$AE$419)</f>
        <v/>
      </c>
      <c r="D48" s="34">
        <f>SUMIF(Artikelstamm!$G$3:$G$419,$A48,Artikelstamm!$U$3:$U$419)</f>
        <v/>
      </c>
    </row>
    <row r="49">
      <c r="A49" s="26" t="inlineStr">
        <is>
          <t>Uhren</t>
        </is>
      </c>
      <c r="B49" s="33">
        <f>COUNTIF(Artikelstamm!$G$3:$G$419,$A49)</f>
        <v/>
      </c>
      <c r="C49" s="34">
        <f>SUMPRODUCT((Artikelstamm!$G$3:$G$419=$A49)*Artikelstamm!$K$3:$K$419*Artikelstamm!$AE$3:$AE$419)</f>
        <v/>
      </c>
      <c r="D49" s="34">
        <f>SUMIF(Artikelstamm!$G$3:$G$419,$A49,Artikelstamm!$U$3:$U$419)</f>
        <v/>
      </c>
    </row>
    <row r="50">
      <c r="A50" s="26" t="inlineStr">
        <is>
          <t>Verbrauchsmaterial</t>
        </is>
      </c>
      <c r="B50" s="33">
        <f>COUNTIF(Artikelstamm!$G$3:$G$419,$A50)</f>
        <v/>
      </c>
      <c r="C50" s="34">
        <f>SUMPRODUCT((Artikelstamm!$G$3:$G$419=$A50)*Artikelstamm!$K$3:$K$419*Artikelstamm!$AE$3:$AE$419)</f>
        <v/>
      </c>
      <c r="D50" s="34">
        <f>SUMIF(Artikelstamm!$G$3:$G$419,$A50,Artikelstamm!$U$3:$U$419)</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COUNTIF(Artikelstamm!$H$3:$H$419,$A55)</f>
        <v/>
      </c>
      <c r="C55" s="34">
        <f>SUMPRODUCT((Artikelstamm!$H$3:$H$419=$A55)*Artikelstamm!$K$3:$K$419*Artikelstamm!$AE$3:$AE$419)</f>
        <v/>
      </c>
      <c r="D55" s="34">
        <f>SUMIF(Artikelstamm!$H$3:$H$419,$A55,Artikelstamm!$U$3:$U$419)</f>
        <v/>
      </c>
    </row>
    <row r="56">
      <c r="A56" s="26" t="inlineStr">
        <is>
          <t>Büro</t>
        </is>
      </c>
      <c r="B56" s="33">
        <f>COUNTIF(Artikelstamm!$H$3:$H$419,$A56)</f>
        <v/>
      </c>
      <c r="C56" s="34">
        <f>SUMPRODUCT((Artikelstamm!$H$3:$H$419=$A56)*Artikelstamm!$K$3:$K$419*Artikelstamm!$AE$3:$AE$419)</f>
        <v/>
      </c>
      <c r="D56" s="34">
        <f>SUMIF(Artikelstamm!$H$3:$H$419,$A56,Artikelstamm!$U$3:$U$419)</f>
        <v/>
      </c>
    </row>
    <row r="57">
      <c r="A57" s="26" t="inlineStr">
        <is>
          <t>Büro / Besprechung</t>
        </is>
      </c>
      <c r="B57" s="33">
        <f>COUNTIF(Artikelstamm!$H$3:$H$419,$A57)</f>
        <v/>
      </c>
      <c r="C57" s="34">
        <f>SUMPRODUCT((Artikelstamm!$H$3:$H$419=$A57)*Artikelstamm!$K$3:$K$419*Artikelstamm!$AE$3:$AE$419)</f>
        <v/>
      </c>
      <c r="D57" s="34">
        <f>SUMIF(Artikelstamm!$H$3:$H$419,$A57,Artikelstamm!$U$3:$U$419)</f>
        <v/>
      </c>
    </row>
    <row r="58">
      <c r="A58" s="26" t="inlineStr">
        <is>
          <t>Dachterrasse</t>
        </is>
      </c>
      <c r="B58" s="33">
        <f>COUNTIF(Artikelstamm!$H$3:$H$419,$A58)</f>
        <v/>
      </c>
      <c r="C58" s="34">
        <f>SUMPRODUCT((Artikelstamm!$H$3:$H$419=$A58)*Artikelstamm!$K$3:$K$419*Artikelstamm!$AE$3:$AE$419)</f>
        <v/>
      </c>
      <c r="D58" s="34">
        <f>SUMIF(Artikelstamm!$H$3:$H$419,$A58,Artikelstamm!$U$3:$U$419)</f>
        <v/>
      </c>
    </row>
    <row r="59">
      <c r="A59" s="26" t="inlineStr">
        <is>
          <t>Flur</t>
        </is>
      </c>
      <c r="B59" s="33">
        <f>COUNTIF(Artikelstamm!$H$3:$H$419,$A59)</f>
        <v/>
      </c>
      <c r="C59" s="34">
        <f>SUMPRODUCT((Artikelstamm!$H$3:$H$419=$A59)*Artikelstamm!$K$3:$K$419*Artikelstamm!$AE$3:$AE$419)</f>
        <v/>
      </c>
      <c r="D59" s="34">
        <f>SUMIF(Artikelstamm!$H$3:$H$419,$A59,Artikelstamm!$U$3:$U$419)</f>
        <v/>
      </c>
    </row>
    <row r="60">
      <c r="A60" s="26" t="inlineStr">
        <is>
          <t>Flur 1</t>
        </is>
      </c>
      <c r="B60" s="33">
        <f>COUNTIF(Artikelstamm!$H$3:$H$419,$A60)</f>
        <v/>
      </c>
      <c r="C60" s="34">
        <f>SUMPRODUCT((Artikelstamm!$H$3:$H$419=$A60)*Artikelstamm!$K$3:$K$419*Artikelstamm!$AE$3:$AE$419)</f>
        <v/>
      </c>
      <c r="D60" s="34">
        <f>SUMIF(Artikelstamm!$H$3:$H$419,$A60,Artikelstamm!$U$3:$U$419)</f>
        <v/>
      </c>
    </row>
    <row r="61">
      <c r="A61" s="26" t="inlineStr">
        <is>
          <t>Flur 2</t>
        </is>
      </c>
      <c r="B61" s="33">
        <f>COUNTIF(Artikelstamm!$H$3:$H$419,$A61)</f>
        <v/>
      </c>
      <c r="C61" s="34">
        <f>SUMPRODUCT((Artikelstamm!$H$3:$H$419=$A61)*Artikelstamm!$K$3:$K$419*Artikelstamm!$AE$3:$AE$419)</f>
        <v/>
      </c>
      <c r="D61" s="34">
        <f>SUMIF(Artikelstamm!$H$3:$H$419,$A61,Artikelstamm!$U$3:$U$419)</f>
        <v/>
      </c>
    </row>
    <row r="62">
      <c r="A62" s="26" t="inlineStr">
        <is>
          <t>Flur 3</t>
        </is>
      </c>
      <c r="B62" s="33">
        <f>COUNTIF(Artikelstamm!$H$3:$H$419,$A62)</f>
        <v/>
      </c>
      <c r="C62" s="34">
        <f>SUMPRODUCT((Artikelstamm!$H$3:$H$419=$A62)*Artikelstamm!$K$3:$K$419*Artikelstamm!$AE$3:$AE$419)</f>
        <v/>
      </c>
      <c r="D62" s="34">
        <f>SUMIF(Artikelstamm!$H$3:$H$419,$A62,Artikelstamm!$U$3:$U$419)</f>
        <v/>
      </c>
    </row>
    <row r="63">
      <c r="A63" s="26" t="inlineStr">
        <is>
          <t>Galerie</t>
        </is>
      </c>
      <c r="B63" s="33">
        <f>COUNTIF(Artikelstamm!$H$3:$H$419,$A63)</f>
        <v/>
      </c>
      <c r="C63" s="34">
        <f>SUMPRODUCT((Artikelstamm!$H$3:$H$419=$A63)*Artikelstamm!$K$3:$K$419*Artikelstamm!$AE$3:$AE$419)</f>
        <v/>
      </c>
      <c r="D63" s="34">
        <f>SUMIF(Artikelstamm!$H$3:$H$419,$A63,Artikelstamm!$U$3:$U$419)</f>
        <v/>
      </c>
    </row>
    <row r="64">
      <c r="A64" s="26" t="inlineStr">
        <is>
          <t>Garage</t>
        </is>
      </c>
      <c r="B64" s="33">
        <f>COUNTIF(Artikelstamm!$H$3:$H$419,$A64)</f>
        <v/>
      </c>
      <c r="C64" s="34">
        <f>SUMPRODUCT((Artikelstamm!$H$3:$H$419=$A64)*Artikelstamm!$K$3:$K$419*Artikelstamm!$AE$3:$AE$419)</f>
        <v/>
      </c>
      <c r="D64" s="34">
        <f>SUMIF(Artikelstamm!$H$3:$H$419,$A64,Artikelstamm!$U$3:$U$419)</f>
        <v/>
      </c>
    </row>
    <row r="65">
      <c r="A65" s="26" t="inlineStr">
        <is>
          <t>Gartenanlage</t>
        </is>
      </c>
      <c r="B65" s="33">
        <f>COUNTIF(Artikelstamm!$H$3:$H$419,$A65)</f>
        <v/>
      </c>
      <c r="C65" s="34">
        <f>SUMPRODUCT((Artikelstamm!$H$3:$H$419=$A65)*Artikelstamm!$K$3:$K$419*Artikelstamm!$AE$3:$AE$419)</f>
        <v/>
      </c>
      <c r="D65" s="34">
        <f>SUMIF(Artikelstamm!$H$3:$H$419,$A65,Artikelstamm!$U$3:$U$419)</f>
        <v/>
      </c>
    </row>
    <row r="66">
      <c r="A66" s="26" t="inlineStr">
        <is>
          <t>Gruppenraum</t>
        </is>
      </c>
      <c r="B66" s="33">
        <f>COUNTIF(Artikelstamm!$H$3:$H$419,$A66)</f>
        <v/>
      </c>
      <c r="C66" s="34">
        <f>SUMPRODUCT((Artikelstamm!$H$3:$H$419=$A66)*Artikelstamm!$K$3:$K$419*Artikelstamm!$AE$3:$AE$419)</f>
        <v/>
      </c>
      <c r="D66" s="34">
        <f>SUMIF(Artikelstamm!$H$3:$H$419,$A66,Artikelstamm!$U$3:$U$419)</f>
        <v/>
      </c>
    </row>
    <row r="67">
      <c r="A67" s="26" t="inlineStr">
        <is>
          <t>Gruppenraum 2</t>
        </is>
      </c>
      <c r="B67" s="33">
        <f>COUNTIF(Artikelstamm!$H$3:$H$419,$A67)</f>
        <v/>
      </c>
      <c r="C67" s="34">
        <f>SUMPRODUCT((Artikelstamm!$H$3:$H$419=$A67)*Artikelstamm!$K$3:$K$419*Artikelstamm!$AE$3:$AE$419)</f>
        <v/>
      </c>
      <c r="D67" s="34">
        <f>SUMIF(Artikelstamm!$H$3:$H$419,$A67,Artikelstamm!$U$3:$U$419)</f>
        <v/>
      </c>
    </row>
    <row r="68">
      <c r="A68" s="26" t="inlineStr">
        <is>
          <t>Gruppenraum 4</t>
        </is>
      </c>
      <c r="B68" s="33">
        <f>COUNTIF(Artikelstamm!$H$3:$H$419,$A68)</f>
        <v/>
      </c>
      <c r="C68" s="34">
        <f>SUMPRODUCT((Artikelstamm!$H$3:$H$419=$A68)*Artikelstamm!$K$3:$K$419*Artikelstamm!$AE$3:$AE$419)</f>
        <v/>
      </c>
      <c r="D68" s="34">
        <f>SUMIF(Artikelstamm!$H$3:$H$419,$A68,Artikelstamm!$U$3:$U$419)</f>
        <v/>
      </c>
    </row>
    <row r="69">
      <c r="A69" s="26" t="inlineStr">
        <is>
          <t>Gruppenraum 5</t>
        </is>
      </c>
      <c r="B69" s="33">
        <f>COUNTIF(Artikelstamm!$H$3:$H$419,$A69)</f>
        <v/>
      </c>
      <c r="C69" s="34">
        <f>SUMPRODUCT((Artikelstamm!$H$3:$H$419=$A69)*Artikelstamm!$K$3:$K$419*Artikelstamm!$AE$3:$AE$419)</f>
        <v/>
      </c>
      <c r="D69" s="34">
        <f>SUMIF(Artikelstamm!$H$3:$H$419,$A69,Artikelstamm!$U$3:$U$419)</f>
        <v/>
      </c>
    </row>
    <row r="70">
      <c r="A70" s="26" t="inlineStr">
        <is>
          <t>Klassenzimmer</t>
        </is>
      </c>
      <c r="B70" s="33">
        <f>COUNTIF(Artikelstamm!$H$3:$H$419,$A70)</f>
        <v/>
      </c>
      <c r="C70" s="34">
        <f>SUMPRODUCT((Artikelstamm!$H$3:$H$419=$A70)*Artikelstamm!$K$3:$K$419*Artikelstamm!$AE$3:$AE$419)</f>
        <v/>
      </c>
      <c r="D70" s="34">
        <f>SUMIF(Artikelstamm!$H$3:$H$419,$A70,Artikelstamm!$U$3:$U$419)</f>
        <v/>
      </c>
    </row>
    <row r="71">
      <c r="A71" s="26" t="inlineStr">
        <is>
          <t>Küche</t>
        </is>
      </c>
      <c r="B71" s="33">
        <f>COUNTIF(Artikelstamm!$H$3:$H$419,$A71)</f>
        <v/>
      </c>
      <c r="C71" s="34">
        <f>SUMPRODUCT((Artikelstamm!$H$3:$H$419=$A71)*Artikelstamm!$K$3:$K$419*Artikelstamm!$AE$3:$AE$419)</f>
        <v/>
      </c>
      <c r="D71" s="34">
        <f>SUMIF(Artikelstamm!$H$3:$H$419,$A71,Artikelstamm!$U$3:$U$419)</f>
        <v/>
      </c>
    </row>
    <row r="72">
      <c r="A72" s="26" t="inlineStr">
        <is>
          <t>Küche / Essen</t>
        </is>
      </c>
      <c r="B72" s="33">
        <f>COUNTIF(Artikelstamm!$H$3:$H$419,$A72)</f>
        <v/>
      </c>
      <c r="C72" s="34">
        <f>SUMPRODUCT((Artikelstamm!$H$3:$H$419=$A72)*Artikelstamm!$K$3:$K$419*Artikelstamm!$AE$3:$AE$419)</f>
        <v/>
      </c>
      <c r="D72" s="34">
        <f>SUMIF(Artikelstamm!$H$3:$H$419,$A72,Artikelstamm!$U$3:$U$419)</f>
        <v/>
      </c>
    </row>
    <row r="73">
      <c r="A73" s="26" t="inlineStr">
        <is>
          <t>Material / Turnraum</t>
        </is>
      </c>
      <c r="B73" s="33">
        <f>COUNTIF(Artikelstamm!$H$3:$H$419,$A73)</f>
        <v/>
      </c>
      <c r="C73" s="34">
        <f>SUMPRODUCT((Artikelstamm!$H$3:$H$419=$A73)*Artikelstamm!$K$3:$K$419*Artikelstamm!$AE$3:$AE$419)</f>
        <v/>
      </c>
      <c r="D73" s="34">
        <f>SUMIF(Artikelstamm!$H$3:$H$419,$A73,Artikelstamm!$U$3:$U$419)</f>
        <v/>
      </c>
    </row>
    <row r="74">
      <c r="A74" s="26" t="inlineStr">
        <is>
          <t>Personal</t>
        </is>
      </c>
      <c r="B74" s="33">
        <f>COUNTIF(Artikelstamm!$H$3:$H$419,$A74)</f>
        <v/>
      </c>
      <c r="C74" s="34">
        <f>SUMPRODUCT((Artikelstamm!$H$3:$H$419=$A74)*Artikelstamm!$K$3:$K$419*Artikelstamm!$AE$3:$AE$419)</f>
        <v/>
      </c>
      <c r="D74" s="34">
        <f>SUMIF(Artikelstamm!$H$3:$H$419,$A74,Artikelstamm!$U$3:$U$419)</f>
        <v/>
      </c>
    </row>
    <row r="75">
      <c r="A75" s="26" t="inlineStr">
        <is>
          <t>Ruhe- / Schlafraum</t>
        </is>
      </c>
      <c r="B75" s="33">
        <f>COUNTIF(Artikelstamm!$H$3:$H$419,$A75)</f>
        <v/>
      </c>
      <c r="C75" s="34">
        <f>SUMPRODUCT((Artikelstamm!$H$3:$H$419=$A75)*Artikelstamm!$K$3:$K$419*Artikelstamm!$AE$3:$AE$419)</f>
        <v/>
      </c>
      <c r="D75" s="34">
        <f>SUMIF(Artikelstamm!$H$3:$H$419,$A75,Artikelstamm!$U$3:$U$419)</f>
        <v/>
      </c>
    </row>
    <row r="76">
      <c r="A76" s="26" t="inlineStr">
        <is>
          <t>Schlafraum</t>
        </is>
      </c>
      <c r="B76" s="33">
        <f>COUNTIF(Artikelstamm!$H$3:$H$419,$A76)</f>
        <v/>
      </c>
      <c r="C76" s="34">
        <f>SUMPRODUCT((Artikelstamm!$H$3:$H$419=$A76)*Artikelstamm!$K$3:$K$419*Artikelstamm!$AE$3:$AE$419)</f>
        <v/>
      </c>
      <c r="D76" s="34">
        <f>SUMIF(Artikelstamm!$H$3:$H$419,$A76,Artikelstamm!$U$3:$U$419)</f>
        <v/>
      </c>
    </row>
    <row r="77">
      <c r="A77" s="26" t="inlineStr">
        <is>
          <t>Schlafraum 2</t>
        </is>
      </c>
      <c r="B77" s="33">
        <f>COUNTIF(Artikelstamm!$H$3:$H$419,$A77)</f>
        <v/>
      </c>
      <c r="C77" s="34">
        <f>SUMPRODUCT((Artikelstamm!$H$3:$H$419=$A77)*Artikelstamm!$K$3:$K$419*Artikelstamm!$AE$3:$AE$419)</f>
        <v/>
      </c>
      <c r="D77" s="34">
        <f>SUMIF(Artikelstamm!$H$3:$H$419,$A77,Artikelstamm!$U$3:$U$419)</f>
        <v/>
      </c>
    </row>
    <row r="78">
      <c r="A78" s="26" t="inlineStr">
        <is>
          <t>Schlafraum 3</t>
        </is>
      </c>
      <c r="B78" s="33">
        <f>COUNTIF(Artikelstamm!$H$3:$H$419,$A78)</f>
        <v/>
      </c>
      <c r="C78" s="34">
        <f>SUMPRODUCT((Artikelstamm!$H$3:$H$419=$A78)*Artikelstamm!$K$3:$K$419*Artikelstamm!$AE$3:$AE$419)</f>
        <v/>
      </c>
      <c r="D78" s="34">
        <f>SUMIF(Artikelstamm!$H$3:$H$419,$A78,Artikelstamm!$U$3:$U$419)</f>
        <v/>
      </c>
    </row>
    <row r="79">
      <c r="A79" s="26" t="inlineStr">
        <is>
          <t>Schlafraum 4</t>
        </is>
      </c>
      <c r="B79" s="33">
        <f>COUNTIF(Artikelstamm!$H$3:$H$419,$A79)</f>
        <v/>
      </c>
      <c r="C79" s="34">
        <f>SUMPRODUCT((Artikelstamm!$H$3:$H$419=$A79)*Artikelstamm!$K$3:$K$419*Artikelstamm!$AE$3:$AE$419)</f>
        <v/>
      </c>
      <c r="D79" s="34">
        <f>SUMIF(Artikelstamm!$H$3:$H$419,$A79,Artikelstamm!$U$3:$U$419)</f>
        <v/>
      </c>
    </row>
    <row r="80">
      <c r="A80" s="26" t="inlineStr">
        <is>
          <t>Schlafraum 5</t>
        </is>
      </c>
      <c r="B80" s="33">
        <f>COUNTIF(Artikelstamm!$H$3:$H$419,$A80)</f>
        <v/>
      </c>
      <c r="C80" s="34">
        <f>SUMPRODUCT((Artikelstamm!$H$3:$H$419=$A80)*Artikelstamm!$K$3:$K$419*Artikelstamm!$AE$3:$AE$419)</f>
        <v/>
      </c>
      <c r="D80" s="34">
        <f>SUMIF(Artikelstamm!$H$3:$H$419,$A80,Artikelstamm!$U$3:$U$419)</f>
        <v/>
      </c>
    </row>
    <row r="81">
      <c r="A81" s="26" t="inlineStr">
        <is>
          <t>Speisesaal</t>
        </is>
      </c>
      <c r="B81" s="33">
        <f>COUNTIF(Artikelstamm!$H$3:$H$419,$A81)</f>
        <v/>
      </c>
      <c r="C81" s="34">
        <f>SUMPRODUCT((Artikelstamm!$H$3:$H$419=$A81)*Artikelstamm!$K$3:$K$419*Artikelstamm!$AE$3:$AE$419)</f>
        <v/>
      </c>
      <c r="D81" s="34">
        <f>SUMIF(Artikelstamm!$H$3:$H$419,$A81,Artikelstamm!$U$3:$U$419)</f>
        <v/>
      </c>
    </row>
    <row r="82">
      <c r="A82" s="26" t="inlineStr">
        <is>
          <t>Terrasse</t>
        </is>
      </c>
      <c r="B82" s="33">
        <f>COUNTIF(Artikelstamm!$H$3:$H$419,$A82)</f>
        <v/>
      </c>
      <c r="C82" s="34">
        <f>SUMPRODUCT((Artikelstamm!$H$3:$H$419=$A82)*Artikelstamm!$K$3:$K$419*Artikelstamm!$AE$3:$AE$419)</f>
        <v/>
      </c>
      <c r="D82" s="34">
        <f>SUMIF(Artikelstamm!$H$3:$H$419,$A82,Artikelstamm!$U$3:$U$419)</f>
        <v/>
      </c>
    </row>
    <row r="83">
      <c r="A83" s="26" t="inlineStr">
        <is>
          <t>Treppenraum 1</t>
        </is>
      </c>
      <c r="B83" s="33">
        <f>COUNTIF(Artikelstamm!$H$3:$H$419,$A83)</f>
        <v/>
      </c>
      <c r="C83" s="34">
        <f>SUMPRODUCT((Artikelstamm!$H$3:$H$419=$A83)*Artikelstamm!$K$3:$K$419*Artikelstamm!$AE$3:$AE$419)</f>
        <v/>
      </c>
      <c r="D83" s="34">
        <f>SUMIF(Artikelstamm!$H$3:$H$419,$A83,Artikelstamm!$U$3:$U$419)</f>
        <v/>
      </c>
    </row>
    <row r="84">
      <c r="A84" s="26" t="inlineStr">
        <is>
          <t>Turnraum</t>
        </is>
      </c>
      <c r="B84" s="33">
        <f>COUNTIF(Artikelstamm!$H$3:$H$419,$A84)</f>
        <v/>
      </c>
      <c r="C84" s="34">
        <f>SUMPRODUCT((Artikelstamm!$H$3:$H$419=$A84)*Artikelstamm!$K$3:$K$419*Artikelstamm!$AE$3:$AE$419)</f>
        <v/>
      </c>
      <c r="D84" s="34">
        <f>SUMIF(Artikelstamm!$H$3:$H$419,$A84,Artikelstamm!$U$3:$U$419)</f>
        <v/>
      </c>
    </row>
    <row r="85">
      <c r="A85" s="26" t="inlineStr">
        <is>
          <t>WC</t>
        </is>
      </c>
      <c r="B85" s="33">
        <f>COUNTIF(Artikelstamm!$H$3:$H$419,$A85)</f>
        <v/>
      </c>
      <c r="C85" s="34">
        <f>SUMPRODUCT((Artikelstamm!$H$3:$H$419=$A85)*Artikelstamm!$K$3:$K$419*Artikelstamm!$AE$3:$AE$419)</f>
        <v/>
      </c>
      <c r="D85" s="34">
        <f>SUMIF(Artikelstamm!$H$3:$H$419,$A85,Artikelstamm!$U$3:$U$419)</f>
        <v/>
      </c>
    </row>
    <row r="86">
      <c r="A86" s="26" t="inlineStr">
        <is>
          <t>WC Personal</t>
        </is>
      </c>
      <c r="B86" s="33">
        <f>COUNTIF(Artikelstamm!$H$3:$H$419,$A86)</f>
        <v/>
      </c>
      <c r="C86" s="34">
        <f>SUMPRODUCT((Artikelstamm!$H$3:$H$419=$A86)*Artikelstamm!$K$3:$K$419*Artikelstamm!$AE$3:$AE$419)</f>
        <v/>
      </c>
      <c r="D86" s="34">
        <f>SUMIF(Artikelstamm!$H$3:$H$419,$A86,Artikelstamm!$U$3:$U$419)</f>
        <v/>
      </c>
    </row>
    <row r="87">
      <c r="A87" s="26" t="inlineStr">
        <is>
          <t>Werkraum</t>
        </is>
      </c>
      <c r="B87" s="33">
        <f>COUNTIF(Artikelstamm!$H$3:$H$419,$A87)</f>
        <v/>
      </c>
      <c r="C87" s="34">
        <f>SUMPRODUCT((Artikelstamm!$H$3:$H$419=$A87)*Artikelstamm!$K$3:$K$419*Artikelstamm!$AE$3:$AE$419)</f>
        <v/>
      </c>
      <c r="D87" s="34">
        <f>SUMIF(Artikelstamm!$H$3:$H$419,$A87,Artikelstamm!$U$3:$U$419)</f>
        <v/>
      </c>
    </row>
    <row r="88">
      <c r="A88" s="28" t="inlineStr">
        <is>
          <t>Summe</t>
        </is>
      </c>
      <c r="B88" s="35">
        <f>SUM(B55:B87)</f>
        <v/>
      </c>
      <c r="C88" s="36">
        <f>SUM(C55:C87)</f>
        <v/>
      </c>
      <c r="D88" s="36">
        <f>SUM(D55:D87)</f>
        <v/>
      </c>
    </row>
    <row r="90">
      <c r="A90" s="25" t="inlineStr">
        <is>
          <t>Nach Verkaufskanal</t>
        </is>
      </c>
    </row>
    <row r="91">
      <c r="A91" s="32" t="inlineStr">
        <is>
          <t>Verkaufskanal</t>
        </is>
      </c>
      <c r="B91" s="32" t="inlineStr">
        <is>
          <t>Positionen</t>
        </is>
      </c>
      <c r="C91" s="32" t="inlineStr">
        <is>
          <t>Umsatz netto</t>
        </is>
      </c>
    </row>
    <row r="92">
      <c r="A92" s="26" t="inlineStr">
        <is>
          <t>Klinik</t>
        </is>
      </c>
      <c r="B92" s="33">
        <f>COUNTIF(Artikelstamm!$AC$3:$AC$419,$A92)</f>
        <v/>
      </c>
      <c r="C92" s="34">
        <f>SUMPRODUCT((Artikelstamm!$AC$3:$AC$419=$A92)*Artikelstamm!$K$3:$K$419*Artikelstamm!$AE$3:$AE$419)</f>
        <v/>
      </c>
    </row>
    <row r="93">
      <c r="A93" s="26" t="inlineStr">
        <is>
          <t>Kleinanzeigen</t>
        </is>
      </c>
      <c r="B93" s="33">
        <f>COUNTIF(Artikelstamm!$AC$3:$AC$419,$A93)</f>
        <v/>
      </c>
      <c r="C93" s="34">
        <f>SUMPRODUCT((Artikelstamm!$AC$3:$AC$419=$A93)*Artikelstamm!$K$3:$K$419*Artikelstamm!$AE$3:$AE$419)</f>
        <v/>
      </c>
    </row>
    <row r="94">
      <c r="A94" s="26" t="inlineStr">
        <is>
          <t>eBay</t>
        </is>
      </c>
      <c r="B94" s="33">
        <f>COUNTIF(Artikelstamm!$AC$3:$AC$419,$A94)</f>
        <v/>
      </c>
      <c r="C94" s="34">
        <f>SUMPRODUCT((Artikelstamm!$AC$3:$AC$419=$A94)*Artikelstamm!$K$3:$K$419*Artikelstamm!$AE$3:$AE$419)</f>
        <v/>
      </c>
    </row>
    <row r="95">
      <c r="A95" s="26" t="inlineStr">
        <is>
          <t>Direkt</t>
        </is>
      </c>
      <c r="B95" s="33">
        <f>COUNTIF(Artikelstamm!$AC$3:$AC$419,$A95)</f>
        <v/>
      </c>
      <c r="C95" s="34">
        <f>SUMPRODUCT((Artikelstamm!$AC$3:$AC$419=$A95)*Artikelstamm!$K$3:$K$419*Artikelstamm!$AE$3:$AE$419)</f>
        <v/>
      </c>
    </row>
    <row r="96">
      <c r="A96" s="26" t="inlineStr">
        <is>
          <t>Händler</t>
        </is>
      </c>
      <c r="B96" s="33">
        <f>COUNTIF(Artikelstamm!$AC$3:$AC$419,$A96)</f>
        <v/>
      </c>
      <c r="C96" s="34">
        <f>SUMPRODUCT((Artikelstamm!$AC$3:$AC$419=$A96)*Artikelstamm!$K$3:$K$419*Artikelstamm!$AE$3:$AE$419)</f>
        <v/>
      </c>
    </row>
    <row r="97">
      <c r="A97" s="26" t="inlineStr">
        <is>
          <t>Verkaufstag</t>
        </is>
      </c>
      <c r="B97" s="33">
        <f>COUNTIF(Artikelstamm!$AC$3:$AC$419,$A97)</f>
        <v/>
      </c>
      <c r="C97" s="34">
        <f>SUMPRODUCT((Artikelstamm!$AC$3:$AC$419=$A97)*Artikelstamm!$K$3:$K$419*Artikelstamm!$AE$3:$AE$419)</f>
        <v/>
      </c>
    </row>
    <row r="98">
      <c r="A98" s="28" t="inlineStr">
        <is>
          <t>Summe</t>
        </is>
      </c>
      <c r="B98" s="35">
        <f>SUM(B92:B97)</f>
        <v/>
      </c>
      <c r="C98" s="36">
        <f>SUM(C92:C97)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2026-09-24T09:14:09Z</dcterms:created>
  <dcterms:modified xmlns:dcterms="http://purl.org/dc/terms/" xmlns:xsi="http://www.w3.org/2001/XMLSchema-instance" xsi:type="dcterms:W3CDTF">2026-09-24T09:14:10Z</dcterms:modified>
</cp:coreProperties>
</file>