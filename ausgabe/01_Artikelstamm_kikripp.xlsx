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'Artikelstamm'!$A$2:$AN$300</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30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im Bild (Bepflanzung enthalten)</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19" t="n"/>
      <c r="AE36" s="20" t="n"/>
      <c r="AF36" s="21">
        <f>IF(K36="","",K36*AE36)</f>
        <v/>
      </c>
      <c r="AG36" s="19" t="n"/>
      <c r="AH36" s="19" t="n"/>
      <c r="AI36" s="19" t="n"/>
      <c r="AJ36" s="19" t="n"/>
      <c r="AK36" s="19" t="n"/>
      <c r="AL36" s="19" t="n"/>
      <c r="AM36" s="16" t="inlineStr">
        <is>
          <t>1 Set im Bild</t>
        </is>
      </c>
      <c r="AN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mindestens 4 Tische im Bild - bitte nachzählen</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2 Bänke im Bild erkennbar</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16 Stühle insgesamt: 10 im Gruppenraum 5 und im Nachbarraum NU03, 6 im Schlafraum 5 (dort mit NU04-12 beschriftet).</t>
        </is>
      </c>
      <c r="AN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4 Betten, alle aufgebaut: 2 im Schlafraum 4 und 2 in einem weiteren Schlafraum.</t>
        </is>
      </c>
      <c r="AN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9 Stühle – abgebildet ist einer davon.</t>
        </is>
      </c>
      <c r="AN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8</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8 Regale insgesamt: 3 im Schlafraum 5, 1 im Treppenraum 1 (NU05-05), 1 in der Garage (NU07-06) und 3 im Gruppenraum 4 (BA04-03).</t>
        </is>
      </c>
      <c r="AN188" s="22" t="inlineStr">
        <is>
          <t>Zusammengefasste Position über vier Räume – Post-it-Nummern: NU05-05, NU07-06, BA04-03.</t>
        </is>
      </c>
    </row>
    <row r="189" ht="30" customHeight="1">
      <c r="A189" s="15" t="inlineStr">
        <is>
          <t>NU04-10</t>
        </is>
      </c>
      <c r="B189" s="15" t="n"/>
      <c r="C189" s="15" t="n"/>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4 Stühle – abgebildet ist einer davon.</t>
        </is>
      </c>
      <c r="AN189" s="22" t="n"/>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1 Tisch.</t>
        </is>
      </c>
      <c r="AN191" s="22" t="n"/>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2 Schränke – abgebildet ist einer davon, innen auf Foto F-206.</t>
        </is>
      </c>
      <c r="AN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t>
        </is>
      </c>
      <c r="AN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t>
        </is>
      </c>
      <c r="AN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4</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4 Schränke insgesamt: 2 im Flur 2 (BA02-08) und 2 im Gruppenraum 4 (dort mit BA04-09 beschriftet). Abgebildet ist einer davon, ein weiterer auf Foto F-308.</t>
        </is>
      </c>
      <c r="AN241" s="22" t="inlineStr">
        <is>
          <t>Zusammengefasste Position – Post-it-Nummer im zweiten Raum: BA04-09.</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n"/>
      <c r="D248" s="15" t="inlineStr">
        <is>
          <t>NE02</t>
        </is>
      </c>
      <c r="E248" s="15" t="inlineStr">
        <is>
          <t>IKEA Trinkbecher Kinder, bunt</t>
        </is>
      </c>
      <c r="F248" s="16" t="inlineStr">
        <is>
          <t>Trinkbecher aus Kunststoff für Kinder, IKEA, in Rot, Blau, Pink, Gelb und Weiß. Stapelbar, spülmaschinenfest.</t>
        </is>
      </c>
      <c r="G248" s="15" t="inlineStr">
        <is>
          <t>Sonstiges</t>
        </is>
      </c>
      <c r="H248" s="15" t="inlineStr">
        <is>
          <t>Küche</t>
        </is>
      </c>
      <c r="I248" s="15" t="inlineStr">
        <is>
          <t>C</t>
        </is>
      </c>
      <c r="J248" s="17" t="n">
        <v>39</v>
      </c>
      <c r="K248" s="17" t="n"/>
      <c r="L248" s="18">
        <f>J248-IF(K248="",0,K248)</f>
        <v/>
      </c>
      <c r="M248" s="15" t="inlineStr">
        <is>
          <t>Stück</t>
        </is>
      </c>
      <c r="N248" s="15" t="inlineStr">
        <is>
          <t>gebraucht</t>
        </is>
      </c>
      <c r="O248" s="19" t="n"/>
      <c r="P248" s="19" t="inlineStr">
        <is>
          <t>ja</t>
        </is>
      </c>
      <c r="Q248" s="19" t="n"/>
      <c r="R248" s="20" t="n"/>
      <c r="S248" s="20" t="n">
        <v>0.5</v>
      </c>
      <c r="T248" s="19" t="inlineStr">
        <is>
          <t>VHB</t>
        </is>
      </c>
      <c r="U248" s="21">
        <f>L248*S248</f>
        <v/>
      </c>
      <c r="V248" s="15" t="inlineStr">
        <is>
          <t>Versand möglich</t>
        </is>
      </c>
      <c r="W248" s="15" t="inlineStr">
        <is>
          <t>F-280</t>
        </is>
      </c>
      <c r="X248" s="19" t="inlineStr">
        <is>
          <t>ja</t>
        </is>
      </c>
      <c r="Y248" s="19" t="n"/>
      <c r="Z248" s="19" t="inlineStr">
        <is>
          <t>verfügbar</t>
        </is>
      </c>
      <c r="AA248" s="19" t="inlineStr">
        <is>
          <t>IKEA</t>
        </is>
      </c>
      <c r="AB248" s="19" t="n"/>
      <c r="AC248" s="19" t="n"/>
      <c r="AD248" s="19" t="n"/>
      <c r="AE248" s="20" t="n"/>
      <c r="AF248" s="21">
        <f>IF(K248="","",K248*AE248)</f>
        <v/>
      </c>
      <c r="AG248" s="19" t="n"/>
      <c r="AH248" s="19" t="n"/>
      <c r="AI248" s="19" t="n"/>
      <c r="AJ248" s="19" t="n"/>
      <c r="AK248" s="19" t="n"/>
      <c r="AL248" s="19" t="n"/>
      <c r="AM248" s="16" t="inlineStr">
        <is>
          <t>39 Becher in gemischten Farben – abgebildet sind alle.</t>
        </is>
      </c>
      <c r="AN248" s="22" t="inlineStr">
        <is>
          <t>OFFEN: waechst noch. Aus einer weiteren Kueche kommen Becher und bunte Teller dazu. Am Ende des Rundgangs zu EINEM Geschirr-Konvolut zusammenfassen und im Katalog lassen - so von der Nutzerin gewuenscht.</t>
        </is>
      </c>
    </row>
    <row r="249" ht="30" customHeight="1">
      <c r="A249" s="15" t="inlineStr">
        <is>
          <t>NE02-06</t>
        </is>
      </c>
      <c r="B249" s="15" t="n"/>
      <c r="C249" s="15" t="n"/>
      <c r="D249" s="15" t="inlineStr">
        <is>
          <t>NE02</t>
        </is>
      </c>
      <c r="E249" s="15" t="inlineStr">
        <is>
          <t>Trinkbecher Melamin, grün- und grautöne</t>
        </is>
      </c>
      <c r="F249" s="16" t="inlineStr">
        <is>
          <t>Trinkbecher mit facettiertem Fuß in Weiß, Salbeigrün, Graugrün und Mintgrün. Acht der Becher tragen ein Motiv.</t>
        </is>
      </c>
      <c r="G249" s="15" t="inlineStr">
        <is>
          <t>Sonstiges</t>
        </is>
      </c>
      <c r="H249" s="15" t="inlineStr">
        <is>
          <t>Küche</t>
        </is>
      </c>
      <c r="I249" s="15" t="inlineStr">
        <is>
          <t>C</t>
        </is>
      </c>
      <c r="J249" s="17" t="n">
        <v>17</v>
      </c>
      <c r="K249" s="17" t="n"/>
      <c r="L249" s="18">
        <f>J249-IF(K249="",0,K249)</f>
        <v/>
      </c>
      <c r="M249" s="15" t="inlineStr">
        <is>
          <t>Stück</t>
        </is>
      </c>
      <c r="N249" s="15" t="inlineStr">
        <is>
          <t>gut</t>
        </is>
      </c>
      <c r="O249" s="19" t="n"/>
      <c r="P249" s="19" t="inlineStr">
        <is>
          <t>ja</t>
        </is>
      </c>
      <c r="Q249" s="19" t="n"/>
      <c r="R249" s="20" t="n"/>
      <c r="S249" s="20" t="n">
        <v>1.5</v>
      </c>
      <c r="T249" s="19" t="inlineStr">
        <is>
          <t>VHB</t>
        </is>
      </c>
      <c r="U249" s="21">
        <f>L249*S249</f>
        <v/>
      </c>
      <c r="V249" s="15" t="inlineStr">
        <is>
          <t>Versand möglich</t>
        </is>
      </c>
      <c r="W249" s="15" t="inlineStr">
        <is>
          <t>F-281</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17 Becher – abgebildet sind alle. Acht davon mit Motiv.</t>
        </is>
      </c>
      <c r="AN249" s="22" t="inlineStr">
        <is>
          <t>OFFEN: waechst noch. Aus einer weiteren Kueche kommen Becher und bunte Teller dazu. Am Ende des Rundgangs zu EINEM Geschirr-Konvolut zusammenfassen und im Katalog lassen - so von der Nutzerin gewuenscht.</t>
        </is>
      </c>
    </row>
    <row r="250" ht="30" customHeight="1">
      <c r="A250" s="15" t="inlineStr">
        <is>
          <t>NE02-07</t>
        </is>
      </c>
      <c r="B250" s="15" t="n"/>
      <c r="C250" s="15" t="n"/>
      <c r="D250" s="15" t="inlineStr">
        <is>
          <t>NE02</t>
        </is>
      </c>
      <c r="E250" s="15" t="inlineStr">
        <is>
          <t>Teller Kunststoff, bunt</t>
        </is>
      </c>
      <c r="F250" s="16" t="inlineStr">
        <is>
          <t>Flache Teller aus Kunststoff in kräftigen Farben: elf kleine bunte, drei große sowie weitere mit Tiermotiv.</t>
        </is>
      </c>
      <c r="G250" s="15" t="inlineStr">
        <is>
          <t>Sonstiges</t>
        </is>
      </c>
      <c r="H250" s="15" t="inlineStr">
        <is>
          <t>Küche</t>
        </is>
      </c>
      <c r="I250" s="15" t="inlineStr">
        <is>
          <t>C</t>
        </is>
      </c>
      <c r="J250" s="17" t="n">
        <v>22</v>
      </c>
      <c r="K250" s="17" t="n"/>
      <c r="L250" s="18">
        <f>J250-IF(K250="",0,K250)</f>
        <v/>
      </c>
      <c r="M250" s="15" t="inlineStr">
        <is>
          <t>Stück</t>
        </is>
      </c>
      <c r="N250" s="15" t="inlineStr">
        <is>
          <t>gebraucht</t>
        </is>
      </c>
      <c r="O250" s="19" t="n"/>
      <c r="P250" s="19" t="inlineStr">
        <is>
          <t>ja</t>
        </is>
      </c>
      <c r="Q250" s="19" t="n"/>
      <c r="R250" s="20" t="n"/>
      <c r="S250" s="20" t="n">
        <v>1.5</v>
      </c>
      <c r="T250" s="19" t="inlineStr">
        <is>
          <t>VHB</t>
        </is>
      </c>
      <c r="U250" s="21">
        <f>L250*S250</f>
        <v/>
      </c>
      <c r="V250" s="15" t="inlineStr">
        <is>
          <t>Versand möglich</t>
        </is>
      </c>
      <c r="W250" s="15" t="inlineStr">
        <is>
          <t>F-282</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22 Teller – abgebildet sind alle. Elf kleine bunte, drei große, der Rest mit Motiv.</t>
        </is>
      </c>
      <c r="AN250" s="22" t="inlineStr">
        <is>
          <t>OFFEN: waechst noch. Aus einer weiteren Kueche kommen Becher und bunte Teller dazu. Am Ende des Rundgangs zu EINEM Geschirr-Konvolut zusammenfassen und im Katalog lassen - so von der Nutzerin gewuenscht.</t>
        </is>
      </c>
    </row>
    <row r="251" ht="30" customHeight="1">
      <c r="A251" s="15" t="inlineStr">
        <is>
          <t>NE02-08</t>
        </is>
      </c>
      <c r="B251" s="15" t="n"/>
      <c r="C251" s="15" t="n"/>
      <c r="D251" s="15" t="inlineStr">
        <is>
          <t>NE02</t>
        </is>
      </c>
      <c r="E251" s="15" t="inlineStr">
        <is>
          <t>Schriftzug „Sterneküche", schwarz</t>
        </is>
      </c>
      <c r="F251" s="16" t="inlineStr">
        <is>
          <t>Großer Wandschriftzug „Sterneküche" in Schreibschrift, schwarz, aus Holz gefräst.</t>
        </is>
      </c>
      <c r="G251" s="15" t="inlineStr">
        <is>
          <t>Deko</t>
        </is>
      </c>
      <c r="H251" s="15" t="inlineStr">
        <is>
          <t>Küche</t>
        </is>
      </c>
      <c r="I251" s="15" t="inlineStr">
        <is>
          <t>B</t>
        </is>
      </c>
      <c r="J251" s="17" t="n">
        <v>1</v>
      </c>
      <c r="K251" s="17" t="n"/>
      <c r="L251" s="18">
        <f>J251-IF(K251="",0,K251)</f>
        <v/>
      </c>
      <c r="M251" s="15" t="inlineStr">
        <is>
          <t>Stück</t>
        </is>
      </c>
      <c r="N251" s="15" t="inlineStr">
        <is>
          <t>gut</t>
        </is>
      </c>
      <c r="O251" s="19" t="n"/>
      <c r="P251" s="19" t="inlineStr">
        <is>
          <t>ja</t>
        </is>
      </c>
      <c r="Q251" s="19" t="n"/>
      <c r="R251" s="20" t="n"/>
      <c r="S251" s="20" t="n">
        <v>35</v>
      </c>
      <c r="T251" s="19" t="inlineStr">
        <is>
          <t>VHB</t>
        </is>
      </c>
      <c r="U251" s="21">
        <f>L251*S251</f>
        <v/>
      </c>
      <c r="V251" s="15" t="inlineStr">
        <is>
          <t>Versand möglich</t>
        </is>
      </c>
      <c r="W251" s="15" t="inlineStr">
        <is>
          <t>F-283</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Schriftzug.</t>
        </is>
      </c>
      <c r="AN251" s="22" t="n"/>
    </row>
    <row r="252" ht="30" customHeight="1">
      <c r="A252" s="15" t="inlineStr">
        <is>
          <t>NE02-09</t>
        </is>
      </c>
      <c r="B252" s="15" t="n"/>
      <c r="C252" s="15" t="n"/>
      <c r="D252" s="15" t="inlineStr">
        <is>
          <t>NE02</t>
        </is>
      </c>
      <c r="E252" s="15" t="inlineStr">
        <is>
          <t>Tablett weiß mit Streifenmuster</t>
        </is>
      </c>
      <c r="F252" s="16" t="inlineStr">
        <is>
          <t>Serviertablett aus Kunststoff, weiß mit Griffausschnitten, Boden mit Streifenmuster – eines in Blautönen, eines in Rottönen.</t>
        </is>
      </c>
      <c r="G252" s="15" t="inlineStr">
        <is>
          <t>Sonstiges</t>
        </is>
      </c>
      <c r="H252" s="15" t="inlineStr">
        <is>
          <t>Küche</t>
        </is>
      </c>
      <c r="I252" s="15" t="inlineStr">
        <is>
          <t>C</t>
        </is>
      </c>
      <c r="J252" s="17" t="n">
        <v>2</v>
      </c>
      <c r="K252" s="17" t="n"/>
      <c r="L252" s="18">
        <f>J252-IF(K252="",0,K252)</f>
        <v/>
      </c>
      <c r="M252" s="15" t="inlineStr">
        <is>
          <t>Stück</t>
        </is>
      </c>
      <c r="N252" s="15" t="inlineStr">
        <is>
          <t>gut</t>
        </is>
      </c>
      <c r="O252" s="19" t="n"/>
      <c r="P252" s="19" t="inlineStr">
        <is>
          <t>ja</t>
        </is>
      </c>
      <c r="Q252" s="19" t="n"/>
      <c r="R252" s="20" t="n"/>
      <c r="S252" s="20" t="n">
        <v>8</v>
      </c>
      <c r="T252" s="19" t="inlineStr">
        <is>
          <t>VHB</t>
        </is>
      </c>
      <c r="U252" s="21">
        <f>L252*S252</f>
        <v/>
      </c>
      <c r="V252" s="15" t="inlineStr">
        <is>
          <t>Versand möglich</t>
        </is>
      </c>
      <c r="W252" s="15" t="inlineStr">
        <is>
          <t>F-284</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2 Tabletts, beide abgebildet.</t>
        </is>
      </c>
      <c r="AN252" s="22" t="n"/>
    </row>
    <row r="253" ht="30" customHeight="1">
      <c r="A253" s="15" t="inlineStr">
        <is>
          <t>BA10-09</t>
        </is>
      </c>
      <c r="B253" s="15" t="n"/>
      <c r="C253" s="15" t="n"/>
      <c r="D253" s="15" t="inlineStr">
        <is>
          <t>BA10</t>
        </is>
      </c>
      <c r="E253" s="15" t="inlineStr">
        <is>
          <t>Beistelltisch rund, Tablettplatte Birke</t>
        </is>
      </c>
      <c r="F253" s="16" t="inlineStr">
        <is>
          <t>Runder Beistelltisch: abnehmbare Tablettplatte aus Birke mit umlaufendem Rand, auf einem weißen Gestell aus Rundstahl mit Tragebügel.</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35</v>
      </c>
      <c r="T253" s="19" t="inlineStr">
        <is>
          <t>VHB</t>
        </is>
      </c>
      <c r="U253" s="21">
        <f>L253*S253</f>
        <v/>
      </c>
      <c r="V253" s="15" t="inlineStr">
        <is>
          <t>nur Abholung</t>
        </is>
      </c>
      <c r="W253" s="15" t="inlineStr">
        <is>
          <t>F-286</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Die Teelichtgläser gehören nicht dazu.</t>
        </is>
      </c>
      <c r="AN253" s="22" t="n"/>
    </row>
    <row r="254" ht="30" customHeight="1">
      <c r="A254" s="15" t="inlineStr">
        <is>
          <t>BA10-10</t>
        </is>
      </c>
      <c r="B254" s="15" t="n"/>
      <c r="C254" s="15" t="n"/>
      <c r="D254" s="15" t="inlineStr">
        <is>
          <t>BA10</t>
        </is>
      </c>
      <c r="E254" s="15" t="inlineStr">
        <is>
          <t>Beistelltisch rund, Tablettplatte schwarz</t>
        </is>
      </c>
      <c r="F254" s="16" t="inlineStr">
        <is>
          <t>Runder Beistelltisch mit schwarzer Tablettplatte auf drei schlanken, schwarz lackierten Metallbeinen. Platte mit Gebrauchsspuren.</t>
        </is>
      </c>
      <c r="G254" s="15" t="inlineStr">
        <is>
          <t>Möbel</t>
        </is>
      </c>
      <c r="H254" s="15" t="inlineStr">
        <is>
          <t>Ruhe- / Schlafraum</t>
        </is>
      </c>
      <c r="I254" s="15" t="inlineStr">
        <is>
          <t>B</t>
        </is>
      </c>
      <c r="J254" s="17" t="n">
        <v>1</v>
      </c>
      <c r="K254" s="17" t="n"/>
      <c r="L254" s="18">
        <f>J254-IF(K254="",0,K254)</f>
        <v/>
      </c>
      <c r="M254" s="15" t="inlineStr">
        <is>
          <t>Stück</t>
        </is>
      </c>
      <c r="N254" s="15" t="inlineStr">
        <is>
          <t>gebraucht</t>
        </is>
      </c>
      <c r="O254" s="19" t="n"/>
      <c r="P254" s="19" t="inlineStr">
        <is>
          <t>ja</t>
        </is>
      </c>
      <c r="Q254" s="19" t="n"/>
      <c r="R254" s="20" t="n"/>
      <c r="S254" s="20" t="n">
        <v>30</v>
      </c>
      <c r="T254" s="19" t="inlineStr">
        <is>
          <t>VHB</t>
        </is>
      </c>
      <c r="U254" s="21">
        <f>L254*S254</f>
        <v/>
      </c>
      <c r="V254" s="15" t="inlineStr">
        <is>
          <t>nur Abholung</t>
        </is>
      </c>
      <c r="W254" s="15" t="inlineStr">
        <is>
          <t>F-287</t>
        </is>
      </c>
      <c r="X254" s="19" t="inlineStr">
        <is>
          <t>ja</t>
        </is>
      </c>
      <c r="Y254" s="19" t="n"/>
      <c r="Z254" s="19" t="inlineStr">
        <is>
          <t>verfügbar</t>
        </is>
      </c>
      <c r="AA254" s="19" t="n"/>
      <c r="AB254" s="19" t="n"/>
      <c r="AC254" s="19" t="n"/>
      <c r="AD254" s="19" t="n"/>
      <c r="AE254" s="20" t="n"/>
      <c r="AF254" s="21">
        <f>IF(K254="","",K254*AE254)</f>
        <v/>
      </c>
      <c r="AG254" s="19" t="n"/>
      <c r="AH254" s="19" t="n"/>
      <c r="AI254" s="19" t="n"/>
      <c r="AJ254" s="19" t="n"/>
      <c r="AK254" s="19" t="n"/>
      <c r="AL254" s="19" t="n"/>
      <c r="AM254" s="16" t="inlineStr">
        <is>
          <t>1 Tisch. Die Kerzengläser gehören nicht dazu.</t>
        </is>
      </c>
      <c r="AN254" s="22" t="n"/>
    </row>
    <row r="255" ht="30" customHeight="1">
      <c r="A255" s="15" t="inlineStr">
        <is>
          <t>BA10-11</t>
        </is>
      </c>
      <c r="B255" s="15" t="n"/>
      <c r="C255" s="15" t="n"/>
      <c r="D255" s="15" t="inlineStr">
        <is>
          <t>BA10</t>
        </is>
      </c>
      <c r="E255" s="15" t="inlineStr">
        <is>
          <t>Tisch rund, zweiteilig, weiß</t>
        </is>
      </c>
      <c r="F255" s="16" t="inlineStr">
        <is>
          <t>Runder Tisch aus zwei halbrunden weißen Platten mit Multiplex-Kante, auf höhenverstellbaren Rundfüßen aus Chrom. Die Hälften lassen sich einzeln stellen.</t>
        </is>
      </c>
      <c r="G255" s="15" t="inlineStr">
        <is>
          <t>Möbel</t>
        </is>
      </c>
      <c r="H255" s="15" t="inlineStr">
        <is>
          <t>Ruhe- / Schlafraum</t>
        </is>
      </c>
      <c r="I255" s="15" t="inlineStr">
        <is>
          <t>B</t>
        </is>
      </c>
      <c r="J255" s="17" t="n">
        <v>1</v>
      </c>
      <c r="K255" s="17" t="n"/>
      <c r="L255" s="18">
        <f>J255-IF(K255="",0,K255)</f>
        <v/>
      </c>
      <c r="M255" s="15" t="inlineStr">
        <is>
          <t>Stück</t>
        </is>
      </c>
      <c r="N255" s="15" t="inlineStr">
        <is>
          <t>gebraucht</t>
        </is>
      </c>
      <c r="O255" s="19" t="n"/>
      <c r="P255" s="19" t="inlineStr">
        <is>
          <t>ja</t>
        </is>
      </c>
      <c r="Q255" s="19" t="n"/>
      <c r="R255" s="20" t="n"/>
      <c r="S255" s="20" t="n">
        <v>90</v>
      </c>
      <c r="T255" s="19" t="inlineStr">
        <is>
          <t>VHB</t>
        </is>
      </c>
      <c r="U255" s="21">
        <f>L255*S255</f>
        <v/>
      </c>
      <c r="V255" s="15" t="inlineStr">
        <is>
          <t>nur Abholung</t>
        </is>
      </c>
      <c r="W255" s="15" t="inlineStr">
        <is>
          <t>F-288</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Tisch aus zwei halbrunden Platten.</t>
        </is>
      </c>
      <c r="AN255" s="22" t="n"/>
    </row>
    <row r="256" ht="30" customHeight="1">
      <c r="A256" s="15" t="inlineStr">
        <is>
          <t>BA03-01</t>
        </is>
      </c>
      <c r="B256" s="15" t="n"/>
      <c r="C256" s="15" t="n"/>
      <c r="D256" s="15" t="inlineStr">
        <is>
          <t>BA03</t>
        </is>
      </c>
      <c r="E256" s="15" t="inlineStr">
        <is>
          <t>IKEA Avsiktlig Teppich, schwarz-weiß gepunktet</t>
        </is>
      </c>
      <c r="F256" s="16" t="inlineStr">
        <is>
          <t>Flachgewebter Teppich in Creme mit schwarzen Punktreihen, IKEA Avsiktlig. Flor 100 % Polypropylen auf Jutekette. Etikett auf der Rückseite vorhanden.</t>
        </is>
      </c>
      <c r="G256" s="15" t="inlineStr">
        <is>
          <t>Textilien</t>
        </is>
      </c>
      <c r="H256" s="15" t="inlineStr">
        <is>
          <t>Galerie</t>
        </is>
      </c>
      <c r="I256" s="15" t="inlineStr">
        <is>
          <t>C</t>
        </is>
      </c>
      <c r="J256" s="17" t="n">
        <v>1</v>
      </c>
      <c r="K256" s="17" t="n"/>
      <c r="L256" s="18">
        <f>J256-IF(K256="",0,K256)</f>
        <v/>
      </c>
      <c r="M256" s="15" t="inlineStr">
        <is>
          <t>Stück</t>
        </is>
      </c>
      <c r="N256" s="15" t="inlineStr">
        <is>
          <t>gebraucht</t>
        </is>
      </c>
      <c r="O256" s="19" t="inlineStr">
        <is>
          <t>133 × 195 cm</t>
        </is>
      </c>
      <c r="P256" s="19" t="inlineStr">
        <is>
          <t>ja</t>
        </is>
      </c>
      <c r="Q256" s="19" t="n"/>
      <c r="R256" s="20" t="n"/>
      <c r="S256" s="20" t="n">
        <v>25</v>
      </c>
      <c r="T256" s="19" t="inlineStr">
        <is>
          <t>VHB</t>
        </is>
      </c>
      <c r="U256" s="21">
        <f>L256*S256</f>
        <v/>
      </c>
      <c r="V256" s="15" t="inlineStr">
        <is>
          <t>Versand möglich</t>
        </is>
      </c>
      <c r="W256" s="15" t="inlineStr">
        <is>
          <t>F-291</t>
        </is>
      </c>
      <c r="X256" s="19" t="inlineStr">
        <is>
          <t>ja</t>
        </is>
      </c>
      <c r="Y256" s="19" t="n"/>
      <c r="Z256" s="19" t="inlineStr">
        <is>
          <t>verfügbar</t>
        </is>
      </c>
      <c r="AA256" s="19" t="inlineStr">
        <is>
          <t>IKEA</t>
        </is>
      </c>
      <c r="AB256" s="19" t="n"/>
      <c r="AC256" s="19" t="n"/>
      <c r="AD256" s="19" t="n"/>
      <c r="AE256" s="20" t="n"/>
      <c r="AF256" s="21">
        <f>IF(K256="","",K256*AE256)</f>
        <v/>
      </c>
      <c r="AG256" s="19" t="n"/>
      <c r="AH256" s="19" t="n"/>
      <c r="AI256" s="19" t="n"/>
      <c r="AJ256" s="19" t="n"/>
      <c r="AK256" s="19" t="n"/>
      <c r="AL256" s="19" t="n"/>
      <c r="AM256" s="16" t="inlineStr">
        <is>
          <t>1 Teppich. Das Etikett ist auf Foto F-292 zu sehen.</t>
        </is>
      </c>
      <c r="AN256" s="22" t="n"/>
    </row>
    <row r="257" ht="30" customHeight="1">
      <c r="A257" s="15" t="inlineStr">
        <is>
          <t>BA03-02</t>
        </is>
      </c>
      <c r="B257" s="15" t="n"/>
      <c r="C257" s="15" t="n"/>
      <c r="D257" s="15" t="inlineStr">
        <is>
          <t>BA03</t>
        </is>
      </c>
      <c r="E257" s="15" t="inlineStr">
        <is>
          <t>Spielküche beige-braun, mehrteilig</t>
        </is>
      </c>
      <c r="F257" s="16" t="inlineStr">
        <is>
          <t>Spielküche aus beschichteter Platte in Creme und Taupe mit Holzarbeitsplatten: Mikrowellenmodul mit Digitalanzeige, Unterschränke mit Kochfeld, Backofen mit Sichtfenster und Spüle, dazu ein Wandregal. Abgerundete Ecken, kindgerechte Höhe.</t>
        </is>
      </c>
      <c r="G257" s="15" t="inlineStr">
        <is>
          <t>Kita-Ausstattung</t>
        </is>
      </c>
      <c r="H257" s="15" t="inlineStr">
        <is>
          <t>Galerie</t>
        </is>
      </c>
      <c r="I257" s="15" t="inlineStr">
        <is>
          <t>A</t>
        </is>
      </c>
      <c r="J257" s="17" t="n">
        <v>1</v>
      </c>
      <c r="K257" s="17" t="n"/>
      <c r="L257" s="18">
        <f>J257-IF(K257="",0,K257)</f>
        <v/>
      </c>
      <c r="M257" s="15" t="inlineStr">
        <is>
          <t>Set</t>
        </is>
      </c>
      <c r="N257" s="15" t="inlineStr">
        <is>
          <t>gebraucht</t>
        </is>
      </c>
      <c r="O257" s="19" t="n"/>
      <c r="P257" s="19" t="inlineStr">
        <is>
          <t>ja</t>
        </is>
      </c>
      <c r="Q257" s="19" t="n"/>
      <c r="R257" s="20" t="n"/>
      <c r="S257" s="20" t="n">
        <v>250</v>
      </c>
      <c r="T257" s="19" t="inlineStr">
        <is>
          <t>VHB</t>
        </is>
      </c>
      <c r="U257" s="21">
        <f>L257*S257</f>
        <v/>
      </c>
      <c r="V257" s="15" t="inlineStr">
        <is>
          <t>nur Abholung</t>
        </is>
      </c>
      <c r="W257" s="15" t="inlineStr">
        <is>
          <t>F-293</t>
        </is>
      </c>
      <c r="X257" s="19" t="inlineStr">
        <is>
          <t>ja</t>
        </is>
      </c>
      <c r="Y257" s="19" t="n"/>
      <c r="Z257" s="19" t="inlineStr">
        <is>
          <t>verfügbar</t>
        </is>
      </c>
      <c r="AA257" s="19" t="n"/>
      <c r="AB257" s="19" t="n"/>
      <c r="AC257" s="19" t="n"/>
      <c r="AD257" s="19" t="n"/>
      <c r="AE257" s="20" t="n"/>
      <c r="AF257" s="21">
        <f>IF(K257="","",K257*AE257)</f>
        <v/>
      </c>
      <c r="AG257" s="19" t="n"/>
      <c r="AH257" s="19" t="n"/>
      <c r="AI257" s="19" t="n"/>
      <c r="AJ257" s="19" t="n"/>
      <c r="AK257" s="19" t="n"/>
      <c r="AL257" s="19" t="n"/>
      <c r="AM257" s="16" t="inlineStr">
        <is>
          <t>1 Küche aus mehreren Modulen. Spielgeschirr und Zubehör gehören nicht dazu. Zwei weitere Spielküchen von Wesco stehen unter NU03-03 und NU07-03.</t>
        </is>
      </c>
      <c r="AN257" s="22" t="n"/>
    </row>
    <row r="258" ht="30" customHeight="1">
      <c r="A258" s="15" t="inlineStr">
        <is>
          <t>BA03-03</t>
        </is>
      </c>
      <c r="B258" s="15" t="n"/>
      <c r="C258" s="15" t="n"/>
      <c r="D258" s="15" t="inlineStr">
        <is>
          <t>BA03</t>
        </is>
      </c>
      <c r="E258" s="15" t="inlineStr">
        <is>
          <t>Sofa grau, 2-Sitzer</t>
        </is>
      </c>
      <c r="F258" s="16" t="inlineStr">
        <is>
          <t>Kleines Zweisitzer-Sofa mit grauem Steppbezug aus Velours und weißem Metallgestell. Bezug abnehmbar.</t>
        </is>
      </c>
      <c r="G258" s="15" t="inlineStr">
        <is>
          <t>Möbel</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70</v>
      </c>
      <c r="T258" s="19" t="inlineStr">
        <is>
          <t>VHB</t>
        </is>
      </c>
      <c r="U258" s="21">
        <f>L258*S258</f>
        <v/>
      </c>
      <c r="V258" s="15" t="inlineStr">
        <is>
          <t>nur Abholung</t>
        </is>
      </c>
      <c r="W258" s="15" t="inlineStr">
        <is>
          <t>F-294</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Sofa. Das Kissen gehört nicht dazu.</t>
        </is>
      </c>
      <c r="AN258" s="22" t="n"/>
    </row>
    <row r="259" ht="30" customHeight="1">
      <c r="A259" s="15" t="inlineStr">
        <is>
          <t>BA03-05</t>
        </is>
      </c>
      <c r="B259" s="15" t="n"/>
      <c r="C259" s="15" t="n"/>
      <c r="D259" s="15" t="inlineStr">
        <is>
          <t>BA03</t>
        </is>
      </c>
      <c r="E259" s="15" t="inlineStr">
        <is>
          <t>BRIO Puppenwagen rot gepunktet</t>
        </is>
      </c>
      <c r="F259" s="16" t="inlineStr">
        <is>
          <t>Kombi-Puppenwagen von BRIO: weißes Metallgestell mit Luftreifen, roter Stoffbezug mit weißen Punkten, schwenkbarer Schiebebügel, Ablagekorb unten. Markenetikett am Verdeck.</t>
        </is>
      </c>
      <c r="G259" s="15" t="inlineStr">
        <is>
          <t>Kita-Ausstattung</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45</v>
      </c>
      <c r="T259" s="19" t="inlineStr">
        <is>
          <t>VHB</t>
        </is>
      </c>
      <c r="U259" s="21">
        <f>L259*S259</f>
        <v/>
      </c>
      <c r="V259" s="15" t="inlineStr">
        <is>
          <t>nur Abholung</t>
        </is>
      </c>
      <c r="W259" s="15" t="inlineStr">
        <is>
          <t>F-296</t>
        </is>
      </c>
      <c r="X259" s="19" t="inlineStr">
        <is>
          <t>ja</t>
        </is>
      </c>
      <c r="Y259" s="19" t="n"/>
      <c r="Z259" s="19" t="inlineStr">
        <is>
          <t>verfügbar</t>
        </is>
      </c>
      <c r="AA259" s="19" t="inlineStr">
        <is>
          <t>BRIO</t>
        </is>
      </c>
      <c r="AB259" s="19" t="n"/>
      <c r="AC259" s="19" t="n"/>
      <c r="AD259" s="19" t="n"/>
      <c r="AE259" s="20" t="n"/>
      <c r="AF259" s="21">
        <f>IF(K259="","",K259*AE259)</f>
        <v/>
      </c>
      <c r="AG259" s="19" t="n"/>
      <c r="AH259" s="19" t="n"/>
      <c r="AI259" s="19" t="n"/>
      <c r="AJ259" s="19" t="n"/>
      <c r="AK259" s="19" t="n"/>
      <c r="AL259" s="19" t="n"/>
      <c r="AM259" s="16" t="inlineStr">
        <is>
          <t>1 Puppenwagen. Die Puppe gehört nicht dazu. Das Etikett ist auf Foto F-297 zu sehen.</t>
        </is>
      </c>
      <c r="AN259" s="22" t="n"/>
    </row>
    <row r="260" ht="30" customHeight="1">
      <c r="A260" s="15" t="inlineStr">
        <is>
          <t>BA03-06</t>
        </is>
      </c>
      <c r="B260" s="15" t="n"/>
      <c r="C260" s="15" t="n"/>
      <c r="D260" s="15" t="inlineStr">
        <is>
          <t>BA03</t>
        </is>
      </c>
      <c r="E260" s="15" t="inlineStr">
        <is>
          <t>Kaufladen weiß mit Aufsatz</t>
        </is>
      </c>
      <c r="F260" s="16" t="inlineStr">
        <is>
          <t>Kaufladen aus Holz, weiß mit grauer Rückwand: Verkaufstheke mit Ablage unten, Aufsatz mit mehreren unterschiedlich großen Fächern.</t>
        </is>
      </c>
      <c r="G260" s="15" t="inlineStr">
        <is>
          <t>Kita-Ausstattung</t>
        </is>
      </c>
      <c r="H260" s="15" t="inlineStr">
        <is>
          <t>Galerie</t>
        </is>
      </c>
      <c r="I260" s="15" t="inlineStr">
        <is>
          <t>B</t>
        </is>
      </c>
      <c r="J260" s="17" t="n">
        <v>1</v>
      </c>
      <c r="K260" s="17" t="n"/>
      <c r="L260" s="18">
        <f>J260-IF(K260="",0,K260)</f>
        <v/>
      </c>
      <c r="M260" s="15" t="inlineStr">
        <is>
          <t>Stück</t>
        </is>
      </c>
      <c r="N260" s="15" t="inlineStr">
        <is>
          <t>gebraucht</t>
        </is>
      </c>
      <c r="O260" s="19" t="n"/>
      <c r="P260" s="19" t="inlineStr">
        <is>
          <t>ja</t>
        </is>
      </c>
      <c r="Q260" s="19" t="n"/>
      <c r="R260" s="20" t="n"/>
      <c r="S260" s="20" t="n">
        <v>90</v>
      </c>
      <c r="T260" s="19" t="inlineStr">
        <is>
          <t>VHB</t>
        </is>
      </c>
      <c r="U260" s="21">
        <f>L260*S260</f>
        <v/>
      </c>
      <c r="V260" s="15" t="inlineStr">
        <is>
          <t>nur Abholung</t>
        </is>
      </c>
      <c r="W260" s="15" t="inlineStr">
        <is>
          <t>F-298</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1 Kaufladen. Kasse, Spiellebensmittel und Geschirr gehören nicht dazu. Ein zweiter Kaufladen steht unter NU07-02.</t>
        </is>
      </c>
      <c r="AN260" s="22" t="n"/>
    </row>
    <row r="261" ht="30" customHeight="1">
      <c r="A261" s="15" t="inlineStr">
        <is>
          <t>BA03-07</t>
        </is>
      </c>
      <c r="B261" s="15" t="n"/>
      <c r="C261" s="15" t="n"/>
      <c r="D261" s="15" t="inlineStr">
        <is>
          <t>BA03</t>
        </is>
      </c>
      <c r="E261" s="15" t="inlineStr">
        <is>
          <t>Schrank weiß, zwei Türen</t>
        </is>
      </c>
      <c r="F261" s="16" t="inlineStr">
        <is>
          <t>Hoher Schrank in Weiß mit zwei Türen und runden Porzellanknöpfen in Rosenform.</t>
        </is>
      </c>
      <c r="G261" s="15" t="inlineStr">
        <is>
          <t>Möbel</t>
        </is>
      </c>
      <c r="H261" s="15" t="inlineStr">
        <is>
          <t>Galerie</t>
        </is>
      </c>
      <c r="I261" s="15" t="inlineStr">
        <is>
          <t>B</t>
        </is>
      </c>
      <c r="J261" s="17" t="n">
        <v>1</v>
      </c>
      <c r="K261" s="17" t="n"/>
      <c r="L261" s="18">
        <f>J261-IF(K261="",0,K261)</f>
        <v/>
      </c>
      <c r="M261" s="15" t="inlineStr">
        <is>
          <t>Stück</t>
        </is>
      </c>
      <c r="N261" s="15" t="inlineStr">
        <is>
          <t>gebraucht</t>
        </is>
      </c>
      <c r="O261" s="19" t="n"/>
      <c r="P261" s="19" t="inlineStr">
        <is>
          <t>ja</t>
        </is>
      </c>
      <c r="Q261" s="19" t="n"/>
      <c r="R261" s="20" t="n"/>
      <c r="S261" s="20" t="n">
        <v>80</v>
      </c>
      <c r="T261" s="19" t="inlineStr">
        <is>
          <t>VHB</t>
        </is>
      </c>
      <c r="U261" s="21">
        <f>L261*S261</f>
        <v/>
      </c>
      <c r="V261" s="15" t="inlineStr">
        <is>
          <t>nur Abholung</t>
        </is>
      </c>
      <c r="W261" s="15" t="inlineStr">
        <is>
          <t>F-299</t>
        </is>
      </c>
      <c r="X261" s="19" t="inlineStr">
        <is>
          <t>ja</t>
        </is>
      </c>
      <c r="Y261" s="19" t="n"/>
      <c r="Z261" s="19" t="inlineStr">
        <is>
          <t>verfügbar</t>
        </is>
      </c>
      <c r="AA261" s="19" t="n"/>
      <c r="AB261" s="19" t="n"/>
      <c r="AC261" s="19" t="n"/>
      <c r="AD261" s="19" t="n"/>
      <c r="AE261" s="20" t="n"/>
      <c r="AF261" s="21">
        <f>IF(K261="","",K261*AE261)</f>
        <v/>
      </c>
      <c r="AG261" s="19" t="n"/>
      <c r="AH261" s="19" t="n"/>
      <c r="AI261" s="19" t="n"/>
      <c r="AJ261" s="19" t="n"/>
      <c r="AK261" s="19" t="n"/>
      <c r="AL261" s="19" t="n"/>
      <c r="AM261" s="16" t="inlineStr">
        <is>
          <t>1 Schrank.</t>
        </is>
      </c>
      <c r="AN261" s="22" t="n"/>
    </row>
    <row r="262" ht="30" customHeight="1">
      <c r="A262" s="15" t="inlineStr">
        <is>
          <t>BA03-04</t>
        </is>
      </c>
      <c r="B262" s="15" t="n"/>
      <c r="C262" s="15" t="n"/>
      <c r="D262" s="15" t="inlineStr">
        <is>
          <t>BA03</t>
        </is>
      </c>
      <c r="E262" s="15" t="inlineStr">
        <is>
          <t>Wandregal Hausform, schwarz</t>
        </is>
      </c>
      <c r="F262" s="16" t="inlineStr">
        <is>
          <t>Wandregale in Hausform aus schwarz lackiertem Holz, zum Aufstellen oder Aufhängen, in unterschiedlichen Größen.</t>
        </is>
      </c>
      <c r="G262" s="15" t="inlineStr">
        <is>
          <t>Deko</t>
        </is>
      </c>
      <c r="H262" s="15" t="inlineStr">
        <is>
          <t>Galerie</t>
        </is>
      </c>
      <c r="I262" s="15" t="inlineStr">
        <is>
          <t>C</t>
        </is>
      </c>
      <c r="J262" s="17" t="n">
        <v>5</v>
      </c>
      <c r="K262" s="17" t="n"/>
      <c r="L262" s="18">
        <f>J262-IF(K262="",0,K262)</f>
        <v/>
      </c>
      <c r="M262" s="15" t="inlineStr">
        <is>
          <t>Stück</t>
        </is>
      </c>
      <c r="N262" s="15" t="inlineStr">
        <is>
          <t>gut</t>
        </is>
      </c>
      <c r="O262" s="19" t="n"/>
      <c r="P262" s="19" t="inlineStr">
        <is>
          <t>ja</t>
        </is>
      </c>
      <c r="Q262" s="19" t="n"/>
      <c r="R262" s="20" t="n"/>
      <c r="S262" s="20" t="n">
        <v>12</v>
      </c>
      <c r="T262" s="19" t="inlineStr">
        <is>
          <t>VHB</t>
        </is>
      </c>
      <c r="U262" s="21">
        <f>L262*S262</f>
        <v/>
      </c>
      <c r="V262" s="15" t="inlineStr">
        <is>
          <t>Versand möglich</t>
        </is>
      </c>
      <c r="W262" s="15" t="inlineStr">
        <is>
          <t>F-295</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5 Häuser in verschiedenen Größen. Der Inhalt gehört nicht dazu.</t>
        </is>
      </c>
      <c r="AN262" s="22" t="n"/>
    </row>
    <row r="263" ht="30" customHeight="1">
      <c r="A263" s="15" t="inlineStr">
        <is>
          <t>BA04-04</t>
        </is>
      </c>
      <c r="B263" s="15" t="n"/>
      <c r="C263" s="15" t="n"/>
      <c r="D263" s="15" t="inlineStr">
        <is>
          <t>BA04</t>
        </is>
      </c>
      <c r="E263" s="15" t="inlineStr">
        <is>
          <t>Stapelstuhl Kunststoff weiß, Erwachsenengröße</t>
        </is>
      </c>
      <c r="F263" s="16" t="inlineStr">
        <is>
          <t>Stuhl aus weißem Kunststoff in einem Stück, runde Rückenlehne, konische Beine mit Querstrebe, stapelbar. Erwachsenengröße. Sitzfläche mit Kratzern.</t>
        </is>
      </c>
      <c r="G263" s="15" t="inlineStr">
        <is>
          <t>Möbel</t>
        </is>
      </c>
      <c r="H263" s="15" t="inlineStr">
        <is>
          <t>Gruppenraum 4</t>
        </is>
      </c>
      <c r="I263" s="15" t="inlineStr">
        <is>
          <t>B</t>
        </is>
      </c>
      <c r="J263" s="17" t="n">
        <v>8</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F-303</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8 Stühle – abgebildet ist einer davon.</t>
        </is>
      </c>
      <c r="AN263" s="22" t="n"/>
    </row>
    <row r="264" ht="30" customHeight="1">
      <c r="A264" s="15" t="inlineStr">
        <is>
          <t>BA04-05</t>
        </is>
      </c>
      <c r="B264" s="15" t="n"/>
      <c r="C264" s="15" t="n"/>
      <c r="D264" s="15" t="inlineStr">
        <is>
          <t>BA04</t>
        </is>
      </c>
      <c r="E264" s="15" t="inlineStr">
        <is>
          <t>Kinder-Sessel Bugholz mit Polster</t>
        </is>
      </c>
      <c r="F264" s="16" t="inlineStr">
        <is>
          <t>Sessel in Kindergröße: Gestell aus gebogenem Schichtholz in Birke, Auflage aus cremefarbenem Stoff mit Nackenkissen. Bezug abnehmbar, Stoff fleckig.</t>
        </is>
      </c>
      <c r="G264" s="15" t="inlineStr">
        <is>
          <t>Kita-Ausstattung</t>
        </is>
      </c>
      <c r="H264" s="15" t="inlineStr">
        <is>
          <t>Gruppenraum 4</t>
        </is>
      </c>
      <c r="I264" s="15" t="inlineStr">
        <is>
          <t>B</t>
        </is>
      </c>
      <c r="J264" s="17" t="n">
        <v>1</v>
      </c>
      <c r="K264" s="17" t="n"/>
      <c r="L264" s="18">
        <f>J264-IF(K264="",0,K264)</f>
        <v/>
      </c>
      <c r="M264" s="15" t="inlineStr">
        <is>
          <t>Stück</t>
        </is>
      </c>
      <c r="N264" s="15" t="inlineStr">
        <is>
          <t>gebraucht</t>
        </is>
      </c>
      <c r="O264" s="19" t="n"/>
      <c r="P264" s="19" t="inlineStr">
        <is>
          <t>ja</t>
        </is>
      </c>
      <c r="Q264" s="19" t="n"/>
      <c r="R264" s="20" t="n"/>
      <c r="S264" s="20" t="n">
        <v>45</v>
      </c>
      <c r="T264" s="19" t="inlineStr">
        <is>
          <t>VHB</t>
        </is>
      </c>
      <c r="U264" s="21">
        <f>L264*S264</f>
        <v/>
      </c>
      <c r="V264" s="15" t="inlineStr">
        <is>
          <t>nur Abholung</t>
        </is>
      </c>
      <c r="W264" s="15" t="inlineStr">
        <is>
          <t>F-304</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1 Sessel.</t>
        </is>
      </c>
      <c r="AN264" s="22" t="n"/>
    </row>
    <row r="265" ht="30" customHeight="1">
      <c r="A265" s="15" t="inlineStr">
        <is>
          <t>BA04-06</t>
        </is>
      </c>
      <c r="B265" s="15" t="n"/>
      <c r="C265" s="15" t="n"/>
      <c r="D265" s="15" t="inlineStr">
        <is>
          <t>BA04</t>
        </is>
      </c>
      <c r="E265" s="15" t="inlineStr">
        <is>
          <t>Rollwagen weiß, drei Etagen</t>
        </is>
      </c>
      <c r="F265" s="16" t="inlineStr">
        <is>
          <t>Rollwagen aus weiß lackiertem Stahlblech mit drei Wannenböden und vier Rollen.</t>
        </is>
      </c>
      <c r="G265" s="15" t="inlineStr">
        <is>
          <t>Möbel</t>
        </is>
      </c>
      <c r="H265" s="15" t="inlineStr">
        <is>
          <t>Gruppenraum 4</t>
        </is>
      </c>
      <c r="I265" s="15" t="inlineStr">
        <is>
          <t>B</t>
        </is>
      </c>
      <c r="J265" s="17" t="n">
        <v>1</v>
      </c>
      <c r="K265" s="17" t="n"/>
      <c r="L265" s="18">
        <f>J265-IF(K265="",0,K265)</f>
        <v/>
      </c>
      <c r="M265" s="15" t="inlineStr">
        <is>
          <t>Stück</t>
        </is>
      </c>
      <c r="N265" s="15" t="inlineStr">
        <is>
          <t>gebraucht</t>
        </is>
      </c>
      <c r="O265" s="19" t="n"/>
      <c r="P265" s="19" t="inlineStr">
        <is>
          <t>ja</t>
        </is>
      </c>
      <c r="Q265" s="19" t="n"/>
      <c r="R265" s="20" t="n"/>
      <c r="S265" s="20" t="n">
        <v>30</v>
      </c>
      <c r="T265" s="19" t="inlineStr">
        <is>
          <t>VHB</t>
        </is>
      </c>
      <c r="U265" s="21">
        <f>L265*S265</f>
        <v/>
      </c>
      <c r="V265" s="15" t="inlineStr">
        <is>
          <t>nur Abholung</t>
        </is>
      </c>
      <c r="W265" s="15" t="inlineStr">
        <is>
          <t>F-305</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1 Wagen. Der Inhalt gehört nicht dazu.</t>
        </is>
      </c>
      <c r="AN265" s="22" t="n"/>
    </row>
    <row r="266" ht="30" customHeight="1">
      <c r="A266" s="15" t="inlineStr">
        <is>
          <t>BA04-07</t>
        </is>
      </c>
      <c r="B266" s="15" t="n"/>
      <c r="C266" s="15" t="inlineStr">
        <is>
          <t>BA07-04</t>
        </is>
      </c>
      <c r="D266" s="15" t="inlineStr">
        <is>
          <t>BA04</t>
        </is>
      </c>
      <c r="E266" s="15" t="inlineStr">
        <is>
          <t>Beistelltisch Drahtkorb, weiß</t>
        </is>
      </c>
      <c r="F266" s="16" t="inlineStr">
        <is>
          <t>Runder Beistelltisch: weißer Drahtkorb mit abnehmbarer Platte in heller Holzoptik. Der Korb lässt sich als Ablage nutzen.</t>
        </is>
      </c>
      <c r="G266" s="15" t="inlineStr">
        <is>
          <t>Möbel</t>
        </is>
      </c>
      <c r="H266" s="15" t="inlineStr">
        <is>
          <t>Gruppenraum 4</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35</v>
      </c>
      <c r="T266" s="19" t="inlineStr">
        <is>
          <t>VHB</t>
        </is>
      </c>
      <c r="U266" s="21">
        <f>L266*S266</f>
        <v/>
      </c>
      <c r="V266" s="15" t="inlineStr">
        <is>
          <t>nur Abholung</t>
        </is>
      </c>
      <c r="W266" s="15" t="inlineStr">
        <is>
          <t>F-306</t>
        </is>
      </c>
      <c r="X266" s="19" t="inlineStr">
        <is>
          <t>ja</t>
        </is>
      </c>
      <c r="Y266" s="19" t="n"/>
      <c r="Z266" s="19" t="inlineStr">
        <is>
          <t>verfügbar</t>
        </is>
      </c>
      <c r="AA266" s="19" t="n"/>
      <c r="AB266" s="19" t="n"/>
      <c r="AC266" s="19" t="n"/>
      <c r="AD266" s="19" t="n"/>
      <c r="AE266" s="20" t="n"/>
      <c r="AF266" s="21">
        <f>IF(K266="","",K266*AE266)</f>
        <v/>
      </c>
      <c r="AG266" s="19" t="n"/>
      <c r="AH266" s="19" t="n"/>
      <c r="AI266" s="19" t="n"/>
      <c r="AJ266" s="19" t="n"/>
      <c r="AK266" s="19" t="n"/>
      <c r="AL266" s="19" t="n"/>
      <c r="AM266" s="16" t="inlineStr">
        <is>
          <t>2 Tische: einer im Gruppenraum 4 (BA04-07) und einer im Klassenzimmer (dort mit BA07-04 beschriftet). Der Inhalt gehört nicht dazu. Baugleich in Kupfer gibt es zwei Stück unter NU02-07.</t>
        </is>
      </c>
      <c r="AN266" s="22" t="inlineStr">
        <is>
          <t>Zusammengefasste Position – Post-it-Nummer im zweiten Raum: BA07-04.</t>
        </is>
      </c>
    </row>
    <row r="267" ht="30" customHeight="1">
      <c r="A267" s="15" t="inlineStr">
        <is>
          <t>BA05-01</t>
        </is>
      </c>
      <c r="B267" s="15" t="n"/>
      <c r="C267" s="15" t="n"/>
      <c r="D267" s="15" t="inlineStr">
        <is>
          <t>BA05</t>
        </is>
      </c>
      <c r="E267" s="15" t="inlineStr">
        <is>
          <t>Rollkasten mit großen Kunststoff-Bausteinen</t>
        </is>
      </c>
      <c r="F267" s="16" t="inlineStr">
        <is>
          <t>Flacher Kasten auf Rollen, Front in Weiß, Grün oder Grau, gefüllt mit großen Kunststoff-Bausteinen in Rot, Blau, Gelb und Grün.</t>
        </is>
      </c>
      <c r="G267" s="15" t="inlineStr">
        <is>
          <t>Kita-Ausstattung</t>
        </is>
      </c>
      <c r="H267" s="15" t="inlineStr">
        <is>
          <t>Turnraum</t>
        </is>
      </c>
      <c r="I267" s="15" t="inlineStr">
        <is>
          <t>B</t>
        </is>
      </c>
      <c r="J267" s="17" t="n">
        <v>4</v>
      </c>
      <c r="K267" s="17" t="n"/>
      <c r="L267" s="18">
        <f>J267-IF(K267="",0,K267)</f>
        <v/>
      </c>
      <c r="M267" s="15" t="inlineStr">
        <is>
          <t>Stück</t>
        </is>
      </c>
      <c r="N267" s="15" t="inlineStr">
        <is>
          <t>gebraucht</t>
        </is>
      </c>
      <c r="O267" s="19" t="n"/>
      <c r="P267" s="19" t="inlineStr">
        <is>
          <t>ja</t>
        </is>
      </c>
      <c r="Q267" s="19" t="n"/>
      <c r="R267" s="20" t="n"/>
      <c r="S267" s="20" t="n">
        <v>35</v>
      </c>
      <c r="T267" s="19" t="inlineStr">
        <is>
          <t>VHB</t>
        </is>
      </c>
      <c r="U267" s="21">
        <f>L267*S267</f>
        <v/>
      </c>
      <c r="V267" s="15" t="inlineStr">
        <is>
          <t>nur Abholung</t>
        </is>
      </c>
      <c r="W267" s="15" t="inlineStr">
        <is>
          <t>F-310</t>
        </is>
      </c>
      <c r="X267" s="19" t="inlineStr">
        <is>
          <t>ja</t>
        </is>
      </c>
      <c r="Y267" s="19" t="n"/>
      <c r="Z267" s="19" t="inlineStr">
        <is>
          <t>verfügbar</t>
        </is>
      </c>
      <c r="AA267" s="19" t="n"/>
      <c r="AB267" s="19" t="n"/>
      <c r="AC267" s="19" t="n"/>
      <c r="AD267" s="19" t="n"/>
      <c r="AE267" s="20" t="n"/>
      <c r="AF267" s="21">
        <f>IF(K267="","",K267*AE267)</f>
        <v/>
      </c>
      <c r="AG267" s="19" t="n"/>
      <c r="AH267" s="19" t="n"/>
      <c r="AI267" s="19" t="n"/>
      <c r="AJ267" s="19" t="n"/>
      <c r="AK267" s="19" t="n"/>
      <c r="AL267" s="19" t="n"/>
      <c r="AM267" s="16" t="inlineStr">
        <is>
          <t>4 Kästen einschließlich der Bausteine – alle vier sind abgebildet.</t>
        </is>
      </c>
      <c r="AN267" s="22" t="n"/>
    </row>
    <row r="268" ht="30" customHeight="1">
      <c r="A268" s="15" t="inlineStr">
        <is>
          <t>BA05-02</t>
        </is>
      </c>
      <c r="B268" s="15" t="n"/>
      <c r="C268" s="15" t="n"/>
      <c r="D268" s="15" t="inlineStr">
        <is>
          <t>BA05</t>
        </is>
      </c>
      <c r="E268" s="15" t="inlineStr">
        <is>
          <t>BENZ Turnbank</t>
        </is>
      </c>
      <c r="F268" s="16" t="inlineStr">
        <is>
          <t>Turnbank aus Holz mit Schmalseite zum Umdrehen, rutschhemmender Belag, Aufhängehaken an einem Ende. Aufdruck: BENZ Geräte.</t>
        </is>
      </c>
      <c r="G268" s="15" t="inlineStr">
        <is>
          <t>Kita-Ausstattung</t>
        </is>
      </c>
      <c r="H268" s="15" t="inlineStr">
        <is>
          <t>Turnraum</t>
        </is>
      </c>
      <c r="I268" s="15" t="inlineStr">
        <is>
          <t>B</t>
        </is>
      </c>
      <c r="J268" s="17" t="n">
        <v>2</v>
      </c>
      <c r="K268" s="17" t="n"/>
      <c r="L268" s="18">
        <f>J268-IF(K268="",0,K268)</f>
        <v/>
      </c>
      <c r="M268" s="15" t="inlineStr">
        <is>
          <t>Stück</t>
        </is>
      </c>
      <c r="N268" s="15" t="inlineStr">
        <is>
          <t>gebraucht</t>
        </is>
      </c>
      <c r="O268" s="19" t="n"/>
      <c r="P268" s="19" t="inlineStr">
        <is>
          <t>ja</t>
        </is>
      </c>
      <c r="Q268" s="19" t="n"/>
      <c r="R268" s="20" t="n"/>
      <c r="S268" s="20" t="n">
        <v>140</v>
      </c>
      <c r="T268" s="19" t="inlineStr">
        <is>
          <t>VHB</t>
        </is>
      </c>
      <c r="U268" s="21">
        <f>L268*S268</f>
        <v/>
      </c>
      <c r="V268" s="15" t="inlineStr">
        <is>
          <t>nur Abholung</t>
        </is>
      </c>
      <c r="W268" s="15" t="inlineStr">
        <is>
          <t>F-312</t>
        </is>
      </c>
      <c r="X268" s="19" t="inlineStr">
        <is>
          <t>ja</t>
        </is>
      </c>
      <c r="Y268" s="19" t="n"/>
      <c r="Z268" s="19" t="inlineStr">
        <is>
          <t>verfügbar</t>
        </is>
      </c>
      <c r="AA268" s="19" t="inlineStr">
        <is>
          <t>BENZ</t>
        </is>
      </c>
      <c r="AB268" s="19" t="n"/>
      <c r="AC268" s="19" t="n"/>
      <c r="AD268" s="19" t="n"/>
      <c r="AE268" s="20" t="n"/>
      <c r="AF268" s="21">
        <f>IF(K268="","",K268*AE268)</f>
        <v/>
      </c>
      <c r="AG268" s="19" t="n"/>
      <c r="AH268" s="19" t="n"/>
      <c r="AI268" s="19" t="n"/>
      <c r="AJ268" s="19" t="n"/>
      <c r="AK268" s="19" t="n"/>
      <c r="AL268" s="19" t="n"/>
      <c r="AM268" s="16" t="inlineStr">
        <is>
          <t>2 Bänke, beide abgebildet.</t>
        </is>
      </c>
      <c r="AN268" s="22" t="n"/>
    </row>
    <row r="269" ht="30" customHeight="1">
      <c r="A269" s="15" t="inlineStr">
        <is>
          <t>BA05-03</t>
        </is>
      </c>
      <c r="B269" s="15" t="n"/>
      <c r="C269" s="15" t="n"/>
      <c r="D269" s="15" t="inlineStr">
        <is>
          <t>BA05</t>
        </is>
      </c>
      <c r="E269" s="15" t="inlineStr">
        <is>
          <t>Trampolin mit Haltestange</t>
        </is>
      </c>
      <c r="F269" s="16" t="inlineStr">
        <is>
          <t>Rundes Fitness-Trampolin mit gepolstertem Randschutz in Rot und abnehmbarer Haltestange. Aufdruck auf dem Sprungtuch: ANCHEER. Der Randschutz ist an mehreren Stellen eingerissen.</t>
        </is>
      </c>
      <c r="G269" s="15" t="inlineStr">
        <is>
          <t>Kita-Ausstattung</t>
        </is>
      </c>
      <c r="H269" s="15" t="inlineStr">
        <is>
          <t>Turnraum</t>
        </is>
      </c>
      <c r="I269" s="15" t="inlineStr">
        <is>
          <t>B</t>
        </is>
      </c>
      <c r="J269" s="17" t="n">
        <v>1</v>
      </c>
      <c r="K269" s="17" t="n"/>
      <c r="L269" s="18">
        <f>J269-IF(K269="",0,K269)</f>
        <v/>
      </c>
      <c r="M269" s="15" t="inlineStr">
        <is>
          <t>Stück</t>
        </is>
      </c>
      <c r="N269" s="15" t="inlineStr">
        <is>
          <t>stark gebraucht</t>
        </is>
      </c>
      <c r="O269" s="19" t="n"/>
      <c r="P269" s="19" t="inlineStr">
        <is>
          <t>ja</t>
        </is>
      </c>
      <c r="Q269" s="19" t="n"/>
      <c r="R269" s="20" t="n"/>
      <c r="S269" s="20" t="n">
        <v>35</v>
      </c>
      <c r="T269" s="19" t="inlineStr">
        <is>
          <t>VHB</t>
        </is>
      </c>
      <c r="U269" s="21">
        <f>L269*S269</f>
        <v/>
      </c>
      <c r="V269" s="15" t="inlineStr">
        <is>
          <t>nur Abholung</t>
        </is>
      </c>
      <c r="W269" s="15" t="inlineStr">
        <is>
          <t>F-313</t>
        </is>
      </c>
      <c r="X269" s="19" t="inlineStr">
        <is>
          <t>ja</t>
        </is>
      </c>
      <c r="Y269" s="19" t="n"/>
      <c r="Z269" s="19" t="inlineStr">
        <is>
          <t>verfügbar</t>
        </is>
      </c>
      <c r="AA269" s="19" t="inlineStr">
        <is>
          <t>ANCHEER</t>
        </is>
      </c>
      <c r="AB269" s="19" t="n"/>
      <c r="AC269" s="19" t="n"/>
      <c r="AD269" s="19" t="n"/>
      <c r="AE269" s="20" t="n"/>
      <c r="AF269" s="21">
        <f>IF(K269="","",K269*AE269)</f>
        <v/>
      </c>
      <c r="AG269" s="19" t="n"/>
      <c r="AH269" s="19" t="n"/>
      <c r="AI269" s="19" t="n"/>
      <c r="AJ269" s="19" t="n"/>
      <c r="AK269" s="19" t="n"/>
      <c r="AL269" s="19" t="n"/>
      <c r="AM269" s="16" t="inlineStr">
        <is>
          <t>1 Trampolin.</t>
        </is>
      </c>
      <c r="AN269" s="22" t="n"/>
    </row>
    <row r="270" ht="30" customHeight="1">
      <c r="A270" s="15" t="inlineStr">
        <is>
          <t>BA05-04</t>
        </is>
      </c>
      <c r="B270" s="15" t="n"/>
      <c r="C270" s="15" t="n"/>
      <c r="D270" s="15" t="inlineStr">
        <is>
          <t>BA05</t>
        </is>
      </c>
      <c r="E270" s="15" t="inlineStr">
        <is>
          <t>Spielhochbett mit Bällebad und Rutsche</t>
        </is>
      </c>
      <c r="F270" s="16" t="inlineStr">
        <is>
          <t>Großes Spielhochbett aus weiß beschichteter Platte: zwei Liegeflächen oben mit Absturzsicherung, Leiter, Rutsche, runde Bullaugen und darunter ein eingebautes Bällebad einschließlich der Bälle.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750</v>
      </c>
      <c r="T270" s="19" t="inlineStr">
        <is>
          <t>VHB</t>
        </is>
      </c>
      <c r="U270" s="21">
        <f>L270*S270</f>
        <v/>
      </c>
      <c r="V270" s="15" t="inlineStr">
        <is>
          <t>nur Abholung</t>
        </is>
      </c>
      <c r="W270" s="15" t="inlineStr">
        <is>
          <t>F-314</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Anlage einschließlich der Bälle. Abbau und Transport durch den Käufer. Das Bällebad ist auf Foto F-315 zu sehen.</t>
        </is>
      </c>
      <c r="AN270" s="22" t="inlineStr">
        <is>
          <t>Preis ist meine Schaetzung: als Schreinerarbeit neu 3.000-6.000 EUR. Bitte bestaetigen - das ist nach dem Vitra Alcove die zweitgroesste Einzelposition.</t>
        </is>
      </c>
    </row>
    <row r="271" ht="30" customHeight="1">
      <c r="A271" s="15" t="inlineStr">
        <is>
          <t>BA05-05</t>
        </is>
      </c>
      <c r="B271" s="15" t="n"/>
      <c r="C271" s="15" t="n"/>
      <c r="D271" s="15" t="inlineStr">
        <is>
          <t>BA05</t>
        </is>
      </c>
      <c r="E271" s="15" t="inlineStr">
        <is>
          <t>Sprossenwand einzeln</t>
        </is>
      </c>
      <c r="F271" s="16" t="inlineStr">
        <is>
          <t>Sprossenwand aus Massivholz zur Wandmontage: zwei kräftige Holme mit durchgehenden Rundsprossen, oben eine ausladende Aufhängeleiste.</t>
        </is>
      </c>
      <c r="G271" s="15" t="inlineStr">
        <is>
          <t>Kita-Ausstattung</t>
        </is>
      </c>
      <c r="H271" s="15" t="inlineStr">
        <is>
          <t>Turnraum</t>
        </is>
      </c>
      <c r="I271" s="15" t="inlineStr">
        <is>
          <t>B</t>
        </is>
      </c>
      <c r="J271" s="17" t="n">
        <v>3</v>
      </c>
      <c r="K271" s="17" t="n"/>
      <c r="L271" s="18">
        <f>J271-IF(K271="",0,K271)</f>
        <v/>
      </c>
      <c r="M271" s="15" t="inlineStr">
        <is>
          <t>Stück</t>
        </is>
      </c>
      <c r="N271" s="15" t="inlineStr">
        <is>
          <t>gebraucht</t>
        </is>
      </c>
      <c r="O271" s="19" t="n"/>
      <c r="P271" s="19" t="inlineStr">
        <is>
          <t>ja</t>
        </is>
      </c>
      <c r="Q271" s="19" t="n"/>
      <c r="R271" s="20" t="n"/>
      <c r="S271" s="20" t="n">
        <v>100</v>
      </c>
      <c r="T271" s="19" t="inlineStr">
        <is>
          <t>VHB</t>
        </is>
      </c>
      <c r="U271" s="21">
        <f>L271*S271</f>
        <v/>
      </c>
      <c r="V271" s="15" t="inlineStr">
        <is>
          <t>nur Abholung</t>
        </is>
      </c>
      <c r="W271" s="15" t="inlineStr">
        <is>
          <t>F-321</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3 Sprossenwände – abgebildet ist eine davon.</t>
        </is>
      </c>
      <c r="AN271" s="22" t="n"/>
    </row>
    <row r="272" ht="30" customHeight="1">
      <c r="A272" s="15" t="inlineStr">
        <is>
          <t>BA05-06</t>
        </is>
      </c>
      <c r="B272" s="15" t="n"/>
      <c r="C272" s="15" t="n"/>
      <c r="D272" s="15" t="inlineStr">
        <is>
          <t>BA05</t>
        </is>
      </c>
      <c r="E272" s="15" t="inlineStr">
        <is>
          <t>Doppelsprossenwand</t>
        </is>
      </c>
      <c r="F272" s="16" t="inlineStr">
        <is>
          <t>Breite Sprossenwand aus Massivholz zur Wandmontage, zwei Felder nebeneinander mit durchgehenden Querholmen und oberer Ausleger-Leiste.</t>
        </is>
      </c>
      <c r="G272" s="15" t="inlineStr">
        <is>
          <t>Kita-Ausstattung</t>
        </is>
      </c>
      <c r="H272" s="15" t="inlineStr">
        <is>
          <t>Turnraum</t>
        </is>
      </c>
      <c r="I272" s="15" t="inlineStr">
        <is>
          <t>A</t>
        </is>
      </c>
      <c r="J272" s="17" t="n">
        <v>1</v>
      </c>
      <c r="K272" s="17" t="n"/>
      <c r="L272" s="18">
        <f>J272-IF(K272="",0,K272)</f>
        <v/>
      </c>
      <c r="M272" s="15" t="inlineStr">
        <is>
          <t>Stück</t>
        </is>
      </c>
      <c r="N272" s="15" t="inlineStr">
        <is>
          <t>gebraucht</t>
        </is>
      </c>
      <c r="O272" s="19" t="n"/>
      <c r="P272" s="19" t="inlineStr">
        <is>
          <t>ja</t>
        </is>
      </c>
      <c r="Q272" s="19" t="n"/>
      <c r="R272" s="20" t="n"/>
      <c r="S272" s="20" t="n">
        <v>180</v>
      </c>
      <c r="T272" s="19" t="inlineStr">
        <is>
          <t>VHB</t>
        </is>
      </c>
      <c r="U272" s="21">
        <f>L272*S272</f>
        <v/>
      </c>
      <c r="V272" s="15" t="inlineStr">
        <is>
          <t>nur Abholung</t>
        </is>
      </c>
      <c r="W272" s="15" t="inlineStr">
        <is>
          <t>F-316</t>
        </is>
      </c>
      <c r="X272" s="19" t="inlineStr">
        <is>
          <t>ja</t>
        </is>
      </c>
      <c r="Y272" s="19" t="n"/>
      <c r="Z272" s="19" t="inlineStr">
        <is>
          <t>verfügbar</t>
        </is>
      </c>
      <c r="AA272" s="19" t="n"/>
      <c r="AB272" s="19" t="n"/>
      <c r="AC272" s="19" t="n"/>
      <c r="AD272" s="19" t="n"/>
      <c r="AE272" s="20" t="n"/>
      <c r="AF272" s="21">
        <f>IF(K272="","",K272*AE272)</f>
        <v/>
      </c>
      <c r="AG272" s="19" t="n"/>
      <c r="AH272" s="19" t="n"/>
      <c r="AI272" s="19" t="n"/>
      <c r="AJ272" s="19" t="n"/>
      <c r="AK272" s="19" t="n"/>
      <c r="AL272" s="19" t="n"/>
      <c r="AM272" s="16" t="inlineStr">
        <is>
          <t>1 Doppelsprossenwand.</t>
        </is>
      </c>
      <c r="AN272" s="22" t="n"/>
    </row>
    <row r="273" ht="30" customHeight="1">
      <c r="A273" s="15" t="inlineStr">
        <is>
          <t>BA05-07</t>
        </is>
      </c>
      <c r="B273" s="15" t="n"/>
      <c r="C273" s="15" t="n"/>
      <c r="D273" s="15" t="inlineStr">
        <is>
          <t>BA05</t>
        </is>
      </c>
      <c r="E273" s="15" t="inlineStr">
        <is>
          <t>Treppenturngerät gepolstert</t>
        </is>
      </c>
      <c r="F273" s="16" t="inlineStr">
        <is>
          <t>Turngerät aus Schaumstoff mit Kunstlederbezug in Creme und Grau: Treppenelement mit drei Stufen und passende Rampe, zusammensteckbar.</t>
        </is>
      </c>
      <c r="G273" s="15" t="inlineStr">
        <is>
          <t>Kita-Ausstattung</t>
        </is>
      </c>
      <c r="H273" s="15" t="inlineStr">
        <is>
          <t>Turnraum</t>
        </is>
      </c>
      <c r="I273" s="15" t="inlineStr">
        <is>
          <t>B</t>
        </is>
      </c>
      <c r="J273" s="17" t="n">
        <v>1</v>
      </c>
      <c r="K273" s="17" t="n"/>
      <c r="L273" s="18">
        <f>J273-IF(K273="",0,K273)</f>
        <v/>
      </c>
      <c r="M273" s="15" t="inlineStr">
        <is>
          <t>Stück</t>
        </is>
      </c>
      <c r="N273" s="15" t="inlineStr">
        <is>
          <t>gebraucht</t>
        </is>
      </c>
      <c r="O273" s="19" t="n"/>
      <c r="P273" s="19" t="inlineStr">
        <is>
          <t>ja</t>
        </is>
      </c>
      <c r="Q273" s="19" t="n"/>
      <c r="R273" s="20" t="n"/>
      <c r="S273" s="20" t="n">
        <v>150</v>
      </c>
      <c r="T273" s="19" t="inlineStr">
        <is>
          <t>VHB</t>
        </is>
      </c>
      <c r="U273" s="21">
        <f>L273*S273</f>
        <v/>
      </c>
      <c r="V273" s="15" t="inlineStr">
        <is>
          <t>nur Abholung</t>
        </is>
      </c>
      <c r="W273" s="15" t="inlineStr">
        <is>
          <t>F-317</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1 Gerät aus mehreren Teilen.</t>
        </is>
      </c>
      <c r="AN273" s="22" t="n"/>
    </row>
    <row r="274" ht="30" customHeight="1">
      <c r="A274" s="15" t="inlineStr">
        <is>
          <t>BA05-08</t>
        </is>
      </c>
      <c r="B274" s="15" t="n"/>
      <c r="C274" s="15" t="inlineStr">
        <is>
          <t>BA06-01</t>
        </is>
      </c>
      <c r="D274" s="15" t="inlineStr">
        <is>
          <t>BA05</t>
        </is>
      </c>
      <c r="E274" s="15" t="inlineStr">
        <is>
          <t>Rody Hüpfpferd, rot und grün</t>
        </is>
      </c>
      <c r="F274" s="16" t="inlineStr">
        <is>
          <t>Hüpfpferd Rody aus Gummi mit weißen Punkten, aufblasbar. Markenaufdruck am Bauch. Eines in Rot mit gelbem Sattel, zwei in Grün mit blauem Sattel.</t>
        </is>
      </c>
      <c r="G274" s="15" t="inlineStr">
        <is>
          <t>Kita-Ausstattung</t>
        </is>
      </c>
      <c r="H274" s="15" t="inlineStr">
        <is>
          <t>Turnraum</t>
        </is>
      </c>
      <c r="I274" s="15" t="inlineStr">
        <is>
          <t>C</t>
        </is>
      </c>
      <c r="J274" s="17" t="n">
        <v>3</v>
      </c>
      <c r="K274" s="17" t="n"/>
      <c r="L274" s="18">
        <f>J274-IF(K274="",0,K274)</f>
        <v/>
      </c>
      <c r="M274" s="15" t="inlineStr">
        <is>
          <t>Stück</t>
        </is>
      </c>
      <c r="N274" s="15" t="inlineStr">
        <is>
          <t>gebraucht</t>
        </is>
      </c>
      <c r="O274" s="19" t="n"/>
      <c r="P274" s="19" t="inlineStr">
        <is>
          <t>ja</t>
        </is>
      </c>
      <c r="Q274" s="19" t="n"/>
      <c r="R274" s="20" t="n"/>
      <c r="S274" s="20" t="n">
        <v>20</v>
      </c>
      <c r="T274" s="19" t="inlineStr">
        <is>
          <t>VHB</t>
        </is>
      </c>
      <c r="U274" s="21">
        <f>L274*S274</f>
        <v/>
      </c>
      <c r="V274" s="15" t="inlineStr">
        <is>
          <t>nur Abholung</t>
        </is>
      </c>
      <c r="W274" s="15" t="inlineStr">
        <is>
          <t>F-318</t>
        </is>
      </c>
      <c r="X274" s="19" t="inlineStr">
        <is>
          <t>ja</t>
        </is>
      </c>
      <c r="Y274" s="19" t="n"/>
      <c r="Z274" s="19" t="inlineStr">
        <is>
          <t>verfügbar</t>
        </is>
      </c>
      <c r="AA274" s="19" t="inlineStr">
        <is>
          <t>Rody</t>
        </is>
      </c>
      <c r="AB274" s="19" t="n"/>
      <c r="AC274" s="19" t="n"/>
      <c r="AD274" s="19" t="n"/>
      <c r="AE274" s="20" t="n"/>
      <c r="AF274" s="21">
        <f>IF(K274="","",K274*AE274)</f>
        <v/>
      </c>
      <c r="AG274" s="19" t="n"/>
      <c r="AH274" s="19" t="n"/>
      <c r="AI274" s="19" t="n"/>
      <c r="AJ274" s="19" t="n"/>
      <c r="AK274" s="19" t="n"/>
      <c r="AL274" s="19" t="n"/>
      <c r="AM274" s="16" t="inlineStr">
        <is>
          <t>3 Hüpfpferde: eines rot im Turnraum (BA05-08) und zwei grüne im Materialraum (dort mit BA06-01 beschriftet). Das rote ist auf Foto F-318 zu sehen, die grünen auf F-323.</t>
        </is>
      </c>
      <c r="AN274" s="22" t="inlineStr">
        <is>
          <t>Zusammengefasste Position – Post-it-Nummer im zweiten Raum: BA06-01.</t>
        </is>
      </c>
    </row>
    <row r="275" ht="30" customHeight="1">
      <c r="A275" s="15" t="inlineStr">
        <is>
          <t>BA05-09</t>
        </is>
      </c>
      <c r="B275" s="15" t="n"/>
      <c r="C275" s="15" t="n"/>
      <c r="D275" s="15" t="inlineStr">
        <is>
          <t>BA05</t>
        </is>
      </c>
      <c r="E275" s="15" t="inlineStr">
        <is>
          <t>Softbausteine gepolstert, groß</t>
        </is>
      </c>
      <c r="F275" s="16" t="inlineStr">
        <is>
          <t>Große Turn- und Bauelemente aus Schaumstoff mit Kunstlederbezug in Rot, Blau, Grün und Hellgrün: Treppen, Rampen, Wellen, Quader und Keile.</t>
        </is>
      </c>
      <c r="G275" s="15" t="inlineStr">
        <is>
          <t>Kita-Ausstattung</t>
        </is>
      </c>
      <c r="H275" s="15" t="inlineStr">
        <is>
          <t>Turnraum</t>
        </is>
      </c>
      <c r="I275" s="15" t="inlineStr">
        <is>
          <t>B</t>
        </is>
      </c>
      <c r="J275" s="17" t="n">
        <v>7</v>
      </c>
      <c r="K275" s="17" t="n"/>
      <c r="L275" s="18">
        <f>J275-IF(K275="",0,K275)</f>
        <v/>
      </c>
      <c r="M275" s="15" t="inlineStr">
        <is>
          <t>Stück</t>
        </is>
      </c>
      <c r="N275" s="15" t="inlineStr">
        <is>
          <t>gebraucht</t>
        </is>
      </c>
      <c r="O275" s="19" t="n"/>
      <c r="P275" s="19" t="inlineStr">
        <is>
          <t>ja</t>
        </is>
      </c>
      <c r="Q275" s="19" t="n"/>
      <c r="R275" s="20" t="n"/>
      <c r="S275" s="20" t="n">
        <v>45</v>
      </c>
      <c r="T275" s="19" t="inlineStr">
        <is>
          <t>VHB</t>
        </is>
      </c>
      <c r="U275" s="21">
        <f>L275*S275</f>
        <v/>
      </c>
      <c r="V275" s="15" t="inlineStr">
        <is>
          <t>nur Abholung</t>
        </is>
      </c>
      <c r="W275" s="15" t="inlineStr">
        <is>
          <t>F-319</t>
        </is>
      </c>
      <c r="X275" s="19" t="inlineStr">
        <is>
          <t>ja</t>
        </is>
      </c>
      <c r="Y275" s="19" t="n"/>
      <c r="Z275" s="19" t="inlineStr">
        <is>
          <t>verfügbar</t>
        </is>
      </c>
      <c r="AA275" s="19" t="n"/>
      <c r="AB275" s="19" t="n"/>
      <c r="AC275" s="19" t="n"/>
      <c r="AD275" s="19" t="n"/>
      <c r="AE275" s="20" t="n"/>
      <c r="AF275" s="21">
        <f>IF(K275="","",K275*AE275)</f>
        <v/>
      </c>
      <c r="AG275" s="19" t="n"/>
      <c r="AH275" s="19" t="n"/>
      <c r="AI275" s="19" t="n"/>
      <c r="AJ275" s="19" t="n"/>
      <c r="AK275" s="19" t="n"/>
      <c r="AL275" s="19" t="n"/>
      <c r="AM275" s="16" t="inlineStr">
        <is>
          <t>7 Elemente in verschiedenen Formen – alle abgebildet.</t>
        </is>
      </c>
      <c r="AN275" s="22" t="n"/>
    </row>
    <row r="276" ht="30" customHeight="1">
      <c r="A276" s="15" t="inlineStr">
        <is>
          <t>BA05-10</t>
        </is>
      </c>
      <c r="B276" s="15" t="n"/>
      <c r="C276" s="15" t="n"/>
      <c r="D276" s="15" t="inlineStr">
        <is>
          <t>BA05</t>
        </is>
      </c>
      <c r="E276" s="15" t="inlineStr">
        <is>
          <t>Polstersäule grün, Raumteiler</t>
        </is>
      </c>
      <c r="F276" s="16" t="inlineStr">
        <is>
          <t>Standsäule aus Schaumstoff mit Kunstlederbezug: Mantel in Limettengrün, Oberseiten in Grau, mehrere Lappen ergeben im Querschnitt eine Blütenform. Als Wand- und Säulenschutz oder als Raumteiler nutzbar.</t>
        </is>
      </c>
      <c r="G276" s="15" t="inlineStr">
        <is>
          <t>Kita-Ausstattung</t>
        </is>
      </c>
      <c r="H276" s="15" t="inlineStr">
        <is>
          <t>Turnraum</t>
        </is>
      </c>
      <c r="I276" s="15" t="inlineStr">
        <is>
          <t>B</t>
        </is>
      </c>
      <c r="J276" s="17" t="n">
        <v>5</v>
      </c>
      <c r="K276" s="17" t="n"/>
      <c r="L276" s="18">
        <f>J276-IF(K276="",0,K276)</f>
        <v/>
      </c>
      <c r="M276" s="15" t="inlineStr">
        <is>
          <t>Stück</t>
        </is>
      </c>
      <c r="N276" s="15" t="inlineStr">
        <is>
          <t>gebraucht</t>
        </is>
      </c>
      <c r="O276" s="19" t="n"/>
      <c r="P276" s="19" t="inlineStr">
        <is>
          <t>ja</t>
        </is>
      </c>
      <c r="Q276" s="19" t="n"/>
      <c r="R276" s="20" t="n"/>
      <c r="S276" s="20" t="n">
        <v>35</v>
      </c>
      <c r="T276" s="19" t="inlineStr">
        <is>
          <t>VHB</t>
        </is>
      </c>
      <c r="U276" s="21">
        <f>L276*S276</f>
        <v/>
      </c>
      <c r="V276" s="15" t="inlineStr">
        <is>
          <t>nur Abholung</t>
        </is>
      </c>
      <c r="W276" s="15" t="inlineStr">
        <is>
          <t>F-322</t>
        </is>
      </c>
      <c r="X276" s="19" t="inlineStr">
        <is>
          <t>ja</t>
        </is>
      </c>
      <c r="Y276" s="19" t="n"/>
      <c r="Z276" s="19" t="inlineStr">
        <is>
          <t>verfügbar</t>
        </is>
      </c>
      <c r="AA276" s="19" t="n"/>
      <c r="AB276" s="19" t="n"/>
      <c r="AC276" s="19" t="n"/>
      <c r="AD276" s="19" t="n"/>
      <c r="AE276" s="20" t="n"/>
      <c r="AF276" s="21">
        <f>IF(K276="","",K276*AE276)</f>
        <v/>
      </c>
      <c r="AG276" s="19" t="n"/>
      <c r="AH276" s="19" t="n"/>
      <c r="AI276" s="19" t="n"/>
      <c r="AJ276" s="19" t="n"/>
      <c r="AK276" s="19" t="n"/>
      <c r="AL276" s="19" t="n"/>
      <c r="AM276" s="16" t="inlineStr">
        <is>
          <t>5 Säulen – abgebildet sind sie zusammengestellt.</t>
        </is>
      </c>
      <c r="AN276" s="22" t="n"/>
    </row>
    <row r="277" ht="30" customHeight="1">
      <c r="A277" s="15" t="inlineStr">
        <is>
          <t>BA06-02</t>
        </is>
      </c>
      <c r="B277" s="15" t="n"/>
      <c r="C277" s="15" t="n"/>
      <c r="D277" s="15" t="inlineStr">
        <is>
          <t>BA06</t>
        </is>
      </c>
      <c r="E277" s="15" t="inlineStr">
        <is>
          <t>BMW Baby Racer Rutscherauto</t>
        </is>
      </c>
      <c r="F277" s="16" t="inlineStr">
        <is>
          <t>Rutscherauto in Sportwagenform, Karosserie blau mit rotem Sitz, Lenkrad mit Hupe, verchromte Felgen. BMW-Emblem an der Front. Lack stark zerkratzt.</t>
        </is>
      </c>
      <c r="G277" s="15" t="inlineStr">
        <is>
          <t>Kita-Ausstattung</t>
        </is>
      </c>
      <c r="H277" s="15" t="inlineStr">
        <is>
          <t>Material / Turnraum</t>
        </is>
      </c>
      <c r="I277" s="15" t="inlineStr">
        <is>
          <t>C</t>
        </is>
      </c>
      <c r="J277" s="17" t="n">
        <v>1</v>
      </c>
      <c r="K277" s="17" t="n"/>
      <c r="L277" s="18">
        <f>J277-IF(K277="",0,K277)</f>
        <v/>
      </c>
      <c r="M277" s="15" t="inlineStr">
        <is>
          <t>Stück</t>
        </is>
      </c>
      <c r="N277" s="15" t="inlineStr">
        <is>
          <t>stark gebraucht</t>
        </is>
      </c>
      <c r="O277" s="19" t="n"/>
      <c r="P277" s="19" t="inlineStr">
        <is>
          <t>ja</t>
        </is>
      </c>
      <c r="Q277" s="19" t="n"/>
      <c r="R277" s="20" t="n"/>
      <c r="S277" s="20" t="n">
        <v>15</v>
      </c>
      <c r="T277" s="19" t="inlineStr">
        <is>
          <t>VHB</t>
        </is>
      </c>
      <c r="U277" s="21">
        <f>L277*S277</f>
        <v/>
      </c>
      <c r="V277" s="15" t="inlineStr">
        <is>
          <t>nur Abholung</t>
        </is>
      </c>
      <c r="W277" s="15" t="inlineStr">
        <is>
          <t>F-325</t>
        </is>
      </c>
      <c r="X277" s="19" t="inlineStr">
        <is>
          <t>ja</t>
        </is>
      </c>
      <c r="Y277" s="19" t="n"/>
      <c r="Z277" s="19" t="inlineStr">
        <is>
          <t>verfügbar</t>
        </is>
      </c>
      <c r="AA277" s="19" t="inlineStr">
        <is>
          <t>BMW</t>
        </is>
      </c>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BA06-03</t>
        </is>
      </c>
      <c r="B278" s="15" t="n"/>
      <c r="C278" s="15" t="n"/>
      <c r="D278" s="15" t="inlineStr">
        <is>
          <t>BA06</t>
        </is>
      </c>
      <c r="E278" s="15" t="inlineStr">
        <is>
          <t>BIG Bobby Quad</t>
        </is>
      </c>
      <c r="F278" s="16" t="inlineStr">
        <is>
          <t>Quad-Rutscherfahrzeug aus Kunststoff in Schwarz mit limettengrünen Felgen und Lenkergriffen, Stollenreifen. Aufdruck: bobby quad, BIG.</t>
        </is>
      </c>
      <c r="G278" s="15" t="inlineStr">
        <is>
          <t>Kita-Ausstattung</t>
        </is>
      </c>
      <c r="H278" s="15" t="inlineStr">
        <is>
          <t>Material / Turnraum</t>
        </is>
      </c>
      <c r="I278" s="15" t="inlineStr">
        <is>
          <t>C</t>
        </is>
      </c>
      <c r="J278" s="17" t="n">
        <v>3</v>
      </c>
      <c r="K278" s="17" t="n"/>
      <c r="L278" s="18">
        <f>J278-IF(K278="",0,K278)</f>
        <v/>
      </c>
      <c r="M278" s="15" t="inlineStr">
        <is>
          <t>Stück</t>
        </is>
      </c>
      <c r="N278" s="15" t="inlineStr">
        <is>
          <t>gebraucht</t>
        </is>
      </c>
      <c r="O278" s="19" t="n"/>
      <c r="P278" s="19" t="inlineStr">
        <is>
          <t>ja</t>
        </is>
      </c>
      <c r="Q278" s="19" t="n"/>
      <c r="R278" s="20" t="n"/>
      <c r="S278" s="20" t="n">
        <v>25</v>
      </c>
      <c r="T278" s="19" t="inlineStr">
        <is>
          <t>VHB</t>
        </is>
      </c>
      <c r="U278" s="21">
        <f>L278*S278</f>
        <v/>
      </c>
      <c r="V278" s="15" t="inlineStr">
        <is>
          <t>nur Abholung</t>
        </is>
      </c>
      <c r="W278" s="15" t="inlineStr">
        <is>
          <t>F-326</t>
        </is>
      </c>
      <c r="X278" s="19" t="inlineStr">
        <is>
          <t>ja</t>
        </is>
      </c>
      <c r="Y278" s="19" t="n"/>
      <c r="Z278" s="19" t="inlineStr">
        <is>
          <t>verfügbar</t>
        </is>
      </c>
      <c r="AA278" s="19" t="inlineStr">
        <is>
          <t>BIG</t>
        </is>
      </c>
      <c r="AB278" s="19" t="n"/>
      <c r="AC278" s="19" t="n"/>
      <c r="AD278" s="19" t="n"/>
      <c r="AE278" s="20" t="n"/>
      <c r="AF278" s="21">
        <f>IF(K278="","",K278*AE278)</f>
        <v/>
      </c>
      <c r="AG278" s="19" t="n"/>
      <c r="AH278" s="19" t="n"/>
      <c r="AI278" s="19" t="n"/>
      <c r="AJ278" s="19" t="n"/>
      <c r="AK278" s="19" t="n"/>
      <c r="AL278" s="19" t="n"/>
      <c r="AM278" s="16" t="inlineStr">
        <is>
          <t>3 Fahrzeuge – abgebildet ist eines davon.</t>
        </is>
      </c>
      <c r="AN278" s="22" t="n"/>
    </row>
    <row r="279" ht="30" customHeight="1">
      <c r="A279" s="15" t="inlineStr">
        <is>
          <t>BA06-04</t>
        </is>
      </c>
      <c r="B279" s="15" t="n"/>
      <c r="C279" s="15" t="n"/>
      <c r="D279" s="15" t="inlineStr">
        <is>
          <t>BA06</t>
        </is>
      </c>
      <c r="E279" s="15" t="inlineStr">
        <is>
          <t>Holz-Dreirad mit Kuhkopf</t>
        </is>
      </c>
      <c r="F279" s="16" t="inlineStr">
        <is>
          <t>Rutschfahrzeug aus Massivholz mit vier Rädern, ovalem Sitz und Lehne, vorn ein Kuhkopf mit Stoffohren und gemaltem Gesicht.</t>
        </is>
      </c>
      <c r="G279" s="15" t="inlineStr">
        <is>
          <t>Kita-Ausstattung</t>
        </is>
      </c>
      <c r="H279" s="15" t="inlineStr">
        <is>
          <t>Material / Turnraum</t>
        </is>
      </c>
      <c r="I279" s="15" t="inlineStr">
        <is>
          <t>B</t>
        </is>
      </c>
      <c r="J279" s="17" t="n">
        <v>1</v>
      </c>
      <c r="K279" s="17" t="n"/>
      <c r="L279" s="18">
        <f>J279-IF(K279="",0,K279)</f>
        <v/>
      </c>
      <c r="M279" s="15" t="inlineStr">
        <is>
          <t>Stück</t>
        </is>
      </c>
      <c r="N279" s="15" t="inlineStr">
        <is>
          <t>gebraucht</t>
        </is>
      </c>
      <c r="O279" s="19" t="n"/>
      <c r="P279" s="19" t="inlineStr">
        <is>
          <t>ja</t>
        </is>
      </c>
      <c r="Q279" s="19" t="n"/>
      <c r="R279" s="20" t="n"/>
      <c r="S279" s="20" t="n">
        <v>35</v>
      </c>
      <c r="T279" s="19" t="inlineStr">
        <is>
          <t>VHB</t>
        </is>
      </c>
      <c r="U279" s="21">
        <f>L279*S279</f>
        <v/>
      </c>
      <c r="V279" s="15" t="inlineStr">
        <is>
          <t>nur Abholung</t>
        </is>
      </c>
      <c r="W279" s="15" t="inlineStr">
        <is>
          <t>F-324</t>
        </is>
      </c>
      <c r="X279" s="19" t="inlineStr">
        <is>
          <t>ja</t>
        </is>
      </c>
      <c r="Y279" s="19" t="n"/>
      <c r="Z279" s="19" t="inlineStr">
        <is>
          <t>verfügbar</t>
        </is>
      </c>
      <c r="AA279" s="19" t="n"/>
      <c r="AB279" s="19" t="n"/>
      <c r="AC279" s="19" t="n"/>
      <c r="AD279" s="19" t="n"/>
      <c r="AE279" s="20" t="n"/>
      <c r="AF279" s="21">
        <f>IF(K279="","",K279*AE279)</f>
        <v/>
      </c>
      <c r="AG279" s="19" t="n"/>
      <c r="AH279" s="19" t="n"/>
      <c r="AI279" s="19" t="n"/>
      <c r="AJ279" s="19" t="n"/>
      <c r="AK279" s="19" t="n"/>
      <c r="AL279" s="19" t="n"/>
      <c r="AM279" s="16" t="inlineStr">
        <is>
          <t>1 Fahrzeug.</t>
        </is>
      </c>
      <c r="AN279" s="22" t="n"/>
    </row>
    <row r="280" ht="30" customHeight="1">
      <c r="A280" s="15" t="inlineStr">
        <is>
          <t>BA06-05</t>
        </is>
      </c>
      <c r="B280" s="15" t="n"/>
      <c r="C280" s="15" t="n"/>
      <c r="D280" s="15" t="inlineStr">
        <is>
          <t>BA06</t>
        </is>
      </c>
      <c r="E280" s="15" t="inlineStr">
        <is>
          <t>Schaukel- und Rutschtier aus Formholz</t>
        </is>
      </c>
      <c r="F280" s="16" t="inlineStr">
        <is>
          <t>Fahrzeug aus weiß lackiertem Formholz mit Naturholz-Lehne, vier kleinen Rollen und schwarzen Griffen. Lack an vielen Stellen abgeplatzt.</t>
        </is>
      </c>
      <c r="G280" s="15" t="inlineStr">
        <is>
          <t>Kita-Ausstattung</t>
        </is>
      </c>
      <c r="H280" s="15" t="inlineStr">
        <is>
          <t>Material / Turnraum</t>
        </is>
      </c>
      <c r="I280" s="15" t="inlineStr">
        <is>
          <t>C</t>
        </is>
      </c>
      <c r="J280" s="17" t="n">
        <v>1</v>
      </c>
      <c r="K280" s="17" t="n"/>
      <c r="L280" s="18">
        <f>J280-IF(K280="",0,K280)</f>
        <v/>
      </c>
      <c r="M280" s="15" t="inlineStr">
        <is>
          <t>Stück</t>
        </is>
      </c>
      <c r="N280" s="15" t="inlineStr">
        <is>
          <t>stark gebraucht</t>
        </is>
      </c>
      <c r="O280" s="19" t="n"/>
      <c r="P280" s="19" t="inlineStr">
        <is>
          <t>ja</t>
        </is>
      </c>
      <c r="Q280" s="19" t="n"/>
      <c r="R280" s="20" t="n"/>
      <c r="S280" s="20" t="n">
        <v>20</v>
      </c>
      <c r="T280" s="19" t="inlineStr">
        <is>
          <t>VHB</t>
        </is>
      </c>
      <c r="U280" s="21">
        <f>L280*S280</f>
        <v/>
      </c>
      <c r="V280" s="15" t="inlineStr">
        <is>
          <t>nur Abholung</t>
        </is>
      </c>
      <c r="W280" s="15" t="inlineStr">
        <is>
          <t>F-327</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1 Fahrzeug.</t>
        </is>
      </c>
      <c r="AN280" s="22" t="n"/>
    </row>
    <row r="281" ht="30" customHeight="1">
      <c r="A281" s="15" t="inlineStr">
        <is>
          <t>BA06-06</t>
        </is>
      </c>
      <c r="B281" s="15" t="n"/>
      <c r="C281" s="15" t="n"/>
      <c r="D281" s="15" t="inlineStr">
        <is>
          <t>BA06</t>
        </is>
      </c>
      <c r="E281" s="15" t="inlineStr">
        <is>
          <t>BIG Bobby Car Feuerwehr</t>
        </is>
      </c>
      <c r="F281" s="16" t="inlineStr">
        <is>
          <t>Rutscherauto als Feuerwehrfahrzeug aus rotem Kunststoff mit Blaulicht, drehbarem Wasserwerfer und Stollenreifen. Aufdruck: BIG.</t>
        </is>
      </c>
      <c r="G281" s="15" t="inlineStr">
        <is>
          <t>Kita-Ausstattung</t>
        </is>
      </c>
      <c r="H281" s="15" t="inlineStr">
        <is>
          <t>Material / Turnraum</t>
        </is>
      </c>
      <c r="I281" s="15" t="inlineStr">
        <is>
          <t>B</t>
        </is>
      </c>
      <c r="J281" s="17" t="n">
        <v>2</v>
      </c>
      <c r="K281" s="17" t="n"/>
      <c r="L281" s="18">
        <f>J281-IF(K281="",0,K281)</f>
        <v/>
      </c>
      <c r="M281" s="15" t="inlineStr">
        <is>
          <t>Stück</t>
        </is>
      </c>
      <c r="N281" s="15" t="inlineStr">
        <is>
          <t>gebraucht</t>
        </is>
      </c>
      <c r="O281" s="19" t="n"/>
      <c r="P281" s="19" t="inlineStr">
        <is>
          <t>ja</t>
        </is>
      </c>
      <c r="Q281" s="19" t="n"/>
      <c r="R281" s="20" t="n"/>
      <c r="S281" s="20" t="n">
        <v>30</v>
      </c>
      <c r="T281" s="19" t="inlineStr">
        <is>
          <t>VHB</t>
        </is>
      </c>
      <c r="U281" s="21">
        <f>L281*S281</f>
        <v/>
      </c>
      <c r="V281" s="15" t="inlineStr">
        <is>
          <t>nur Abholung</t>
        </is>
      </c>
      <c r="W281" s="15" t="inlineStr">
        <is>
          <t>F-328</t>
        </is>
      </c>
      <c r="X281" s="19" t="inlineStr">
        <is>
          <t>ja</t>
        </is>
      </c>
      <c r="Y281" s="19" t="n"/>
      <c r="Z281" s="19" t="inlineStr">
        <is>
          <t>verfügbar</t>
        </is>
      </c>
      <c r="AA281" s="19" t="inlineStr">
        <is>
          <t>BIG</t>
        </is>
      </c>
      <c r="AB281" s="19" t="n"/>
      <c r="AC281" s="19" t="n"/>
      <c r="AD281" s="19" t="n"/>
      <c r="AE281" s="20" t="n"/>
      <c r="AF281" s="21">
        <f>IF(K281="","",K281*AE281)</f>
        <v/>
      </c>
      <c r="AG281" s="19" t="n"/>
      <c r="AH281" s="19" t="n"/>
      <c r="AI281" s="19" t="n"/>
      <c r="AJ281" s="19" t="n"/>
      <c r="AK281" s="19" t="n"/>
      <c r="AL281" s="19" t="n"/>
      <c r="AM281" s="16" t="inlineStr">
        <is>
          <t>2 Fahrzeuge – abgebildet ist eines davon.</t>
        </is>
      </c>
      <c r="AN281" s="22" t="n"/>
    </row>
    <row r="282" ht="30" customHeight="1">
      <c r="A282" s="15" t="inlineStr">
        <is>
          <t>BA06-07</t>
        </is>
      </c>
      <c r="B282" s="15" t="n"/>
      <c r="C282" s="15" t="n"/>
      <c r="D282" s="15" t="inlineStr">
        <is>
          <t>BA06</t>
        </is>
      </c>
      <c r="E282" s="15" t="inlineStr">
        <is>
          <t>Klettergerüst Holz</t>
        </is>
      </c>
      <c r="F282" s="16" t="inlineStr">
        <is>
          <t>Klettergerüst aus Buche massiv mit Rundsprossen und seitlichen Wangen, zusammenklappbar.</t>
        </is>
      </c>
      <c r="G282" s="15" t="inlineStr">
        <is>
          <t>Kita-Ausstattung</t>
        </is>
      </c>
      <c r="H282" s="15" t="inlineStr">
        <is>
          <t>Material / Turnraum</t>
        </is>
      </c>
      <c r="I282" s="15" t="inlineStr">
        <is>
          <t>B</t>
        </is>
      </c>
      <c r="J282" s="17" t="n">
        <v>2</v>
      </c>
      <c r="K282" s="17" t="n"/>
      <c r="L282" s="18">
        <f>J282-IF(K282="",0,K282)</f>
        <v/>
      </c>
      <c r="M282" s="15" t="inlineStr">
        <is>
          <t>Stück</t>
        </is>
      </c>
      <c r="N282" s="15" t="inlineStr">
        <is>
          <t>gebraucht</t>
        </is>
      </c>
      <c r="O282" s="19" t="n"/>
      <c r="P282" s="19" t="inlineStr">
        <is>
          <t>ja</t>
        </is>
      </c>
      <c r="Q282" s="19" t="n"/>
      <c r="R282" s="20" t="n"/>
      <c r="S282" s="20" t="n">
        <v>60</v>
      </c>
      <c r="T282" s="19" t="inlineStr">
        <is>
          <t>VHB</t>
        </is>
      </c>
      <c r="U282" s="21">
        <f>L282*S282</f>
        <v/>
      </c>
      <c r="V282" s="15" t="inlineStr">
        <is>
          <t>nur Abholung</t>
        </is>
      </c>
      <c r="W282" s="15" t="inlineStr">
        <is>
          <t>F-329</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2 Gerüste – abgebildet ist eines davon.</t>
        </is>
      </c>
      <c r="AN282" s="22" t="n"/>
    </row>
    <row r="283" ht="30" customHeight="1">
      <c r="A283" s="15" t="inlineStr">
        <is>
          <t>BA06-08</t>
        </is>
      </c>
      <c r="B283" s="15" t="n"/>
      <c r="C283" s="15" t="n"/>
      <c r="D283" s="15" t="inlineStr">
        <is>
          <t>BA06</t>
        </is>
      </c>
      <c r="E283" s="15" t="inlineStr">
        <is>
          <t>Klettergerüst grün mit Rutschbrett</t>
        </is>
      </c>
      <c r="F283" s="16" t="inlineStr">
        <is>
          <t>Klettergerüst mit grün lackiertem Metallrahmen, Rundsprossen aus Holz und einem Rutschbrett mit dunkler Lauffläche.</t>
        </is>
      </c>
      <c r="G283" s="15" t="inlineStr">
        <is>
          <t>Kita-Ausstattung</t>
        </is>
      </c>
      <c r="H283" s="15" t="inlineStr">
        <is>
          <t>Material / Turnraum</t>
        </is>
      </c>
      <c r="I283" s="15" t="inlineStr">
        <is>
          <t>B</t>
        </is>
      </c>
      <c r="J283" s="17" t="n">
        <v>3</v>
      </c>
      <c r="K283" s="17" t="n"/>
      <c r="L283" s="18">
        <f>J283-IF(K283="",0,K283)</f>
        <v/>
      </c>
      <c r="M283" s="15" t="inlineStr">
        <is>
          <t>Stück</t>
        </is>
      </c>
      <c r="N283" s="15" t="inlineStr">
        <is>
          <t>gebraucht</t>
        </is>
      </c>
      <c r="O283" s="19" t="n"/>
      <c r="P283" s="19" t="inlineStr">
        <is>
          <t>ja</t>
        </is>
      </c>
      <c r="Q283" s="19" t="n"/>
      <c r="R283" s="20" t="n"/>
      <c r="S283" s="20" t="n">
        <v>70</v>
      </c>
      <c r="T283" s="19" t="inlineStr">
        <is>
          <t>VHB</t>
        </is>
      </c>
      <c r="U283" s="21">
        <f>L283*S283</f>
        <v/>
      </c>
      <c r="V283" s="15" t="inlineStr">
        <is>
          <t>nur Abholung</t>
        </is>
      </c>
      <c r="W283" s="15" t="inlineStr">
        <is>
          <t>F-330</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3 Gerüste – abgebildet ist eines davon.</t>
        </is>
      </c>
      <c r="AN283" s="22" t="n"/>
    </row>
    <row r="284" ht="30" customHeight="1">
      <c r="A284" s="15" t="inlineStr">
        <is>
          <t>BA06-09</t>
        </is>
      </c>
      <c r="B284" s="15" t="n"/>
      <c r="C284" s="15" t="n"/>
      <c r="D284" s="15" t="inlineStr">
        <is>
          <t>BA06</t>
        </is>
      </c>
      <c r="E284" s="15" t="inlineStr">
        <is>
          <t>Holz-Lastwagen zum Rutschen</t>
        </is>
      </c>
      <c r="F284" s="16" t="inlineStr">
        <is>
          <t>Rutschfahrzeug aus Massivholz in Lastwagenform: offene Ladefläche mit Bordwänden, gepolsterter Sitz vor dem Führerhaus, Holzlenkrad und vier Gummiräder mit roten Felgen.</t>
        </is>
      </c>
      <c r="G284" s="15" t="inlineStr">
        <is>
          <t>Kita-Ausstattung</t>
        </is>
      </c>
      <c r="H284" s="15" t="inlineStr">
        <is>
          <t>Material / Turnraum</t>
        </is>
      </c>
      <c r="I284" s="15" t="inlineStr">
        <is>
          <t>B</t>
        </is>
      </c>
      <c r="J284" s="17" t="n">
        <v>1</v>
      </c>
      <c r="K284" s="17" t="n"/>
      <c r="L284" s="18">
        <f>J284-IF(K284="",0,K284)</f>
        <v/>
      </c>
      <c r="M284" s="15" t="inlineStr">
        <is>
          <t>Stück</t>
        </is>
      </c>
      <c r="N284" s="15" t="inlineStr">
        <is>
          <t>gebraucht</t>
        </is>
      </c>
      <c r="O284" s="19" t="n"/>
      <c r="P284" s="19" t="inlineStr">
        <is>
          <t>ja</t>
        </is>
      </c>
      <c r="Q284" s="19" t="n"/>
      <c r="R284" s="20" t="n"/>
      <c r="S284" s="20" t="n">
        <v>40</v>
      </c>
      <c r="T284" s="19" t="inlineStr">
        <is>
          <t>VHB</t>
        </is>
      </c>
      <c r="U284" s="21">
        <f>L284*S284</f>
        <v/>
      </c>
      <c r="V284" s="15" t="inlineStr">
        <is>
          <t>nur Abholung</t>
        </is>
      </c>
      <c r="W284" s="15" t="inlineStr">
        <is>
          <t>F-335</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Fahrzeug.</t>
        </is>
      </c>
      <c r="AN284" s="22" t="n"/>
    </row>
    <row r="285" ht="30" customHeight="1">
      <c r="A285" s="15" t="inlineStr">
        <is>
          <t>BA06-10</t>
        </is>
      </c>
      <c r="B285" s="15" t="n"/>
      <c r="C285" s="15" t="n"/>
      <c r="D285" s="15" t="inlineStr">
        <is>
          <t>BA06</t>
        </is>
      </c>
      <c r="E285" s="15" t="inlineStr">
        <is>
          <t>Feuerwehrhaus aus Holz</t>
        </is>
      </c>
      <c r="F285" s="16" t="inlineStr">
        <is>
          <t>Spiel-Feuerwehrhaus aus Holz mit rot lackierten Wänden, dunklem Dach, aufklappbarem Tor und Zwischenboden. Aufdruck: FIRE STATION. Farbe stark abgegriffen.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stark gebraucht</t>
        </is>
      </c>
      <c r="O285" s="19" t="n"/>
      <c r="P285" s="19" t="inlineStr">
        <is>
          <t>ja</t>
        </is>
      </c>
      <c r="Q285" s="19" t="n"/>
      <c r="R285" s="20" t="n"/>
      <c r="S285" s="20" t="n">
        <v>20</v>
      </c>
      <c r="T285" s="19" t="inlineStr">
        <is>
          <t>VHB</t>
        </is>
      </c>
      <c r="U285" s="21">
        <f>L285*S285</f>
        <v/>
      </c>
      <c r="V285" s="15" t="inlineStr">
        <is>
          <t>nur Abholung</t>
        </is>
      </c>
      <c r="W285" s="15" t="inlineStr">
        <is>
          <t>F-331</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Haus. Die Fahrzeuge darin gehören nicht dazu.</t>
        </is>
      </c>
      <c r="AN285" s="22" t="n"/>
    </row>
    <row r="286" ht="30" customHeight="1">
      <c r="A286" s="15" t="inlineStr">
        <is>
          <t>BA06-11</t>
        </is>
      </c>
      <c r="B286" s="15" t="n"/>
      <c r="C286" s="15" t="n"/>
      <c r="D286" s="15" t="inlineStr">
        <is>
          <t>BA06</t>
        </is>
      </c>
      <c r="E286" s="15" t="inlineStr">
        <is>
          <t>Sitzschaukel Kunststoff mit Seilen</t>
        </is>
      </c>
      <c r="F286" s="16" t="inlineStr">
        <is>
          <t>Babyschaukel aus Kunststoff: Sitzschale in Violett mit limettengrünem Sicherheitsbügel, Aufhängung über weiße Seile.</t>
        </is>
      </c>
      <c r="G286" s="15" t="inlineStr">
        <is>
          <t>Kita-Ausstattung</t>
        </is>
      </c>
      <c r="H286" s="15" t="inlineStr">
        <is>
          <t>Material / Turnraum</t>
        </is>
      </c>
      <c r="I286" s="15" t="inlineStr">
        <is>
          <t>C</t>
        </is>
      </c>
      <c r="J286" s="17" t="n">
        <v>1</v>
      </c>
      <c r="K286" s="17" t="n"/>
      <c r="L286" s="18">
        <f>J286-IF(K286="",0,K286)</f>
        <v/>
      </c>
      <c r="M286" s="15" t="inlineStr">
        <is>
          <t>Stück</t>
        </is>
      </c>
      <c r="N286" s="15" t="inlineStr">
        <is>
          <t>gebraucht</t>
        </is>
      </c>
      <c r="O286" s="19" t="n"/>
      <c r="P286" s="19" t="inlineStr">
        <is>
          <t>ja</t>
        </is>
      </c>
      <c r="Q286" s="19" t="n"/>
      <c r="R286" s="20" t="n"/>
      <c r="S286" s="20" t="n">
        <v>15</v>
      </c>
      <c r="T286" s="19" t="inlineStr">
        <is>
          <t>VHB</t>
        </is>
      </c>
      <c r="U286" s="21">
        <f>L286*S286</f>
        <v/>
      </c>
      <c r="V286" s="15" t="inlineStr">
        <is>
          <t>nur Abholung</t>
        </is>
      </c>
      <c r="W286" s="15" t="inlineStr">
        <is>
          <t>F-332</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1 Schaukel.</t>
        </is>
      </c>
      <c r="AN286" s="22" t="n"/>
    </row>
    <row r="287" ht="30" customHeight="1">
      <c r="A287" s="15" t="inlineStr">
        <is>
          <t>BA06-12</t>
        </is>
      </c>
      <c r="B287" s="15" t="n"/>
      <c r="C287" s="15" t="n"/>
      <c r="D287" s="15" t="inlineStr">
        <is>
          <t>BA06</t>
        </is>
      </c>
      <c r="E287" s="15" t="inlineStr">
        <is>
          <t>Spieltunnel grün, 180 cm</t>
        </is>
      </c>
      <c r="F287" s="16" t="inlineStr">
        <is>
          <t>Spieltunnel aus grünem Stoff mit roten Ringen, etwa 180 cm lang bei 45 cm Durchmesser. Faltbar, mit Originalkarton.</t>
        </is>
      </c>
      <c r="G287" s="15" t="inlineStr">
        <is>
          <t>Kita-Ausstattung</t>
        </is>
      </c>
      <c r="H287" s="15" t="inlineStr">
        <is>
          <t>Material / Turnraum</t>
        </is>
      </c>
      <c r="I287" s="15" t="inlineStr">
        <is>
          <t>C</t>
        </is>
      </c>
      <c r="J287" s="17" t="n">
        <v>1</v>
      </c>
      <c r="K287" s="17" t="n"/>
      <c r="L287" s="18">
        <f>J287-IF(K287="",0,K287)</f>
        <v/>
      </c>
      <c r="M287" s="15" t="inlineStr">
        <is>
          <t>Stück</t>
        </is>
      </c>
      <c r="N287" s="15" t="inlineStr">
        <is>
          <t>gebraucht</t>
        </is>
      </c>
      <c r="O287" s="19" t="n"/>
      <c r="P287" s="19" t="inlineStr">
        <is>
          <t>ja</t>
        </is>
      </c>
      <c r="Q287" s="19" t="n"/>
      <c r="R287" s="20" t="n"/>
      <c r="S287" s="20" t="n">
        <v>15</v>
      </c>
      <c r="T287" s="19" t="inlineStr">
        <is>
          <t>VHB</t>
        </is>
      </c>
      <c r="U287" s="21">
        <f>L287*S287</f>
        <v/>
      </c>
      <c r="V287" s="15" t="inlineStr">
        <is>
          <t>nur Abholung</t>
        </is>
      </c>
      <c r="W287" s="15" t="inlineStr">
        <is>
          <t>F-336</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1 Tunnel. Das Foto zeigt den Originalkarton mit der Abbildung; der Tunnel selbst ist zusammengefaltet darin.</t>
        </is>
      </c>
      <c r="AN287" s="22" t="n"/>
    </row>
    <row r="288" ht="30" customHeight="1">
      <c r="A288" s="15" t="inlineStr">
        <is>
          <t>BA07-01</t>
        </is>
      </c>
      <c r="B288" s="15" t="n"/>
      <c r="C288" s="15" t="n"/>
      <c r="D288" s="15" t="inlineStr">
        <is>
          <t>BA07</t>
        </is>
      </c>
      <c r="E288" s="15" t="inlineStr">
        <is>
          <t>Kissen in Wolkenform, hellblau</t>
        </is>
      </c>
      <c r="F288" s="16" t="inlineStr">
        <is>
          <t>Dekokissen in Wolkenform aus hellblauem Samtstoff, mit aufgestickten Augen, Lächeln und rosa Wangen.</t>
        </is>
      </c>
      <c r="G288" s="15" t="inlineStr">
        <is>
          <t>Textilien</t>
        </is>
      </c>
      <c r="H288" s="15" t="inlineStr">
        <is>
          <t>Klassenzimmer</t>
        </is>
      </c>
      <c r="I288" s="15" t="inlineStr">
        <is>
          <t>C</t>
        </is>
      </c>
      <c r="J288" s="17" t="n">
        <v>2</v>
      </c>
      <c r="K288" s="17" t="n"/>
      <c r="L288" s="18">
        <f>J288-IF(K288="",0,K288)</f>
        <v/>
      </c>
      <c r="M288" s="15" t="inlineStr">
        <is>
          <t>Stück</t>
        </is>
      </c>
      <c r="N288" s="15" t="inlineStr">
        <is>
          <t>gut</t>
        </is>
      </c>
      <c r="O288" s="19" t="n"/>
      <c r="P288" s="19" t="inlineStr">
        <is>
          <t>ja</t>
        </is>
      </c>
      <c r="Q288" s="19" t="n"/>
      <c r="R288" s="20" t="n"/>
      <c r="S288" s="20" t="n">
        <v>12</v>
      </c>
      <c r="T288" s="19" t="inlineStr">
        <is>
          <t>VHB</t>
        </is>
      </c>
      <c r="U288" s="21">
        <f>L288*S288</f>
        <v/>
      </c>
      <c r="V288" s="15" t="inlineStr">
        <is>
          <t>Versand möglich</t>
        </is>
      </c>
      <c r="W288" s="15" t="inlineStr">
        <is>
          <t>F-337</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2 Kissen, beide abgebildet.</t>
        </is>
      </c>
      <c r="AN288" s="22" t="n"/>
    </row>
    <row r="289" ht="30" customHeight="1">
      <c r="A289" s="15" t="inlineStr">
        <is>
          <t>BA07-02</t>
        </is>
      </c>
      <c r="B289" s="15" t="n"/>
      <c r="C289" s="15" t="n"/>
      <c r="D289" s="15" t="inlineStr">
        <is>
          <t>BA07</t>
        </is>
      </c>
      <c r="E289" s="15" t="inlineStr">
        <is>
          <t>Wandleuchte rund mit Holzrand</t>
        </is>
      </c>
      <c r="F289" s="16" t="inlineStr">
        <is>
          <t>Runde Wandleuchte: Rahmen aus gebogenem Schichtholz mit satinierter Scheibe, flache Bauform, Zuleitung sichtbar verlegt. Zwei verschiedene Durchmesser.</t>
        </is>
      </c>
      <c r="G289" s="15" t="inlineStr">
        <is>
          <t>Leuchten</t>
        </is>
      </c>
      <c r="H289" s="15" t="inlineStr">
        <is>
          <t>Klassenzimmer</t>
        </is>
      </c>
      <c r="I289" s="15" t="inlineStr">
        <is>
          <t>B</t>
        </is>
      </c>
      <c r="J289" s="17" t="n">
        <v>2</v>
      </c>
      <c r="K289" s="17" t="n"/>
      <c r="L289" s="18">
        <f>J289-IF(K289="",0,K289)</f>
        <v/>
      </c>
      <c r="M289" s="15" t="inlineStr">
        <is>
          <t>Stück</t>
        </is>
      </c>
      <c r="N289" s="15" t="inlineStr">
        <is>
          <t>gebraucht</t>
        </is>
      </c>
      <c r="O289" s="19" t="n"/>
      <c r="P289" s="19" t="inlineStr">
        <is>
          <t>ja</t>
        </is>
      </c>
      <c r="Q289" s="19" t="n"/>
      <c r="R289" s="20" t="n"/>
      <c r="S289" s="20" t="n">
        <v>45</v>
      </c>
      <c r="T289" s="19" t="inlineStr">
        <is>
          <t>VHB</t>
        </is>
      </c>
      <c r="U289" s="21">
        <f>L289*S289</f>
        <v/>
      </c>
      <c r="V289" s="15" t="inlineStr">
        <is>
          <t>nur Abholung</t>
        </is>
      </c>
      <c r="W289" s="15" t="inlineStr">
        <is>
          <t>F-338</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2 Leuchten in unterschiedlicher Größe, beide abgebildet.</t>
        </is>
      </c>
      <c r="AN289" s="22" t="n"/>
    </row>
    <row r="290" ht="30" customHeight="1">
      <c r="A290" s="15" t="inlineStr">
        <is>
          <t>BA07-03</t>
        </is>
      </c>
      <c r="B290" s="15" t="n"/>
      <c r="C290" s="15" t="n"/>
      <c r="D290" s="15" t="inlineStr">
        <is>
          <t>BA07</t>
        </is>
      </c>
      <c r="E290" s="15" t="inlineStr">
        <is>
          <t>Standregal grau mit Wolkenaufsatz</t>
        </is>
      </c>
      <c r="F290" s="16" t="inlineStr">
        <is>
          <t>Schmales Standregal in Grau mit drei Ablagen und vorderen Haltelleisten, oben ein ausgesägter Wolkenaufsatz, auf schrägen Holzbeinen. Als Bücherregal genutzt.</t>
        </is>
      </c>
      <c r="G290" s="15" t="inlineStr">
        <is>
          <t>Kita-Ausstattung</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45</v>
      </c>
      <c r="T290" s="19" t="inlineStr">
        <is>
          <t>VHB</t>
        </is>
      </c>
      <c r="U290" s="21">
        <f>L290*S290</f>
        <v/>
      </c>
      <c r="V290" s="15" t="inlineStr">
        <is>
          <t>nur Abholung</t>
        </is>
      </c>
      <c r="W290" s="15" t="inlineStr">
        <is>
          <t>F-339</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t>
        </is>
      </c>
      <c r="AN290" s="22" t="n"/>
    </row>
    <row r="291" ht="30" customHeight="1">
      <c r="A291" s="15" t="inlineStr">
        <is>
          <t>BA07-05</t>
        </is>
      </c>
      <c r="B291" s="15" t="n"/>
      <c r="C291" s="15" t="n"/>
      <c r="D291" s="15" t="inlineStr">
        <is>
          <t>BA07</t>
        </is>
      </c>
      <c r="E291" s="15" t="inlineStr">
        <is>
          <t>Tisch weiß, lang, auf schwarzen Beinen</t>
        </is>
      </c>
      <c r="F291" s="16" t="inlineStr">
        <is>
          <t>Langer Tisch mit weißer Platte auf vier schwarzen Rundbeinen mit Gleitern. Als Arbeits- und Ablagefläche genutzt.</t>
        </is>
      </c>
      <c r="G291" s="15" t="inlineStr">
        <is>
          <t>Möbel</t>
        </is>
      </c>
      <c r="H291" s="15" t="inlineStr">
        <is>
          <t>Klassenzimmer</t>
        </is>
      </c>
      <c r="I291" s="15" t="inlineStr">
        <is>
          <t>B</t>
        </is>
      </c>
      <c r="J291" s="17" t="n">
        <v>1</v>
      </c>
      <c r="K291" s="17" t="n"/>
      <c r="L291" s="18">
        <f>J291-IF(K291="",0,K291)</f>
        <v/>
      </c>
      <c r="M291" s="15" t="inlineStr">
        <is>
          <t>Stück</t>
        </is>
      </c>
      <c r="N291" s="15" t="inlineStr">
        <is>
          <t>gebraucht</t>
        </is>
      </c>
      <c r="O291" s="19" t="n"/>
      <c r="P291" s="19" t="inlineStr">
        <is>
          <t>ja</t>
        </is>
      </c>
      <c r="Q291" s="19" t="n"/>
      <c r="R291" s="20" t="n"/>
      <c r="S291" s="20" t="n">
        <v>70</v>
      </c>
      <c r="T291" s="19" t="inlineStr">
        <is>
          <t>VHB</t>
        </is>
      </c>
      <c r="U291" s="21">
        <f>L291*S291</f>
        <v/>
      </c>
      <c r="V291" s="15" t="inlineStr">
        <is>
          <t>nur Abholung</t>
        </is>
      </c>
      <c r="W291" s="15" t="inlineStr">
        <is>
          <t>F-341</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Tisch.</t>
        </is>
      </c>
      <c r="AN291" s="22" t="inlineStr">
        <is>
          <t>Stueckzahl auf dem Erfassungsblatt nicht eingetragen, als 1 angenommen - bitte bestaetigen.</t>
        </is>
      </c>
    </row>
    <row r="292" ht="30" customHeight="1">
      <c r="A292" s="15" t="inlineStr">
        <is>
          <t>BA07-06</t>
        </is>
      </c>
      <c r="B292" s="15" t="n"/>
      <c r="C292" s="15" t="n"/>
      <c r="D292" s="15" t="inlineStr">
        <is>
          <t>BA07</t>
        </is>
      </c>
      <c r="E292" s="15" t="inlineStr">
        <is>
          <t>Regal creme, 16 Fächer, auf Metallbeinen</t>
        </is>
      </c>
      <c r="F292" s="16" t="inlineStr">
        <is>
          <t>Großes Regal in Creme mit sechzehn Fächern in vier Reihen, auf schräg gestellten schwarzen Metallbeinen.</t>
        </is>
      </c>
      <c r="G292" s="15" t="inlineStr">
        <is>
          <t>Möbel</t>
        </is>
      </c>
      <c r="H292" s="15" t="inlineStr">
        <is>
          <t>Klassenzimmer</t>
        </is>
      </c>
      <c r="I292" s="15" t="inlineStr">
        <is>
          <t>B</t>
        </is>
      </c>
      <c r="J292" s="17" t="n">
        <v>1</v>
      </c>
      <c r="K292" s="17" t="n"/>
      <c r="L292" s="18">
        <f>J292-IF(K292="",0,K292)</f>
        <v/>
      </c>
      <c r="M292" s="15" t="inlineStr">
        <is>
          <t>Stück</t>
        </is>
      </c>
      <c r="N292" s="15" t="inlineStr">
        <is>
          <t>gebraucht</t>
        </is>
      </c>
      <c r="O292" s="19" t="n"/>
      <c r="P292" s="19" t="inlineStr">
        <is>
          <t>ja</t>
        </is>
      </c>
      <c r="Q292" s="19" t="n"/>
      <c r="R292" s="20" t="n"/>
      <c r="S292" s="20" t="n">
        <v>90</v>
      </c>
      <c r="T292" s="19" t="inlineStr">
        <is>
          <t>VHB</t>
        </is>
      </c>
      <c r="U292" s="21">
        <f>L292*S292</f>
        <v/>
      </c>
      <c r="V292" s="15" t="inlineStr">
        <is>
          <t>nur Abholung</t>
        </is>
      </c>
      <c r="W292" s="15" t="inlineStr">
        <is>
          <t>F-342</t>
        </is>
      </c>
      <c r="X292" s="19" t="inlineStr">
        <is>
          <t>ja</t>
        </is>
      </c>
      <c r="Y292" s="19" t="n"/>
      <c r="Z292" s="19" t="inlineStr">
        <is>
          <t>verfügbar</t>
        </is>
      </c>
      <c r="AA292" s="19" t="n"/>
      <c r="AB292" s="19" t="n"/>
      <c r="AC292" s="19" t="n"/>
      <c r="AD292" s="19" t="n"/>
      <c r="AE292" s="20" t="n"/>
      <c r="AF292" s="21">
        <f>IF(K292="","",K292*AE292)</f>
        <v/>
      </c>
      <c r="AG292" s="19" t="n"/>
      <c r="AH292" s="19" t="n"/>
      <c r="AI292" s="19" t="n"/>
      <c r="AJ292" s="19" t="n"/>
      <c r="AK292" s="19" t="n"/>
      <c r="AL292" s="19" t="n"/>
      <c r="AM292" s="16" t="inlineStr">
        <is>
          <t>1 Regal. Der Inhalt gehört nicht dazu.</t>
        </is>
      </c>
      <c r="AN292" s="22" t="n"/>
    </row>
    <row r="293" ht="30" customHeight="1">
      <c r="A293" s="15" t="inlineStr">
        <is>
          <t>BA08-05</t>
        </is>
      </c>
      <c r="B293" s="15" t="n"/>
      <c r="C293" s="15" t="n"/>
      <c r="D293" s="15" t="inlineStr">
        <is>
          <t>BA08</t>
        </is>
      </c>
      <c r="E293" s="15" t="inlineStr">
        <is>
          <t>Acrylbild schwarz-weiß, Kreise mit Punkten</t>
        </is>
      </c>
      <c r="F293" s="16" t="inlineStr">
        <is>
          <t>Acryl auf Leinwand, großes Quadrat: mit breitem Pinsel gezogene Kreise, darin je mehrere gemalte Punkte – die Anmutung von Würfeln. Eigenarbeit einer Privatperson, nicht signiert.</t>
        </is>
      </c>
      <c r="G293" s="15" t="inlineStr">
        <is>
          <t>Kunst</t>
        </is>
      </c>
      <c r="H293" s="15" t="inlineStr">
        <is>
          <t>Atelier</t>
        </is>
      </c>
      <c r="I293" s="15" t="inlineStr">
        <is>
          <t>B</t>
        </is>
      </c>
      <c r="J293" s="17" t="n">
        <v>1</v>
      </c>
      <c r="K293" s="17" t="n"/>
      <c r="L293" s="18">
        <f>J293-IF(K293="",0,K293)</f>
        <v/>
      </c>
      <c r="M293" s="15" t="inlineStr">
        <is>
          <t>Stück</t>
        </is>
      </c>
      <c r="N293" s="15" t="inlineStr">
        <is>
          <t>gut</t>
        </is>
      </c>
      <c r="O293" s="19" t="n"/>
      <c r="P293" s="19" t="inlineStr">
        <is>
          <t>ja</t>
        </is>
      </c>
      <c r="Q293" s="19" t="n"/>
      <c r="R293" s="20" t="n"/>
      <c r="S293" s="20" t="n">
        <v>150</v>
      </c>
      <c r="T293" s="19" t="inlineStr">
        <is>
          <t>VHB</t>
        </is>
      </c>
      <c r="U293" s="21">
        <f>L293*S293</f>
        <v/>
      </c>
      <c r="V293" s="15" t="inlineStr">
        <is>
          <t>Versand möglich</t>
        </is>
      </c>
      <c r="W293" s="15" t="inlineStr">
        <is>
          <t>F-344</t>
        </is>
      </c>
      <c r="X293" s="19" t="inlineStr">
        <is>
          <t>ja</t>
        </is>
      </c>
      <c r="Y293" s="19" t="n"/>
      <c r="Z293" s="19" t="inlineStr">
        <is>
          <t>verfügbar</t>
        </is>
      </c>
      <c r="AA293" s="19" t="n"/>
      <c r="AB293" s="19" t="n"/>
      <c r="AC293" s="19" t="n"/>
      <c r="AD293" s="19" t="n"/>
      <c r="AE293" s="20" t="n"/>
      <c r="AF293" s="21">
        <f>IF(K293="","",K293*AE293)</f>
        <v/>
      </c>
      <c r="AG293" s="19" t="n"/>
      <c r="AH293" s="19" t="n"/>
      <c r="AI293" s="19" t="n"/>
      <c r="AJ293" s="19" t="n"/>
      <c r="AK293" s="19" t="n"/>
      <c r="AL293" s="19" t="n"/>
      <c r="AM293" s="16" t="inlineStr">
        <is>
          <t>1 Bild.</t>
        </is>
      </c>
      <c r="AN293" s="22" t="n"/>
    </row>
    <row r="294" ht="30" customHeight="1">
      <c r="A294" s="15" t="inlineStr">
        <is>
          <t>BA08-06</t>
        </is>
      </c>
      <c r="B294" s="15" t="n"/>
      <c r="C294" s="15" t="n"/>
      <c r="D294" s="15" t="inlineStr">
        <is>
          <t>BA08</t>
        </is>
      </c>
      <c r="E294" s="15" t="inlineStr">
        <is>
          <t>VS Schalenstuhl grau, Vierfußgestell</t>
        </is>
      </c>
      <c r="F294" s="16" t="inlineStr">
        <is>
          <t>Schalenstuhl von VS (Vereinigte Spezialmöbelfabriken): graue Kunststoffschale mit Rautenstruktur und Griffloch in der Lehne, auf grauem Vierfußgestell aus Rohr. Farbspritzer aus dem Atelierbetrieb auf Sitz und Lehne.</t>
        </is>
      </c>
      <c r="G294" s="15" t="inlineStr">
        <is>
          <t>Kita-Ausstattung</t>
        </is>
      </c>
      <c r="H294" s="15" t="inlineStr">
        <is>
          <t>Atelier</t>
        </is>
      </c>
      <c r="I294" s="15" t="inlineStr">
        <is>
          <t>B</t>
        </is>
      </c>
      <c r="J294" s="17" t="n">
        <v>9</v>
      </c>
      <c r="K294" s="17" t="n"/>
      <c r="L294" s="18">
        <f>J294-IF(K294="",0,K294)</f>
        <v/>
      </c>
      <c r="M294" s="15" t="inlineStr">
        <is>
          <t>Stück</t>
        </is>
      </c>
      <c r="N294" s="15" t="inlineStr">
        <is>
          <t>gebraucht</t>
        </is>
      </c>
      <c r="O294" s="19" t="n"/>
      <c r="P294" s="19" t="inlineStr">
        <is>
          <t>ja</t>
        </is>
      </c>
      <c r="Q294" s="19" t="n"/>
      <c r="R294" s="20" t="n"/>
      <c r="S294" s="20" t="n">
        <v>50</v>
      </c>
      <c r="T294" s="19" t="inlineStr">
        <is>
          <t>VHB</t>
        </is>
      </c>
      <c r="U294" s="21">
        <f>L294*S294</f>
        <v/>
      </c>
      <c r="V294" s="15" t="inlineStr">
        <is>
          <t>nur Abholung</t>
        </is>
      </c>
      <c r="W294" s="15" t="inlineStr">
        <is>
          <t>F-345</t>
        </is>
      </c>
      <c r="X294" s="19" t="inlineStr">
        <is>
          <t>ja</t>
        </is>
      </c>
      <c r="Y294" s="19" t="n"/>
      <c r="Z294" s="19" t="inlineStr">
        <is>
          <t>verfügbar</t>
        </is>
      </c>
      <c r="AA294" s="19" t="inlineStr">
        <is>
          <t>VS</t>
        </is>
      </c>
      <c r="AB294" s="19" t="n"/>
      <c r="AC294" s="19" t="n"/>
      <c r="AD294" s="19" t="n"/>
      <c r="AE294" s="20" t="n"/>
      <c r="AF294" s="21">
        <f>IF(K294="","",K294*AE294)</f>
        <v/>
      </c>
      <c r="AG294" s="19" t="n"/>
      <c r="AH294" s="19" t="n"/>
      <c r="AI294" s="19" t="n"/>
      <c r="AJ294" s="19" t="n"/>
      <c r="AK294" s="19" t="n"/>
      <c r="AL294" s="19" t="n"/>
      <c r="AM294" s="16" t="inlineStr">
        <is>
          <t>9 Stühle – abgebildet ist einer davon. Das Logo ist auf Foto F-346 zu sehen. Ein anderes VS-Modell auf Kufengestell steht unter NU02-04.</t>
        </is>
      </c>
      <c r="AN294" s="22" t="n"/>
    </row>
    <row r="295" ht="30" customHeight="1">
      <c r="A295" s="15" t="inlineStr">
        <is>
          <t>BA08-07</t>
        </is>
      </c>
      <c r="B295" s="15" t="n"/>
      <c r="C295" s="15" t="n"/>
      <c r="D295" s="15" t="inlineStr">
        <is>
          <t>BA08</t>
        </is>
      </c>
      <c r="E295" s="15" t="inlineStr">
        <is>
          <t>Konvolut Feinkrepp-Papier</t>
        </is>
      </c>
      <c r="F295" s="16" t="inlineStr">
        <is>
          <t>Rollen Feinkrepp von Marpa Jansen, je 50 × 250 cm, in Blau, Grün, Gelb, Rot, Orange und Braun. Teils angebrochen, dazu ein Beutel mit zugeschnittenen Schnipseln.</t>
        </is>
      </c>
      <c r="G295" s="15" t="inlineStr">
        <is>
          <t>Verbrauchsmaterial</t>
        </is>
      </c>
      <c r="H295" s="15" t="inlineStr">
        <is>
          <t>Atelier</t>
        </is>
      </c>
      <c r="I295" s="15" t="inlineStr">
        <is>
          <t>C</t>
        </is>
      </c>
      <c r="J295" s="17" t="n">
        <v>1</v>
      </c>
      <c r="K295" s="17" t="n"/>
      <c r="L295" s="18">
        <f>J295-IF(K295="",0,K295)</f>
        <v/>
      </c>
      <c r="M295" s="15" t="inlineStr">
        <is>
          <t>Konvolut</t>
        </is>
      </c>
      <c r="N295" s="15" t="inlineStr">
        <is>
          <t>gebraucht</t>
        </is>
      </c>
      <c r="O295" s="19" t="n"/>
      <c r="P295" s="19" t="inlineStr">
        <is>
          <t>ja</t>
        </is>
      </c>
      <c r="Q295" s="19" t="n"/>
      <c r="R295" s="20" t="n"/>
      <c r="S295" s="20" t="n">
        <v>20</v>
      </c>
      <c r="T295" s="19" t="inlineStr">
        <is>
          <t>VHB</t>
        </is>
      </c>
      <c r="U295" s="21">
        <f>L295*S295</f>
        <v/>
      </c>
      <c r="V295" s="15" t="inlineStr">
        <is>
          <t>nur Abholung</t>
        </is>
      </c>
      <c r="W295" s="15" t="inlineStr">
        <is>
          <t>F-347</t>
        </is>
      </c>
      <c r="X295" s="19" t="inlineStr">
        <is>
          <t>ja</t>
        </is>
      </c>
      <c r="Y295" s="19" t="n"/>
      <c r="Z295" s="19" t="inlineStr">
        <is>
          <t>verfügbar</t>
        </is>
      </c>
      <c r="AA295" s="19" t="inlineStr">
        <is>
          <t>Marpa Jansen</t>
        </is>
      </c>
      <c r="AB295" s="19" t="n"/>
      <c r="AC295" s="19" t="n"/>
      <c r="AD295" s="19" t="n"/>
      <c r="AE295" s="20" t="n"/>
      <c r="AF295" s="21">
        <f>IF(K295="","",K295*AE295)</f>
        <v/>
      </c>
      <c r="AG295" s="19" t="n"/>
      <c r="AH295" s="19" t="n"/>
      <c r="AI295" s="19" t="n"/>
      <c r="AJ295" s="19" t="n"/>
      <c r="AK295" s="19" t="n"/>
      <c r="AL295" s="19" t="n"/>
      <c r="AM295" s="16" t="inlineStr">
        <is>
          <t>1 Konvolut. Der Schubladeninhalt ist auf Foto F-348 zu sehen.</t>
        </is>
      </c>
      <c r="AN295" s="22" t="n"/>
    </row>
    <row r="296" ht="30" customHeight="1">
      <c r="A296" s="15" t="inlineStr">
        <is>
          <t>BA08-08</t>
        </is>
      </c>
      <c r="B296" s="15" t="n"/>
      <c r="C296" s="15" t="n"/>
      <c r="D296" s="15" t="inlineStr">
        <is>
          <t>BA08</t>
        </is>
      </c>
      <c r="E296" s="15" t="inlineStr">
        <is>
          <t>Deko-Pilze auf Holzfuß</t>
        </is>
      </c>
      <c r="F296" s="16" t="inlineStr">
        <is>
          <t>Dekopilze mit gedrechseltem Fuß aus Massivholz: zwei mit gehämmerter Metallkappe in Silberoptik, einer mit Kappe in Betonoptik.</t>
        </is>
      </c>
      <c r="G296" s="15" t="inlineStr">
        <is>
          <t>Deko</t>
        </is>
      </c>
      <c r="H296" s="15" t="inlineStr">
        <is>
          <t>Atelier</t>
        </is>
      </c>
      <c r="I296" s="15" t="inlineStr">
        <is>
          <t>C</t>
        </is>
      </c>
      <c r="J296" s="17" t="n">
        <v>3</v>
      </c>
      <c r="K296" s="17" t="n"/>
      <c r="L296" s="18">
        <f>J296-IF(K296="",0,K296)</f>
        <v/>
      </c>
      <c r="M296" s="15" t="inlineStr">
        <is>
          <t>Stück</t>
        </is>
      </c>
      <c r="N296" s="15" t="inlineStr">
        <is>
          <t>gut</t>
        </is>
      </c>
      <c r="O296" s="19" t="n"/>
      <c r="P296" s="19" t="inlineStr">
        <is>
          <t>ja</t>
        </is>
      </c>
      <c r="Q296" s="19" t="n"/>
      <c r="R296" s="20" t="n"/>
      <c r="S296" s="20" t="n">
        <v>18</v>
      </c>
      <c r="T296" s="19" t="inlineStr">
        <is>
          <t>VHB</t>
        </is>
      </c>
      <c r="U296" s="21">
        <f>L296*S296</f>
        <v/>
      </c>
      <c r="V296" s="15" t="inlineStr">
        <is>
          <t>Versand möglich</t>
        </is>
      </c>
      <c r="W296" s="15" t="inlineStr">
        <is>
          <t>F-349</t>
        </is>
      </c>
      <c r="X296" s="19" t="inlineStr">
        <is>
          <t>ja</t>
        </is>
      </c>
      <c r="Y296" s="19" t="n"/>
      <c r="Z296" s="19" t="inlineStr">
        <is>
          <t>verfügbar</t>
        </is>
      </c>
      <c r="AA296" s="19" t="n"/>
      <c r="AB296" s="19" t="n"/>
      <c r="AC296" s="19" t="n"/>
      <c r="AD296" s="19" t="n"/>
      <c r="AE296" s="20" t="n"/>
      <c r="AF296" s="21">
        <f>IF(K296="","",K296*AE296)</f>
        <v/>
      </c>
      <c r="AG296" s="19" t="n"/>
      <c r="AH296" s="19" t="n"/>
      <c r="AI296" s="19" t="n"/>
      <c r="AJ296" s="19" t="n"/>
      <c r="AK296" s="19" t="n"/>
      <c r="AL296" s="19" t="n"/>
      <c r="AM296" s="16" t="inlineStr">
        <is>
          <t>3 Pilze, alle abgebildet.</t>
        </is>
      </c>
      <c r="AN296" s="22" t="n"/>
    </row>
    <row r="297" ht="30" customHeight="1">
      <c r="A297" s="15" t="inlineStr">
        <is>
          <t>BA08-09</t>
        </is>
      </c>
      <c r="B297" s="15" t="n"/>
      <c r="C297" s="15" t="n"/>
      <c r="D297" s="15" t="inlineStr">
        <is>
          <t>BA08</t>
        </is>
      </c>
      <c r="E297" s="15" t="inlineStr">
        <is>
          <t>Bastelscheren im Betzold-Holzblock</t>
        </is>
      </c>
      <c r="F297" s="16" t="inlineStr">
        <is>
          <t>Kinder-Bastelscheren mit Kunststoffgriffen in gemischten Farben, dazu ein Holzblock mit Steckbohrungen von Betzold als Ablage.</t>
        </is>
      </c>
      <c r="G297" s="15" t="inlineStr">
        <is>
          <t>Kita-Ausstattung</t>
        </is>
      </c>
      <c r="H297" s="15" t="inlineStr">
        <is>
          <t>Atelier</t>
        </is>
      </c>
      <c r="I297" s="15" t="inlineStr">
        <is>
          <t>C</t>
        </is>
      </c>
      <c r="J297" s="17" t="n">
        <v>15</v>
      </c>
      <c r="K297" s="17" t="n"/>
      <c r="L297" s="18">
        <f>J297-IF(K297="",0,K297)</f>
        <v/>
      </c>
      <c r="M297" s="15" t="inlineStr">
        <is>
          <t>Stück</t>
        </is>
      </c>
      <c r="N297" s="15" t="inlineStr">
        <is>
          <t>gebraucht</t>
        </is>
      </c>
      <c r="O297" s="19" t="n"/>
      <c r="P297" s="19" t="inlineStr">
        <is>
          <t>ja</t>
        </is>
      </c>
      <c r="Q297" s="19" t="n"/>
      <c r="R297" s="20" t="n"/>
      <c r="S297" s="20" t="n">
        <v>2</v>
      </c>
      <c r="T297" s="19" t="inlineStr">
        <is>
          <t>VHB</t>
        </is>
      </c>
      <c r="U297" s="21">
        <f>L297*S297</f>
        <v/>
      </c>
      <c r="V297" s="15" t="inlineStr">
        <is>
          <t>nur Abholung</t>
        </is>
      </c>
      <c r="W297" s="15" t="inlineStr">
        <is>
          <t>F-350</t>
        </is>
      </c>
      <c r="X297" s="19" t="inlineStr">
        <is>
          <t>ja</t>
        </is>
      </c>
      <c r="Y297" s="19" t="n"/>
      <c r="Z297" s="19" t="inlineStr">
        <is>
          <t>verfügbar</t>
        </is>
      </c>
      <c r="AA297" s="19" t="inlineStr">
        <is>
          <t>Betzold</t>
        </is>
      </c>
      <c r="AB297" s="19" t="n"/>
      <c r="AC297" s="19" t="n"/>
      <c r="AD297" s="19" t="n"/>
      <c r="AE297" s="20" t="n"/>
      <c r="AF297" s="21">
        <f>IF(K297="","",K297*AE297)</f>
        <v/>
      </c>
      <c r="AG297" s="19" t="n"/>
      <c r="AH297" s="19" t="n"/>
      <c r="AI297" s="19" t="n"/>
      <c r="AJ297" s="19" t="n"/>
      <c r="AK297" s="19" t="n"/>
      <c r="AL297" s="19" t="n"/>
      <c r="AM297" s="16" t="inlineStr">
        <is>
          <t>15 Scheren, der Holzblock gehört dazu.</t>
        </is>
      </c>
      <c r="AN297" s="22" t="n"/>
    </row>
    <row r="298" ht="30" customHeight="1">
      <c r="A298" s="15" t="inlineStr">
        <is>
          <t>BA08-10</t>
        </is>
      </c>
      <c r="B298" s="15" t="n"/>
      <c r="C298" s="15" t="n"/>
      <c r="D298" s="15" t="inlineStr">
        <is>
          <t>BA08</t>
        </is>
      </c>
      <c r="E298" s="15" t="inlineStr">
        <is>
          <t>Kunstpflanze Gras im weißen Topf</t>
        </is>
      </c>
      <c r="F298" s="16" t="inlineStr">
        <is>
          <t>Künstliches Ziergras mit gedrehten Halmen in einem weißen Übertopf aus Metall mit durchbrochenem Spitzenrand.</t>
        </is>
      </c>
      <c r="G298" s="15" t="inlineStr">
        <is>
          <t>Deko</t>
        </is>
      </c>
      <c r="H298" s="15" t="inlineStr">
        <is>
          <t>Atelier</t>
        </is>
      </c>
      <c r="I298" s="15" t="inlineStr">
        <is>
          <t>C</t>
        </is>
      </c>
      <c r="J298" s="17" t="n">
        <v>2</v>
      </c>
      <c r="K298" s="17" t="n"/>
      <c r="L298" s="18">
        <f>J298-IF(K298="",0,K298)</f>
        <v/>
      </c>
      <c r="M298" s="15" t="inlineStr">
        <is>
          <t>Stück</t>
        </is>
      </c>
      <c r="N298" s="15" t="inlineStr">
        <is>
          <t>gut</t>
        </is>
      </c>
      <c r="O298" s="19" t="n"/>
      <c r="P298" s="19" t="inlineStr">
        <is>
          <t>ja</t>
        </is>
      </c>
      <c r="Q298" s="19" t="n"/>
      <c r="R298" s="20" t="n"/>
      <c r="S298" s="20" t="n">
        <v>15</v>
      </c>
      <c r="T298" s="19" t="inlineStr">
        <is>
          <t>VHB</t>
        </is>
      </c>
      <c r="U298" s="21">
        <f>L298*S298</f>
        <v/>
      </c>
      <c r="V298" s="15" t="inlineStr">
        <is>
          <t>Versand möglich</t>
        </is>
      </c>
      <c r="W298" s="15" t="inlineStr">
        <is>
          <t>F-351</t>
        </is>
      </c>
      <c r="X298" s="19" t="inlineStr">
        <is>
          <t>ja</t>
        </is>
      </c>
      <c r="Y298" s="19" t="n"/>
      <c r="Z298" s="19" t="inlineStr">
        <is>
          <t>verfügbar</t>
        </is>
      </c>
      <c r="AA298" s="19" t="n"/>
      <c r="AB298" s="19" t="n"/>
      <c r="AC298" s="19" t="n"/>
      <c r="AD298" s="19" t="n"/>
      <c r="AE298" s="20" t="n"/>
      <c r="AF298" s="21">
        <f>IF(K298="","",K298*AE298)</f>
        <v/>
      </c>
      <c r="AG298" s="19" t="n"/>
      <c r="AH298" s="19" t="n"/>
      <c r="AI298" s="19" t="n"/>
      <c r="AJ298" s="19" t="n"/>
      <c r="AK298" s="19" t="n"/>
      <c r="AL298" s="19" t="n"/>
      <c r="AM298" s="16" t="inlineStr">
        <is>
          <t>2 Stück, beide abgebildet.</t>
        </is>
      </c>
      <c r="AN298" s="22" t="n"/>
    </row>
    <row r="299" ht="30" customHeight="1">
      <c r="A299" s="15" t="inlineStr">
        <is>
          <t>BA08-11</t>
        </is>
      </c>
      <c r="B299" s="15" t="n"/>
      <c r="C299" s="15" t="n"/>
      <c r="D299" s="15" t="inlineStr">
        <is>
          <t>BA08</t>
        </is>
      </c>
      <c r="E299" s="15" t="inlineStr">
        <is>
          <t>Bilderrahmen mit Zeichenwerkzeug</t>
        </is>
      </c>
      <c r="F299" s="16" t="inlineStr">
        <is>
          <t>Zwei schwarze Rahmen hinter Glas, gepunkteter Hintergrund: einer mit Bleistift, Lineal und gefaltetem Papier, einer mit sechs Pinseln in verschiedenen Breiten. Passend für ein Atelier oder Arbeitszimmer.</t>
        </is>
      </c>
      <c r="G299" s="15" t="inlineStr">
        <is>
          <t>Deko</t>
        </is>
      </c>
      <c r="H299" s="15" t="inlineStr">
        <is>
          <t>Atelier</t>
        </is>
      </c>
      <c r="I299" s="15" t="inlineStr">
        <is>
          <t>C</t>
        </is>
      </c>
      <c r="J299" s="17" t="n">
        <v>2</v>
      </c>
      <c r="K299" s="17" t="n"/>
      <c r="L299" s="18">
        <f>J299-IF(K299="",0,K299)</f>
        <v/>
      </c>
      <c r="M299" s="15" t="inlineStr">
        <is>
          <t>Stück</t>
        </is>
      </c>
      <c r="N299" s="15" t="inlineStr">
        <is>
          <t>gut</t>
        </is>
      </c>
      <c r="O299" s="19" t="n"/>
      <c r="P299" s="19" t="inlineStr">
        <is>
          <t>ja</t>
        </is>
      </c>
      <c r="Q299" s="19" t="n"/>
      <c r="R299" s="20" t="n"/>
      <c r="S299" s="20" t="n">
        <v>25</v>
      </c>
      <c r="T299" s="19" t="inlineStr">
        <is>
          <t>VHB</t>
        </is>
      </c>
      <c r="U299" s="21">
        <f>L299*S299</f>
        <v/>
      </c>
      <c r="V299" s="15" t="inlineStr">
        <is>
          <t>Versand möglich</t>
        </is>
      </c>
      <c r="W299" s="15" t="inlineStr">
        <is>
          <t>F-352</t>
        </is>
      </c>
      <c r="X299" s="19" t="inlineStr">
        <is>
          <t>ja</t>
        </is>
      </c>
      <c r="Y299" s="19" t="n"/>
      <c r="Z299" s="19" t="inlineStr">
        <is>
          <t>verfügbar</t>
        </is>
      </c>
      <c r="AA299" s="19" t="n"/>
      <c r="AB299" s="19" t="n"/>
      <c r="AC299" s="19" t="n"/>
      <c r="AD299" s="19" t="n"/>
      <c r="AE299" s="20" t="n"/>
      <c r="AF299" s="21">
        <f>IF(K299="","",K299*AE299)</f>
        <v/>
      </c>
      <c r="AG299" s="19" t="n"/>
      <c r="AH299" s="19" t="n"/>
      <c r="AI299" s="19" t="n"/>
      <c r="AJ299" s="19" t="n"/>
      <c r="AK299" s="19" t="n"/>
      <c r="AL299" s="19" t="n"/>
      <c r="AM299" s="16" t="inlineStr">
        <is>
          <t>2 Bilder, beide abgebildet.</t>
        </is>
      </c>
      <c r="AN299" s="22" t="n"/>
    </row>
    <row r="300" ht="30" customHeight="1">
      <c r="A300" s="15" t="inlineStr">
        <is>
          <t>BA08-12</t>
        </is>
      </c>
      <c r="B300" s="15" t="n"/>
      <c r="C300" s="15" t="n"/>
      <c r="D300" s="15" t="inlineStr">
        <is>
          <t>BA08</t>
        </is>
      </c>
      <c r="E300" s="15" t="inlineStr">
        <is>
          <t>Wandregalbrett weiß</t>
        </is>
      </c>
      <c r="F300" s="16" t="inlineStr">
        <is>
          <t>Schmales weißes Wandregalbrett mit vorderer Kante, zum Anschrauben.</t>
        </is>
      </c>
      <c r="G300" s="15" t="inlineStr">
        <is>
          <t>Möbel</t>
        </is>
      </c>
      <c r="H300" s="15" t="inlineStr">
        <is>
          <t>Atelier</t>
        </is>
      </c>
      <c r="I300" s="15" t="inlineStr">
        <is>
          <t>C</t>
        </is>
      </c>
      <c r="J300" s="17" t="n">
        <v>2</v>
      </c>
      <c r="K300" s="17" t="n"/>
      <c r="L300" s="18">
        <f>J300-IF(K300="",0,K300)</f>
        <v/>
      </c>
      <c r="M300" s="15" t="inlineStr">
        <is>
          <t>Stück</t>
        </is>
      </c>
      <c r="N300" s="15" t="inlineStr">
        <is>
          <t>gebraucht</t>
        </is>
      </c>
      <c r="O300" s="19" t="n"/>
      <c r="P300" s="19" t="inlineStr">
        <is>
          <t>ja</t>
        </is>
      </c>
      <c r="Q300" s="19" t="n"/>
      <c r="R300" s="20" t="n"/>
      <c r="S300" s="20" t="n">
        <v>15</v>
      </c>
      <c r="T300" s="19" t="inlineStr">
        <is>
          <t>VHB</t>
        </is>
      </c>
      <c r="U300" s="21">
        <f>L300*S300</f>
        <v/>
      </c>
      <c r="V300" s="15" t="inlineStr">
        <is>
          <t>nur Abholung</t>
        </is>
      </c>
      <c r="W300" s="15" t="inlineStr">
        <is>
          <t>F-353</t>
        </is>
      </c>
      <c r="X300" s="19" t="inlineStr">
        <is>
          <t>ja</t>
        </is>
      </c>
      <c r="Y300" s="19" t="n"/>
      <c r="Z300" s="19" t="inlineStr">
        <is>
          <t>verfügbar</t>
        </is>
      </c>
      <c r="AA300" s="19" t="n"/>
      <c r="AB300" s="19" t="n"/>
      <c r="AC300" s="19" t="n"/>
      <c r="AD300" s="19" t="n"/>
      <c r="AE300" s="20" t="n"/>
      <c r="AF300" s="21">
        <f>IF(K300="","",K300*AE300)</f>
        <v/>
      </c>
      <c r="AG300" s="19" t="n"/>
      <c r="AH300" s="19" t="n"/>
      <c r="AI300" s="19" t="n"/>
      <c r="AJ300" s="19" t="n"/>
      <c r="AK300" s="19" t="n"/>
      <c r="AL300" s="19" t="n"/>
      <c r="AM300" s="16" t="inlineStr">
        <is>
          <t>2 Bretter. Die blauen Becher darauf gehören nicht dazu.</t>
        </is>
      </c>
      <c r="AN300" s="22" t="n"/>
    </row>
  </sheetData>
  <autoFilter ref="A2:AN300"/>
  <mergeCells count="7">
    <mergeCell ref="AI1:AL1"/>
    <mergeCell ref="V1:AD1"/>
    <mergeCell ref="S1:U1"/>
    <mergeCell ref="Q1:R1"/>
    <mergeCell ref="A1:P1"/>
    <mergeCell ref="AE1:AH1"/>
    <mergeCell ref="AM1:AN1"/>
  </mergeCells>
  <conditionalFormatting sqref="Z3:Z300">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300">
    <cfRule type="cellIs" priority="4" operator="equal" dxfId="3">
      <formula>"A"</formula>
    </cfRule>
  </conditionalFormatting>
  <conditionalFormatting sqref="P3:P300">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3"/>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COUNTA(Artikelstamm!$A$3:$A$300)</f>
        <v/>
      </c>
    </row>
    <row r="6">
      <c r="A6" s="26" t="inlineStr">
        <is>
          <t>davon verfügbar</t>
        </is>
      </c>
      <c r="B6" s="27">
        <f>COUNTIF(Artikelstamm!$Z$3:$Z$300,"verfügbar")</f>
        <v/>
      </c>
    </row>
    <row r="7">
      <c r="A7" s="26" t="inlineStr">
        <is>
          <t>davon reserviert</t>
        </is>
      </c>
      <c r="B7" s="27">
        <f>COUNTIF(Artikelstamm!$Z$3:$Z$300,"reserviert")</f>
        <v/>
      </c>
    </row>
    <row r="8">
      <c r="A8" s="26" t="inlineStr">
        <is>
          <t>davon teilverkauft</t>
        </is>
      </c>
      <c r="B8" s="27">
        <f>COUNTIF(Artikelstamm!$Z$3:$Z$300,"teilverkauft")</f>
        <v/>
      </c>
    </row>
    <row r="9">
      <c r="A9" s="26" t="inlineStr">
        <is>
          <t>davon verkauft</t>
        </is>
      </c>
      <c r="B9" s="27">
        <f>COUNTIF(Artikelstamm!$Z$3:$Z$300,"verkauft")</f>
        <v/>
      </c>
    </row>
    <row r="10">
      <c r="A10" s="26" t="inlineStr">
        <is>
          <t>Einheiten noch im Bestand</t>
        </is>
      </c>
      <c r="B10" s="27">
        <f>SUM(Artikelstamm!$L$3:$L$300)</f>
        <v/>
      </c>
    </row>
    <row r="11">
      <c r="A11" s="28" t="inlineStr">
        <is>
          <t>Restbestand zu Wunschpreisen (netto)</t>
        </is>
      </c>
      <c r="B11" s="29">
        <f>SUM(Artikelstamm!$U$3:$U$300)</f>
        <v/>
      </c>
    </row>
    <row r="12">
      <c r="A12" s="25" t="inlineStr">
        <is>
          <t>Erlöse</t>
        </is>
      </c>
    </row>
    <row r="13">
      <c r="A13" s="26" t="inlineStr">
        <is>
          <t>Verkaufte Einheiten</t>
        </is>
      </c>
      <c r="B13" s="27">
        <f>SUM(Artikelstamm!$K$3:$K$300)</f>
        <v/>
      </c>
    </row>
    <row r="14">
      <c r="A14" s="26" t="inlineStr">
        <is>
          <t>Umsatz netto</t>
        </is>
      </c>
      <c r="B14" s="30">
        <f>SUMPRODUCT(Artikelstamm!$K$3:$K$300,Artikelstamm!$AE$3:$AE$300)</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SUMPRODUCT((Artikelstamm!$AJ$3:$AJ$300="bezahlt")*Artikelstamm!$K$3:$K$300*Artikelstamm!$AE$3:$AE$300)</f>
        <v/>
      </c>
    </row>
    <row r="18">
      <c r="A18" s="26" t="inlineStr">
        <is>
          <t>noch offen (netto)</t>
        </is>
      </c>
      <c r="B18" s="30">
        <f>B14-B17</f>
        <v/>
      </c>
    </row>
    <row r="20">
      <c r="A20" s="25" t="inlineStr">
        <is>
          <t>To-do</t>
        </is>
      </c>
    </row>
    <row r="21">
      <c r="A21" s="28" t="inlineStr">
        <is>
          <t>Rechnungen noch zu schreiben</t>
        </is>
      </c>
      <c r="B21" s="31">
        <f>COUNTIFS(Artikelstamm!$Z$3:$Z$300,"*verkauft",Artikelstamm!$AI$3:$AI$300,"")</f>
        <v/>
      </c>
    </row>
    <row r="22">
      <c r="A22" s="28" t="inlineStr">
        <is>
          <t>Rechnungen offen (unbezahlt)</t>
        </is>
      </c>
      <c r="B22" s="31">
        <f>COUNTIFS(Artikelstamm!$Z$3:$Z$300,"*verkauft",Artikelstamm!$AJ$3:$AJ$300,"offen")</f>
        <v/>
      </c>
    </row>
    <row r="23">
      <c r="A23" s="26" t="inlineStr">
        <is>
          <t>Reservierungen ohne Abholtermin</t>
        </is>
      </c>
      <c r="B23" s="27">
        <f>COUNTIFS(Artikelstamm!$Z$3:$Z$300,"reserviert",Artikelstamm!$AL$3:$AL$300,"")</f>
        <v/>
      </c>
    </row>
    <row r="24">
      <c r="A24" s="26" t="inlineStr">
        <is>
          <t>Artikel ohne Preis</t>
        </is>
      </c>
      <c r="B24" s="27">
        <f>COUNTIFS(Artikelstamm!$S$3:$S$300,"")</f>
        <v/>
      </c>
    </row>
    <row r="25">
      <c r="A25" s="26" t="inlineStr">
        <is>
          <t>Artikel ohne Maßangabe</t>
        </is>
      </c>
      <c r="B25" s="27">
        <f>COUNTIFS(Artikelstamm!$O$3:$O$300,"")</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COUNTIF(Artikelstamm!$I$3:$I$300,$A30)</f>
        <v/>
      </c>
      <c r="C30" s="34">
        <f>SUMPRODUCT((Artikelstamm!$I$3:$I$300=$A30)*Artikelstamm!$K$3:$K$300*Artikelstamm!$AE$3:$AE$300)</f>
        <v/>
      </c>
      <c r="D30" s="34">
        <f>SUMIF(Artikelstamm!$I$3:$I$300,$A30,Artikelstamm!$U$3:$U$300)</f>
        <v/>
      </c>
    </row>
    <row r="31">
      <c r="A31" s="26" t="inlineStr">
        <is>
          <t>B</t>
        </is>
      </c>
      <c r="B31" s="33">
        <f>COUNTIF(Artikelstamm!$I$3:$I$300,$A31)</f>
        <v/>
      </c>
      <c r="C31" s="34">
        <f>SUMPRODUCT((Artikelstamm!$I$3:$I$300=$A31)*Artikelstamm!$K$3:$K$300*Artikelstamm!$AE$3:$AE$300)</f>
        <v/>
      </c>
      <c r="D31" s="34">
        <f>SUMIF(Artikelstamm!$I$3:$I$300,$A31,Artikelstamm!$U$3:$U$300)</f>
        <v/>
      </c>
    </row>
    <row r="32">
      <c r="A32" s="26" t="inlineStr">
        <is>
          <t>C</t>
        </is>
      </c>
      <c r="B32" s="33">
        <f>COUNTIF(Artikelstamm!$I$3:$I$300,$A32)</f>
        <v/>
      </c>
      <c r="C32" s="34">
        <f>SUMPRODUCT((Artikelstamm!$I$3:$I$300=$A32)*Artikelstamm!$K$3:$K$300*Artikelstamm!$AE$3:$AE$300)</f>
        <v/>
      </c>
      <c r="D32" s="34">
        <f>SUMIF(Artikelstamm!$I$3:$I$300,$A32,Artikelstamm!$U$3:$U$300)</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COUNTIF(Artikelstamm!$G$3:$G$300,$A37)</f>
        <v/>
      </c>
      <c r="C37" s="34">
        <f>SUMPRODUCT((Artikelstamm!$G$3:$G$300=$A37)*Artikelstamm!$K$3:$K$300*Artikelstamm!$AE$3:$AE$300)</f>
        <v/>
      </c>
      <c r="D37" s="34">
        <f>SUMIF(Artikelstamm!$G$3:$G$300,$A37,Artikelstamm!$U$3:$U$300)</f>
        <v/>
      </c>
    </row>
    <row r="38">
      <c r="A38" s="26" t="inlineStr">
        <is>
          <t>Deko</t>
        </is>
      </c>
      <c r="B38" s="33">
        <f>COUNTIF(Artikelstamm!$G$3:$G$300,$A38)</f>
        <v/>
      </c>
      <c r="C38" s="34">
        <f>SUMPRODUCT((Artikelstamm!$G$3:$G$300=$A38)*Artikelstamm!$K$3:$K$300*Artikelstamm!$AE$3:$AE$300)</f>
        <v/>
      </c>
      <c r="D38" s="34">
        <f>SUMIF(Artikelstamm!$G$3:$G$300,$A38,Artikelstamm!$U$3:$U$300)</f>
        <v/>
      </c>
    </row>
    <row r="39">
      <c r="A39" s="26" t="inlineStr">
        <is>
          <t>Designmöbel</t>
        </is>
      </c>
      <c r="B39" s="33">
        <f>COUNTIF(Artikelstamm!$G$3:$G$300,$A39)</f>
        <v/>
      </c>
      <c r="C39" s="34">
        <f>SUMPRODUCT((Artikelstamm!$G$3:$G$300=$A39)*Artikelstamm!$K$3:$K$300*Artikelstamm!$AE$3:$AE$300)</f>
        <v/>
      </c>
      <c r="D39" s="34">
        <f>SUMIF(Artikelstamm!$G$3:$G$300,$A39,Artikelstamm!$U$3:$U$300)</f>
        <v/>
      </c>
    </row>
    <row r="40">
      <c r="A40" s="26" t="inlineStr">
        <is>
          <t>Garten</t>
        </is>
      </c>
      <c r="B40" s="33">
        <f>COUNTIF(Artikelstamm!$G$3:$G$300,$A40)</f>
        <v/>
      </c>
      <c r="C40" s="34">
        <f>SUMPRODUCT((Artikelstamm!$G$3:$G$300=$A40)*Artikelstamm!$K$3:$K$300*Artikelstamm!$AE$3:$AE$300)</f>
        <v/>
      </c>
      <c r="D40" s="34">
        <f>SUMIF(Artikelstamm!$G$3:$G$300,$A40,Artikelstamm!$U$3:$U$300)</f>
        <v/>
      </c>
    </row>
    <row r="41">
      <c r="A41" s="26" t="inlineStr">
        <is>
          <t>Kita-Ausstattung</t>
        </is>
      </c>
      <c r="B41" s="33">
        <f>COUNTIF(Artikelstamm!$G$3:$G$300,$A41)</f>
        <v/>
      </c>
      <c r="C41" s="34">
        <f>SUMPRODUCT((Artikelstamm!$G$3:$G$300=$A41)*Artikelstamm!$K$3:$K$300*Artikelstamm!$AE$3:$AE$300)</f>
        <v/>
      </c>
      <c r="D41" s="34">
        <f>SUMIF(Artikelstamm!$G$3:$G$300,$A41,Artikelstamm!$U$3:$U$300)</f>
        <v/>
      </c>
    </row>
    <row r="42">
      <c r="A42" s="26" t="inlineStr">
        <is>
          <t>Kunst</t>
        </is>
      </c>
      <c r="B42" s="33">
        <f>COUNTIF(Artikelstamm!$G$3:$G$300,$A42)</f>
        <v/>
      </c>
      <c r="C42" s="34">
        <f>SUMPRODUCT((Artikelstamm!$G$3:$G$300=$A42)*Artikelstamm!$K$3:$K$300*Artikelstamm!$AE$3:$AE$300)</f>
        <v/>
      </c>
      <c r="D42" s="34">
        <f>SUMIF(Artikelstamm!$G$3:$G$300,$A42,Artikelstamm!$U$3:$U$300)</f>
        <v/>
      </c>
    </row>
    <row r="43">
      <c r="A43" s="26" t="inlineStr">
        <is>
          <t>Leuchten</t>
        </is>
      </c>
      <c r="B43" s="33">
        <f>COUNTIF(Artikelstamm!$G$3:$G$300,$A43)</f>
        <v/>
      </c>
      <c r="C43" s="34">
        <f>SUMPRODUCT((Artikelstamm!$G$3:$G$300=$A43)*Artikelstamm!$K$3:$K$300*Artikelstamm!$AE$3:$AE$300)</f>
        <v/>
      </c>
      <c r="D43" s="34">
        <f>SUMIF(Artikelstamm!$G$3:$G$300,$A43,Artikelstamm!$U$3:$U$300)</f>
        <v/>
      </c>
    </row>
    <row r="44">
      <c r="A44" s="26" t="inlineStr">
        <is>
          <t>Möbel</t>
        </is>
      </c>
      <c r="B44" s="33">
        <f>COUNTIF(Artikelstamm!$G$3:$G$300,$A44)</f>
        <v/>
      </c>
      <c r="C44" s="34">
        <f>SUMPRODUCT((Artikelstamm!$G$3:$G$300=$A44)*Artikelstamm!$K$3:$K$300*Artikelstamm!$AE$3:$AE$300)</f>
        <v/>
      </c>
      <c r="D44" s="34">
        <f>SUMIF(Artikelstamm!$G$3:$G$300,$A44,Artikelstamm!$U$3:$U$300)</f>
        <v/>
      </c>
    </row>
    <row r="45">
      <c r="A45" s="26" t="inlineStr">
        <is>
          <t>Pflanzen</t>
        </is>
      </c>
      <c r="B45" s="33">
        <f>COUNTIF(Artikelstamm!$G$3:$G$300,$A45)</f>
        <v/>
      </c>
      <c r="C45" s="34">
        <f>SUMPRODUCT((Artikelstamm!$G$3:$G$300=$A45)*Artikelstamm!$K$3:$K$300*Artikelstamm!$AE$3:$AE$300)</f>
        <v/>
      </c>
      <c r="D45" s="34">
        <f>SUMIF(Artikelstamm!$G$3:$G$300,$A45,Artikelstamm!$U$3:$U$300)</f>
        <v/>
      </c>
    </row>
    <row r="46">
      <c r="A46" s="26" t="inlineStr">
        <is>
          <t>Sonstiges</t>
        </is>
      </c>
      <c r="B46" s="33">
        <f>COUNTIF(Artikelstamm!$G$3:$G$300,$A46)</f>
        <v/>
      </c>
      <c r="C46" s="34">
        <f>SUMPRODUCT((Artikelstamm!$G$3:$G$300=$A46)*Artikelstamm!$K$3:$K$300*Artikelstamm!$AE$3:$AE$300)</f>
        <v/>
      </c>
      <c r="D46" s="34">
        <f>SUMIF(Artikelstamm!$G$3:$G$300,$A46,Artikelstamm!$U$3:$U$300)</f>
        <v/>
      </c>
    </row>
    <row r="47">
      <c r="A47" s="26" t="inlineStr">
        <is>
          <t>Technik</t>
        </is>
      </c>
      <c r="B47" s="33">
        <f>COUNTIF(Artikelstamm!$G$3:$G$300,$A47)</f>
        <v/>
      </c>
      <c r="C47" s="34">
        <f>SUMPRODUCT((Artikelstamm!$G$3:$G$300=$A47)*Artikelstamm!$K$3:$K$300*Artikelstamm!$AE$3:$AE$300)</f>
        <v/>
      </c>
      <c r="D47" s="34">
        <f>SUMIF(Artikelstamm!$G$3:$G$300,$A47,Artikelstamm!$U$3:$U$300)</f>
        <v/>
      </c>
    </row>
    <row r="48">
      <c r="A48" s="26" t="inlineStr">
        <is>
          <t>Textilien</t>
        </is>
      </c>
      <c r="B48" s="33">
        <f>COUNTIF(Artikelstamm!$G$3:$G$300,$A48)</f>
        <v/>
      </c>
      <c r="C48" s="34">
        <f>SUMPRODUCT((Artikelstamm!$G$3:$G$300=$A48)*Artikelstamm!$K$3:$K$300*Artikelstamm!$AE$3:$AE$300)</f>
        <v/>
      </c>
      <c r="D48" s="34">
        <f>SUMIF(Artikelstamm!$G$3:$G$300,$A48,Artikelstamm!$U$3:$U$300)</f>
        <v/>
      </c>
    </row>
    <row r="49">
      <c r="A49" s="26" t="inlineStr">
        <is>
          <t>Uhren</t>
        </is>
      </c>
      <c r="B49" s="33">
        <f>COUNTIF(Artikelstamm!$G$3:$G$300,$A49)</f>
        <v/>
      </c>
      <c r="C49" s="34">
        <f>SUMPRODUCT((Artikelstamm!$G$3:$G$300=$A49)*Artikelstamm!$K$3:$K$300*Artikelstamm!$AE$3:$AE$300)</f>
        <v/>
      </c>
      <c r="D49" s="34">
        <f>SUMIF(Artikelstamm!$G$3:$G$300,$A49,Artikelstamm!$U$3:$U$300)</f>
        <v/>
      </c>
    </row>
    <row r="50">
      <c r="A50" s="26" t="inlineStr">
        <is>
          <t>Verbrauchsmaterial</t>
        </is>
      </c>
      <c r="B50" s="33">
        <f>COUNTIF(Artikelstamm!$G$3:$G$300,$A50)</f>
        <v/>
      </c>
      <c r="C50" s="34">
        <f>SUMPRODUCT((Artikelstamm!$G$3:$G$300=$A50)*Artikelstamm!$K$3:$K$300*Artikelstamm!$AE$3:$AE$300)</f>
        <v/>
      </c>
      <c r="D50" s="34">
        <f>SUMIF(Artikelstamm!$G$3:$G$300,$A50,Artikelstamm!$U$3:$U$300)</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COUNTIF(Artikelstamm!$H$3:$H$300,$A55)</f>
        <v/>
      </c>
      <c r="C55" s="34">
        <f>SUMPRODUCT((Artikelstamm!$H$3:$H$300=$A55)*Artikelstamm!$K$3:$K$300*Artikelstamm!$AE$3:$AE$300)</f>
        <v/>
      </c>
      <c r="D55" s="34">
        <f>SUMIF(Artikelstamm!$H$3:$H$300,$A55,Artikelstamm!$U$3:$U$300)</f>
        <v/>
      </c>
    </row>
    <row r="56">
      <c r="A56" s="26" t="inlineStr">
        <is>
          <t>Büro</t>
        </is>
      </c>
      <c r="B56" s="33">
        <f>COUNTIF(Artikelstamm!$H$3:$H$300,$A56)</f>
        <v/>
      </c>
      <c r="C56" s="34">
        <f>SUMPRODUCT((Artikelstamm!$H$3:$H$300=$A56)*Artikelstamm!$K$3:$K$300*Artikelstamm!$AE$3:$AE$300)</f>
        <v/>
      </c>
      <c r="D56" s="34">
        <f>SUMIF(Artikelstamm!$H$3:$H$300,$A56,Artikelstamm!$U$3:$U$300)</f>
        <v/>
      </c>
    </row>
    <row r="57">
      <c r="A57" s="26" t="inlineStr">
        <is>
          <t>Büro / Besprechung</t>
        </is>
      </c>
      <c r="B57" s="33">
        <f>COUNTIF(Artikelstamm!$H$3:$H$300,$A57)</f>
        <v/>
      </c>
      <c r="C57" s="34">
        <f>SUMPRODUCT((Artikelstamm!$H$3:$H$300=$A57)*Artikelstamm!$K$3:$K$300*Artikelstamm!$AE$3:$AE$300)</f>
        <v/>
      </c>
      <c r="D57" s="34">
        <f>SUMIF(Artikelstamm!$H$3:$H$300,$A57,Artikelstamm!$U$3:$U$300)</f>
        <v/>
      </c>
    </row>
    <row r="58">
      <c r="A58" s="26" t="inlineStr">
        <is>
          <t>Dachterrasse</t>
        </is>
      </c>
      <c r="B58" s="33">
        <f>COUNTIF(Artikelstamm!$H$3:$H$300,$A58)</f>
        <v/>
      </c>
      <c r="C58" s="34">
        <f>SUMPRODUCT((Artikelstamm!$H$3:$H$300=$A58)*Artikelstamm!$K$3:$K$300*Artikelstamm!$AE$3:$AE$300)</f>
        <v/>
      </c>
      <c r="D58" s="34">
        <f>SUMIF(Artikelstamm!$H$3:$H$300,$A58,Artikelstamm!$U$3:$U$300)</f>
        <v/>
      </c>
    </row>
    <row r="59">
      <c r="A59" s="26" t="inlineStr">
        <is>
          <t>Flur</t>
        </is>
      </c>
      <c r="B59" s="33">
        <f>COUNTIF(Artikelstamm!$H$3:$H$300,$A59)</f>
        <v/>
      </c>
      <c r="C59" s="34">
        <f>SUMPRODUCT((Artikelstamm!$H$3:$H$300=$A59)*Artikelstamm!$K$3:$K$300*Artikelstamm!$AE$3:$AE$300)</f>
        <v/>
      </c>
      <c r="D59" s="34">
        <f>SUMIF(Artikelstamm!$H$3:$H$300,$A59,Artikelstamm!$U$3:$U$300)</f>
        <v/>
      </c>
    </row>
    <row r="60">
      <c r="A60" s="26" t="inlineStr">
        <is>
          <t>Flur 1</t>
        </is>
      </c>
      <c r="B60" s="33">
        <f>COUNTIF(Artikelstamm!$H$3:$H$300,$A60)</f>
        <v/>
      </c>
      <c r="C60" s="34">
        <f>SUMPRODUCT((Artikelstamm!$H$3:$H$300=$A60)*Artikelstamm!$K$3:$K$300*Artikelstamm!$AE$3:$AE$300)</f>
        <v/>
      </c>
      <c r="D60" s="34">
        <f>SUMIF(Artikelstamm!$H$3:$H$300,$A60,Artikelstamm!$U$3:$U$300)</f>
        <v/>
      </c>
    </row>
    <row r="61">
      <c r="A61" s="26" t="inlineStr">
        <is>
          <t>Flur 2</t>
        </is>
      </c>
      <c r="B61" s="33">
        <f>COUNTIF(Artikelstamm!$H$3:$H$300,$A61)</f>
        <v/>
      </c>
      <c r="C61" s="34">
        <f>SUMPRODUCT((Artikelstamm!$H$3:$H$300=$A61)*Artikelstamm!$K$3:$K$300*Artikelstamm!$AE$3:$AE$300)</f>
        <v/>
      </c>
      <c r="D61" s="34">
        <f>SUMIF(Artikelstamm!$H$3:$H$300,$A61,Artikelstamm!$U$3:$U$300)</f>
        <v/>
      </c>
    </row>
    <row r="62">
      <c r="A62" s="26" t="inlineStr">
        <is>
          <t>Galerie</t>
        </is>
      </c>
      <c r="B62" s="33">
        <f>COUNTIF(Artikelstamm!$H$3:$H$300,$A62)</f>
        <v/>
      </c>
      <c r="C62" s="34">
        <f>SUMPRODUCT((Artikelstamm!$H$3:$H$300=$A62)*Artikelstamm!$K$3:$K$300*Artikelstamm!$AE$3:$AE$300)</f>
        <v/>
      </c>
      <c r="D62" s="34">
        <f>SUMIF(Artikelstamm!$H$3:$H$300,$A62,Artikelstamm!$U$3:$U$300)</f>
        <v/>
      </c>
    </row>
    <row r="63">
      <c r="A63" s="26" t="inlineStr">
        <is>
          <t>Garage</t>
        </is>
      </c>
      <c r="B63" s="33">
        <f>COUNTIF(Artikelstamm!$H$3:$H$300,$A63)</f>
        <v/>
      </c>
      <c r="C63" s="34">
        <f>SUMPRODUCT((Artikelstamm!$H$3:$H$300=$A63)*Artikelstamm!$K$3:$K$300*Artikelstamm!$AE$3:$AE$300)</f>
        <v/>
      </c>
      <c r="D63" s="34">
        <f>SUMIF(Artikelstamm!$H$3:$H$300,$A63,Artikelstamm!$U$3:$U$300)</f>
        <v/>
      </c>
    </row>
    <row r="64">
      <c r="A64" s="26" t="inlineStr">
        <is>
          <t>Gartenanlage</t>
        </is>
      </c>
      <c r="B64" s="33">
        <f>COUNTIF(Artikelstamm!$H$3:$H$300,$A64)</f>
        <v/>
      </c>
      <c r="C64" s="34">
        <f>SUMPRODUCT((Artikelstamm!$H$3:$H$300=$A64)*Artikelstamm!$K$3:$K$300*Artikelstamm!$AE$3:$AE$300)</f>
        <v/>
      </c>
      <c r="D64" s="34">
        <f>SUMIF(Artikelstamm!$H$3:$H$300,$A64,Artikelstamm!$U$3:$U$300)</f>
        <v/>
      </c>
    </row>
    <row r="65">
      <c r="A65" s="26" t="inlineStr">
        <is>
          <t>Gruppenraum</t>
        </is>
      </c>
      <c r="B65" s="33">
        <f>COUNTIF(Artikelstamm!$H$3:$H$300,$A65)</f>
        <v/>
      </c>
      <c r="C65" s="34">
        <f>SUMPRODUCT((Artikelstamm!$H$3:$H$300=$A65)*Artikelstamm!$K$3:$K$300*Artikelstamm!$AE$3:$AE$300)</f>
        <v/>
      </c>
      <c r="D65" s="34">
        <f>SUMIF(Artikelstamm!$H$3:$H$300,$A65,Artikelstamm!$U$3:$U$300)</f>
        <v/>
      </c>
    </row>
    <row r="66">
      <c r="A66" s="26" t="inlineStr">
        <is>
          <t>Gruppenraum 2</t>
        </is>
      </c>
      <c r="B66" s="33">
        <f>COUNTIF(Artikelstamm!$H$3:$H$300,$A66)</f>
        <v/>
      </c>
      <c r="C66" s="34">
        <f>SUMPRODUCT((Artikelstamm!$H$3:$H$300=$A66)*Artikelstamm!$K$3:$K$300*Artikelstamm!$AE$3:$AE$300)</f>
        <v/>
      </c>
      <c r="D66" s="34">
        <f>SUMIF(Artikelstamm!$H$3:$H$300,$A66,Artikelstamm!$U$3:$U$300)</f>
        <v/>
      </c>
    </row>
    <row r="67">
      <c r="A67" s="26" t="inlineStr">
        <is>
          <t>Gruppenraum 4</t>
        </is>
      </c>
      <c r="B67" s="33">
        <f>COUNTIF(Artikelstamm!$H$3:$H$300,$A67)</f>
        <v/>
      </c>
      <c r="C67" s="34">
        <f>SUMPRODUCT((Artikelstamm!$H$3:$H$300=$A67)*Artikelstamm!$K$3:$K$300*Artikelstamm!$AE$3:$AE$300)</f>
        <v/>
      </c>
      <c r="D67" s="34">
        <f>SUMIF(Artikelstamm!$H$3:$H$300,$A67,Artikelstamm!$U$3:$U$300)</f>
        <v/>
      </c>
    </row>
    <row r="68">
      <c r="A68" s="26" t="inlineStr">
        <is>
          <t>Gruppenraum 5</t>
        </is>
      </c>
      <c r="B68" s="33">
        <f>COUNTIF(Artikelstamm!$H$3:$H$300,$A68)</f>
        <v/>
      </c>
      <c r="C68" s="34">
        <f>SUMPRODUCT((Artikelstamm!$H$3:$H$300=$A68)*Artikelstamm!$K$3:$K$300*Artikelstamm!$AE$3:$AE$300)</f>
        <v/>
      </c>
      <c r="D68" s="34">
        <f>SUMIF(Artikelstamm!$H$3:$H$300,$A68,Artikelstamm!$U$3:$U$300)</f>
        <v/>
      </c>
    </row>
    <row r="69">
      <c r="A69" s="26" t="inlineStr">
        <is>
          <t>Klassenzimmer</t>
        </is>
      </c>
      <c r="B69" s="33">
        <f>COUNTIF(Artikelstamm!$H$3:$H$300,$A69)</f>
        <v/>
      </c>
      <c r="C69" s="34">
        <f>SUMPRODUCT((Artikelstamm!$H$3:$H$300=$A69)*Artikelstamm!$K$3:$K$300*Artikelstamm!$AE$3:$AE$300)</f>
        <v/>
      </c>
      <c r="D69" s="34">
        <f>SUMIF(Artikelstamm!$H$3:$H$300,$A69,Artikelstamm!$U$3:$U$300)</f>
        <v/>
      </c>
    </row>
    <row r="70">
      <c r="A70" s="26" t="inlineStr">
        <is>
          <t>Küche</t>
        </is>
      </c>
      <c r="B70" s="33">
        <f>COUNTIF(Artikelstamm!$H$3:$H$300,$A70)</f>
        <v/>
      </c>
      <c r="C70" s="34">
        <f>SUMPRODUCT((Artikelstamm!$H$3:$H$300=$A70)*Artikelstamm!$K$3:$K$300*Artikelstamm!$AE$3:$AE$300)</f>
        <v/>
      </c>
      <c r="D70" s="34">
        <f>SUMIF(Artikelstamm!$H$3:$H$300,$A70,Artikelstamm!$U$3:$U$300)</f>
        <v/>
      </c>
    </row>
    <row r="71">
      <c r="A71" s="26" t="inlineStr">
        <is>
          <t>Material / Turnraum</t>
        </is>
      </c>
      <c r="B71" s="33">
        <f>COUNTIF(Artikelstamm!$H$3:$H$300,$A71)</f>
        <v/>
      </c>
      <c r="C71" s="34">
        <f>SUMPRODUCT((Artikelstamm!$H$3:$H$300=$A71)*Artikelstamm!$K$3:$K$300*Artikelstamm!$AE$3:$AE$300)</f>
        <v/>
      </c>
      <c r="D71" s="34">
        <f>SUMIF(Artikelstamm!$H$3:$H$300,$A71,Artikelstamm!$U$3:$U$300)</f>
        <v/>
      </c>
    </row>
    <row r="72">
      <c r="A72" s="26" t="inlineStr">
        <is>
          <t>Personal</t>
        </is>
      </c>
      <c r="B72" s="33">
        <f>COUNTIF(Artikelstamm!$H$3:$H$300,$A72)</f>
        <v/>
      </c>
      <c r="C72" s="34">
        <f>SUMPRODUCT((Artikelstamm!$H$3:$H$300=$A72)*Artikelstamm!$K$3:$K$300*Artikelstamm!$AE$3:$AE$300)</f>
        <v/>
      </c>
      <c r="D72" s="34">
        <f>SUMIF(Artikelstamm!$H$3:$H$300,$A72,Artikelstamm!$U$3:$U$300)</f>
        <v/>
      </c>
    </row>
    <row r="73">
      <c r="A73" s="26" t="inlineStr">
        <is>
          <t>Ruhe- / Schlafraum</t>
        </is>
      </c>
      <c r="B73" s="33">
        <f>COUNTIF(Artikelstamm!$H$3:$H$300,$A73)</f>
        <v/>
      </c>
      <c r="C73" s="34">
        <f>SUMPRODUCT((Artikelstamm!$H$3:$H$300=$A73)*Artikelstamm!$K$3:$K$300*Artikelstamm!$AE$3:$AE$300)</f>
        <v/>
      </c>
      <c r="D73" s="34">
        <f>SUMIF(Artikelstamm!$H$3:$H$300,$A73,Artikelstamm!$U$3:$U$300)</f>
        <v/>
      </c>
    </row>
    <row r="74">
      <c r="A74" s="26" t="inlineStr">
        <is>
          <t>Schlafraum 4</t>
        </is>
      </c>
      <c r="B74" s="33">
        <f>COUNTIF(Artikelstamm!$H$3:$H$300,$A74)</f>
        <v/>
      </c>
      <c r="C74" s="34">
        <f>SUMPRODUCT((Artikelstamm!$H$3:$H$300=$A74)*Artikelstamm!$K$3:$K$300*Artikelstamm!$AE$3:$AE$300)</f>
        <v/>
      </c>
      <c r="D74" s="34">
        <f>SUMIF(Artikelstamm!$H$3:$H$300,$A74,Artikelstamm!$U$3:$U$300)</f>
        <v/>
      </c>
    </row>
    <row r="75">
      <c r="A75" s="26" t="inlineStr">
        <is>
          <t>Schlafraum 5</t>
        </is>
      </c>
      <c r="B75" s="33">
        <f>COUNTIF(Artikelstamm!$H$3:$H$300,$A75)</f>
        <v/>
      </c>
      <c r="C75" s="34">
        <f>SUMPRODUCT((Artikelstamm!$H$3:$H$300=$A75)*Artikelstamm!$K$3:$K$300*Artikelstamm!$AE$3:$AE$300)</f>
        <v/>
      </c>
      <c r="D75" s="34">
        <f>SUMIF(Artikelstamm!$H$3:$H$300,$A75,Artikelstamm!$U$3:$U$300)</f>
        <v/>
      </c>
    </row>
    <row r="76">
      <c r="A76" s="26" t="inlineStr">
        <is>
          <t>Speisesaal</t>
        </is>
      </c>
      <c r="B76" s="33">
        <f>COUNTIF(Artikelstamm!$H$3:$H$300,$A76)</f>
        <v/>
      </c>
      <c r="C76" s="34">
        <f>SUMPRODUCT((Artikelstamm!$H$3:$H$300=$A76)*Artikelstamm!$K$3:$K$300*Artikelstamm!$AE$3:$AE$300)</f>
        <v/>
      </c>
      <c r="D76" s="34">
        <f>SUMIF(Artikelstamm!$H$3:$H$300,$A76,Artikelstamm!$U$3:$U$300)</f>
        <v/>
      </c>
    </row>
    <row r="77">
      <c r="A77" s="26" t="inlineStr">
        <is>
          <t>Terrasse</t>
        </is>
      </c>
      <c r="B77" s="33">
        <f>COUNTIF(Artikelstamm!$H$3:$H$300,$A77)</f>
        <v/>
      </c>
      <c r="C77" s="34">
        <f>SUMPRODUCT((Artikelstamm!$H$3:$H$300=$A77)*Artikelstamm!$K$3:$K$300*Artikelstamm!$AE$3:$AE$300)</f>
        <v/>
      </c>
      <c r="D77" s="34">
        <f>SUMIF(Artikelstamm!$H$3:$H$300,$A77,Artikelstamm!$U$3:$U$300)</f>
        <v/>
      </c>
    </row>
    <row r="78">
      <c r="A78" s="26" t="inlineStr">
        <is>
          <t>Treppenraum 1</t>
        </is>
      </c>
      <c r="B78" s="33">
        <f>COUNTIF(Artikelstamm!$H$3:$H$300,$A78)</f>
        <v/>
      </c>
      <c r="C78" s="34">
        <f>SUMPRODUCT((Artikelstamm!$H$3:$H$300=$A78)*Artikelstamm!$K$3:$K$300*Artikelstamm!$AE$3:$AE$300)</f>
        <v/>
      </c>
      <c r="D78" s="34">
        <f>SUMIF(Artikelstamm!$H$3:$H$300,$A78,Artikelstamm!$U$3:$U$300)</f>
        <v/>
      </c>
    </row>
    <row r="79">
      <c r="A79" s="26" t="inlineStr">
        <is>
          <t>Turnraum</t>
        </is>
      </c>
      <c r="B79" s="33">
        <f>COUNTIF(Artikelstamm!$H$3:$H$300,$A79)</f>
        <v/>
      </c>
      <c r="C79" s="34">
        <f>SUMPRODUCT((Artikelstamm!$H$3:$H$300=$A79)*Artikelstamm!$K$3:$K$300*Artikelstamm!$AE$3:$AE$300)</f>
        <v/>
      </c>
      <c r="D79" s="34">
        <f>SUMIF(Artikelstamm!$H$3:$H$300,$A79,Artikelstamm!$U$3:$U$300)</f>
        <v/>
      </c>
    </row>
    <row r="80">
      <c r="A80" s="26" t="inlineStr">
        <is>
          <t>WC</t>
        </is>
      </c>
      <c r="B80" s="33">
        <f>COUNTIF(Artikelstamm!$H$3:$H$300,$A80)</f>
        <v/>
      </c>
      <c r="C80" s="34">
        <f>SUMPRODUCT((Artikelstamm!$H$3:$H$300=$A80)*Artikelstamm!$K$3:$K$300*Artikelstamm!$AE$3:$AE$300)</f>
        <v/>
      </c>
      <c r="D80" s="34">
        <f>SUMIF(Artikelstamm!$H$3:$H$300,$A80,Artikelstamm!$U$3:$U$300)</f>
        <v/>
      </c>
    </row>
    <row r="81">
      <c r="A81" s="26" t="inlineStr">
        <is>
          <t>WC Personal</t>
        </is>
      </c>
      <c r="B81" s="33">
        <f>COUNTIF(Artikelstamm!$H$3:$H$300,$A81)</f>
        <v/>
      </c>
      <c r="C81" s="34">
        <f>SUMPRODUCT((Artikelstamm!$H$3:$H$300=$A81)*Artikelstamm!$K$3:$K$300*Artikelstamm!$AE$3:$AE$300)</f>
        <v/>
      </c>
      <c r="D81" s="34">
        <f>SUMIF(Artikelstamm!$H$3:$H$300,$A81,Artikelstamm!$U$3:$U$300)</f>
        <v/>
      </c>
    </row>
    <row r="82">
      <c r="A82" s="26" t="inlineStr">
        <is>
          <t>Werkraum</t>
        </is>
      </c>
      <c r="B82" s="33">
        <f>COUNTIF(Artikelstamm!$H$3:$H$300,$A82)</f>
        <v/>
      </c>
      <c r="C82" s="34">
        <f>SUMPRODUCT((Artikelstamm!$H$3:$H$300=$A82)*Artikelstamm!$K$3:$K$300*Artikelstamm!$AE$3:$AE$300)</f>
        <v/>
      </c>
      <c r="D82" s="34">
        <f>SUMIF(Artikelstamm!$H$3:$H$300,$A82,Artikelstamm!$U$3:$U$300)</f>
        <v/>
      </c>
    </row>
    <row r="83">
      <c r="A83" s="28" t="inlineStr">
        <is>
          <t>Summe</t>
        </is>
      </c>
      <c r="B83" s="35">
        <f>SUM(B55:B82)</f>
        <v/>
      </c>
      <c r="C83" s="36">
        <f>SUM(C55:C82)</f>
        <v/>
      </c>
      <c r="D83" s="36">
        <f>SUM(D55:D82)</f>
        <v/>
      </c>
    </row>
    <row r="85">
      <c r="A85" s="25" t="inlineStr">
        <is>
          <t>Nach Verkaufskanal</t>
        </is>
      </c>
    </row>
    <row r="86">
      <c r="A86" s="32" t="inlineStr">
        <is>
          <t>Verkaufskanal</t>
        </is>
      </c>
      <c r="B86" s="32" t="inlineStr">
        <is>
          <t>Positionen</t>
        </is>
      </c>
      <c r="C86" s="32" t="inlineStr">
        <is>
          <t>Umsatz netto</t>
        </is>
      </c>
    </row>
    <row r="87">
      <c r="A87" s="26" t="inlineStr">
        <is>
          <t>Klinik</t>
        </is>
      </c>
      <c r="B87" s="33">
        <f>COUNTIF(Artikelstamm!$AC$3:$AC$300,$A87)</f>
        <v/>
      </c>
      <c r="C87" s="34">
        <f>SUMPRODUCT((Artikelstamm!$AC$3:$AC$300=$A87)*Artikelstamm!$K$3:$K$300*Artikelstamm!$AE$3:$AE$300)</f>
        <v/>
      </c>
    </row>
    <row r="88">
      <c r="A88" s="26" t="inlineStr">
        <is>
          <t>Kleinanzeigen</t>
        </is>
      </c>
      <c r="B88" s="33">
        <f>COUNTIF(Artikelstamm!$AC$3:$AC$300,$A88)</f>
        <v/>
      </c>
      <c r="C88" s="34">
        <f>SUMPRODUCT((Artikelstamm!$AC$3:$AC$300=$A88)*Artikelstamm!$K$3:$K$300*Artikelstamm!$AE$3:$AE$300)</f>
        <v/>
      </c>
    </row>
    <row r="89">
      <c r="A89" s="26" t="inlineStr">
        <is>
          <t>eBay</t>
        </is>
      </c>
      <c r="B89" s="33">
        <f>COUNTIF(Artikelstamm!$AC$3:$AC$300,$A89)</f>
        <v/>
      </c>
      <c r="C89" s="34">
        <f>SUMPRODUCT((Artikelstamm!$AC$3:$AC$300=$A89)*Artikelstamm!$K$3:$K$300*Artikelstamm!$AE$3:$AE$300)</f>
        <v/>
      </c>
    </row>
    <row r="90">
      <c r="A90" s="26" t="inlineStr">
        <is>
          <t>Direkt</t>
        </is>
      </c>
      <c r="B90" s="33">
        <f>COUNTIF(Artikelstamm!$AC$3:$AC$300,$A90)</f>
        <v/>
      </c>
      <c r="C90" s="34">
        <f>SUMPRODUCT((Artikelstamm!$AC$3:$AC$300=$A90)*Artikelstamm!$K$3:$K$300*Artikelstamm!$AE$3:$AE$300)</f>
        <v/>
      </c>
    </row>
    <row r="91">
      <c r="A91" s="26" t="inlineStr">
        <is>
          <t>Händler</t>
        </is>
      </c>
      <c r="B91" s="33">
        <f>COUNTIF(Artikelstamm!$AC$3:$AC$300,$A91)</f>
        <v/>
      </c>
      <c r="C91" s="34">
        <f>SUMPRODUCT((Artikelstamm!$AC$3:$AC$300=$A91)*Artikelstamm!$K$3:$K$300*Artikelstamm!$AE$3:$AE$300)</f>
        <v/>
      </c>
    </row>
    <row r="92">
      <c r="A92" s="26" t="inlineStr">
        <is>
          <t>Verkaufstag</t>
        </is>
      </c>
      <c r="B92" s="33">
        <f>COUNTIF(Artikelstamm!$AC$3:$AC$300,$A92)</f>
        <v/>
      </c>
      <c r="C92" s="34">
        <f>SUMPRODUCT((Artikelstamm!$AC$3:$AC$300=$A92)*Artikelstamm!$K$3:$K$300*Artikelstamm!$AE$3:$AE$300)</f>
        <v/>
      </c>
    </row>
    <row r="93">
      <c r="A93" s="28" t="inlineStr">
        <is>
          <t>Summe</t>
        </is>
      </c>
      <c r="B93" s="35">
        <f>SUM(B87:B92)</f>
        <v/>
      </c>
      <c r="C93" s="36">
        <f>SUM(C87:C92)</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2026-09-23T07:23:20Z</dcterms:created>
  <dcterms:modified xmlns:dcterms="http://purl.org/dc/terms/" xmlns:xsi="http://www.w3.org/2001/XMLSchema-instance" xsi:type="dcterms:W3CDTF">2026-09-23T07:23:21Z</dcterms:modified>
</cp:coreProperties>
</file>