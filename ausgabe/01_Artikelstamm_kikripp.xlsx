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leitung" sheetId="1" state="visible" r:id="rId1"/>
    <sheet xmlns:r="http://schemas.openxmlformats.org/officeDocument/2006/relationships" name="Artikelstamm" sheetId="2" state="visible" r:id="rId2"/>
    <sheet xmlns:r="http://schemas.openxmlformats.org/officeDocument/2006/relationships" name="Verkaufsübersicht" sheetId="3" state="visible" r:id="rId3"/>
    <sheet xmlns:r="http://schemas.openxmlformats.org/officeDocument/2006/relationships" name="Rechnungen (DATEV)" sheetId="4" state="visible" r:id="rId4"/>
    <sheet xmlns:r="http://schemas.openxmlformats.org/officeDocument/2006/relationships" name="Kasse" sheetId="5" state="visible" r:id="rId5"/>
    <sheet xmlns:r="http://schemas.openxmlformats.org/officeDocument/2006/relationships" name="Design" sheetId="6" state="visible" r:id="rId6"/>
  </sheets>
  <definedNames>
    <definedName name="_xlnm._FilterDatabase" localSheetId="1" hidden="1">'Artikelstamm'!$A$2:$AL$155</definedName>
  </definedNames>
  <calcPr calcId="124519" fullCalcOnLoad="1"/>
</workbook>
</file>

<file path=xl/styles.xml><?xml version="1.0" encoding="utf-8"?>
<styleSheet xmlns="http://schemas.openxmlformats.org/spreadsheetml/2006/main">
  <numFmts count="1">
    <numFmt numFmtId="164" formatCode="#,##0.00 &quot;€&quot;"/>
  </numFmts>
  <fonts count="18">
    <font>
      <name val="Calibri"/>
      <family val="2"/>
      <color theme="1"/>
      <sz val="11"/>
      <scheme val="minor"/>
    </font>
    <font>
      <name val="Arial"/>
      <b val="1"/>
      <color rgb="00FFFFFF"/>
      <sz val="15"/>
    </font>
    <font>
      <name val="Arial"/>
      <i val="1"/>
      <color rgb="001A1A1A"/>
      <sz val="10"/>
    </font>
    <font>
      <name val="Arial"/>
      <b val="1"/>
      <color rgb="001A1A1A"/>
      <sz val="10"/>
    </font>
    <font>
      <name val="Arial"/>
      <sz val="10"/>
    </font>
    <font>
      <name val="Arial"/>
      <color rgb="00000000"/>
      <sz val="10"/>
    </font>
    <font>
      <name val="Arial"/>
      <color rgb="001A1A1A"/>
      <sz val="10"/>
    </font>
    <font>
      <name val="Arial"/>
      <b val="1"/>
      <color rgb="00FFFFFF"/>
      <sz val="9"/>
    </font>
    <font>
      <name val="Arial"/>
      <b val="1"/>
      <color rgb="00FFFFFF"/>
      <sz val="10"/>
    </font>
    <font>
      <name val="Arial"/>
      <b val="1"/>
      <color rgb="001A1A1A"/>
      <sz val="13"/>
    </font>
    <font>
      <name val="Arial"/>
      <i val="1"/>
      <color rgb="00808080"/>
      <sz val="9"/>
    </font>
    <font>
      <name val="Arial"/>
      <b val="1"/>
      <color rgb="001A1A1A"/>
      <sz val="12"/>
    </font>
    <font>
      <name val="Arial"/>
      <b val="1"/>
      <sz val="10"/>
    </font>
    <font>
      <name val="Arial"/>
      <b val="1"/>
      <color rgb="001A1A1A"/>
      <sz val="14"/>
    </font>
    <font>
      <name val="Arial"/>
      <i val="1"/>
      <color rgb="001A1A1A"/>
      <sz val="9"/>
    </font>
    <font>
      <name val="Arial"/>
      <b val="1"/>
      <sz val="11"/>
    </font>
    <font>
      <name val="Arial"/>
      <b val="1"/>
      <color rgb="00FFFFFF"/>
      <sz val="14"/>
    </font>
    <font>
      <name val="Arial"/>
      <color rgb="006B7280"/>
      <sz val="9"/>
    </font>
  </fonts>
  <fills count="14">
    <fill>
      <patternFill/>
    </fill>
    <fill>
      <patternFill patternType="gray125"/>
    </fill>
    <fill>
      <patternFill patternType="solid">
        <fgColor rgb="001A1A1A"/>
      </patternFill>
    </fill>
    <fill>
      <patternFill patternType="solid">
        <fgColor rgb="00F7F5F2"/>
      </patternFill>
    </fill>
    <fill>
      <patternFill patternType="solid">
        <fgColor rgb="00595959"/>
      </patternFill>
    </fill>
    <fill>
      <patternFill patternType="solid">
        <fgColor rgb="00C8102E"/>
      </patternFill>
    </fill>
    <fill>
      <patternFill patternType="solid">
        <fgColor rgb="00404040"/>
      </patternFill>
    </fill>
    <fill>
      <patternFill patternType="solid">
        <fgColor rgb="008C8C8C"/>
      </patternFill>
    </fill>
    <fill>
      <patternFill patternType="solid">
        <fgColor rgb="007A7A7A"/>
      </patternFill>
    </fill>
    <fill>
      <patternFill patternType="solid">
        <fgColor rgb="00F2F2F2"/>
      </patternFill>
    </fill>
    <fill>
      <patternFill patternType="solid">
        <fgColor rgb="006B7280"/>
      </patternFill>
    </fill>
    <fill>
      <patternFill patternType="solid">
        <fgColor rgb="00DCDCDC"/>
      </patternFill>
    </fill>
    <fill>
      <patternFill patternType="solid">
        <fgColor rgb="00E4E4E4"/>
      </patternFill>
    </fill>
    <fill>
      <patternFill patternType="solid">
        <fgColor rgb="00FAFAFA"/>
      </patternFill>
    </fill>
  </fills>
  <borders count="3">
    <border>
      <left/>
      <right/>
      <top/>
      <bottom/>
      <diagonal/>
    </border>
    <border>
      <left style="thin">
        <color rgb="00DCDCDC"/>
      </left>
      <right style="thin">
        <color rgb="00DCDCDC"/>
      </right>
      <top style="thin">
        <color rgb="00DCDCDC"/>
      </top>
      <bottom style="thin">
        <color rgb="00DCDCDC"/>
      </bottom>
    </border>
    <border>
      <left style="thick">
        <color rgb="00C8102E"/>
      </left>
    </border>
  </borders>
  <cellStyleXfs count="1">
    <xf numFmtId="0" fontId="0" fillId="0" borderId="0"/>
  </cellStyleXfs>
  <cellXfs count="60">
    <xf numFmtId="0" fontId="0" fillId="0" borderId="0" pivotButton="0" quotePrefix="0" xfId="0"/>
    <xf numFmtId="0" fontId="1" fillId="2" borderId="0" applyAlignment="1" pivotButton="0" quotePrefix="0" xfId="0">
      <alignment vertical="center"/>
    </xf>
    <xf numFmtId="0" fontId="0" fillId="2" borderId="0" pivotButton="0" quotePrefix="0" xfId="0"/>
    <xf numFmtId="0" fontId="2" fillId="3" borderId="0" applyAlignment="1" pivotButton="0" quotePrefix="0" xfId="0">
      <alignment vertical="center" wrapText="1"/>
    </xf>
    <xf numFmtId="0" fontId="3" fillId="0" borderId="0" applyAlignment="1" pivotButton="0" quotePrefix="0" xfId="0">
      <alignment vertical="top"/>
    </xf>
    <xf numFmtId="0" fontId="4" fillId="0" borderId="0" applyAlignment="1" pivotButton="0" quotePrefix="0" xfId="0">
      <alignment vertical="top" wrapText="1"/>
    </xf>
    <xf numFmtId="0" fontId="5" fillId="0" borderId="0" applyAlignment="1" pivotButton="0" quotePrefix="0" xfId="0">
      <alignment vertical="top"/>
    </xf>
    <xf numFmtId="0" fontId="6" fillId="0" borderId="0" applyAlignment="1" pivotButton="0" quotePrefix="0" xfId="0">
      <alignment vertical="top"/>
    </xf>
    <xf numFmtId="0" fontId="7" fillId="2" borderId="0" applyAlignment="1" pivotButton="0" quotePrefix="0" xfId="0">
      <alignment horizontal="center" vertical="center"/>
    </xf>
    <xf numFmtId="0" fontId="7" fillId="4" borderId="0" applyAlignment="1" pivotButton="0" quotePrefix="0" xfId="0">
      <alignment horizontal="center" vertical="center"/>
    </xf>
    <xf numFmtId="0" fontId="7" fillId="5" borderId="0" applyAlignment="1" pivotButton="0" quotePrefix="0" xfId="0">
      <alignment horizontal="center" vertical="center"/>
    </xf>
    <xf numFmtId="0" fontId="7" fillId="6" borderId="0" applyAlignment="1" pivotButton="0" quotePrefix="0" xfId="0">
      <alignment horizontal="center" vertical="center"/>
    </xf>
    <xf numFmtId="0" fontId="7" fillId="7" borderId="0" applyAlignment="1" pivotButton="0" quotePrefix="0" xfId="0">
      <alignment horizontal="center" vertical="center"/>
    </xf>
    <xf numFmtId="0" fontId="8" fillId="2" borderId="1" applyAlignment="1" pivotButton="0" quotePrefix="0" xfId="0">
      <alignment horizontal="center" vertical="center" wrapText="1"/>
    </xf>
    <xf numFmtId="0" fontId="8" fillId="8" borderId="1" applyAlignment="1" pivotButton="0" quotePrefix="0" xfId="0">
      <alignment horizontal="center" vertical="center" wrapText="1"/>
    </xf>
    <xf numFmtId="0" fontId="4" fillId="0" borderId="1" applyAlignment="1" pivotButton="0" quotePrefix="0" xfId="0">
      <alignment vertical="top"/>
    </xf>
    <xf numFmtId="0" fontId="4" fillId="0" borderId="1" applyAlignment="1" pivotButton="0" quotePrefix="0" xfId="0">
      <alignment vertical="top" wrapText="1"/>
    </xf>
    <xf numFmtId="1" fontId="4" fillId="9" borderId="1" applyAlignment="1" pivotButton="0" quotePrefix="0" xfId="0">
      <alignment vertical="top"/>
    </xf>
    <xf numFmtId="1" fontId="4" fillId="0" borderId="1" applyAlignment="1" pivotButton="0" quotePrefix="0" xfId="0">
      <alignment vertical="top"/>
    </xf>
    <xf numFmtId="0" fontId="4" fillId="9" borderId="1" applyAlignment="1" pivotButton="0" quotePrefix="0" xfId="0">
      <alignment vertical="top"/>
    </xf>
    <xf numFmtId="164" fontId="4" fillId="9" borderId="1" applyAlignment="1" pivotButton="0" quotePrefix="0" xfId="0">
      <alignment vertical="top"/>
    </xf>
    <xf numFmtId="164" fontId="4" fillId="0" borderId="1" applyAlignment="1" pivotButton="0" quotePrefix="0" xfId="0">
      <alignment vertical="top"/>
    </xf>
    <xf numFmtId="0" fontId="4" fillId="9" borderId="1" applyAlignment="1" pivotButton="0" quotePrefix="0" xfId="0">
      <alignment vertical="top" wrapText="1"/>
    </xf>
    <xf numFmtId="0" fontId="9" fillId="0" borderId="0" pivotButton="0" quotePrefix="0" xfId="0"/>
    <xf numFmtId="0" fontId="10" fillId="0" borderId="0" pivotButton="0" quotePrefix="0" xfId="0"/>
    <xf numFmtId="0" fontId="11" fillId="0" borderId="0" pivotButton="0" quotePrefix="0" xfId="0"/>
    <xf numFmtId="0" fontId="4" fillId="0" borderId="0" pivotButton="0" quotePrefix="0" xfId="0"/>
    <xf numFmtId="1" fontId="4" fillId="0" borderId="0" applyAlignment="1" pivotButton="0" quotePrefix="0" xfId="0">
      <alignment horizontal="right"/>
    </xf>
    <xf numFmtId="0" fontId="12" fillId="0" borderId="0" pivotButton="0" quotePrefix="0" xfId="0"/>
    <xf numFmtId="164" fontId="12" fillId="3" borderId="0" applyAlignment="1" pivotButton="0" quotePrefix="0" xfId="0">
      <alignment horizontal="right"/>
    </xf>
    <xf numFmtId="164" fontId="4" fillId="0" borderId="0" applyAlignment="1" pivotButton="0" quotePrefix="0" xfId="0">
      <alignment horizontal="right"/>
    </xf>
    <xf numFmtId="1" fontId="12" fillId="3" borderId="0" applyAlignment="1" pivotButton="0" quotePrefix="0" xfId="0">
      <alignment horizontal="right"/>
    </xf>
    <xf numFmtId="0" fontId="8" fillId="6" borderId="0" pivotButton="0" quotePrefix="0" xfId="0"/>
    <xf numFmtId="1" fontId="4" fillId="0" borderId="0" pivotButton="0" quotePrefix="0" xfId="0"/>
    <xf numFmtId="164" fontId="4" fillId="0" borderId="0" pivotButton="0" quotePrefix="0" xfId="0"/>
    <xf numFmtId="1" fontId="12" fillId="3" borderId="0" pivotButton="0" quotePrefix="0" xfId="0"/>
    <xf numFmtId="164" fontId="12" fillId="3" borderId="0" pivotButton="0" quotePrefix="0" xfId="0"/>
    <xf numFmtId="0" fontId="13" fillId="0" borderId="0" pivotButton="0" quotePrefix="0" xfId="0"/>
    <xf numFmtId="0" fontId="14" fillId="3" borderId="2" applyAlignment="1" pivotButton="0" quotePrefix="0" xfId="0">
      <alignment vertical="center" wrapText="1"/>
    </xf>
    <xf numFmtId="0" fontId="8" fillId="6" borderId="1" applyAlignment="1" pivotButton="0" quotePrefix="0" xfId="0">
      <alignment horizontal="center" vertical="center" wrapText="1"/>
    </xf>
    <xf numFmtId="0" fontId="4" fillId="0" borderId="1" pivotButton="0" quotePrefix="0" xfId="0"/>
    <xf numFmtId="0" fontId="4" fillId="9" borderId="1" pivotButton="0" quotePrefix="0" xfId="0"/>
    <xf numFmtId="164" fontId="4" fillId="9" borderId="1" pivotButton="0" quotePrefix="0" xfId="0"/>
    <xf numFmtId="164" fontId="4" fillId="0" borderId="1" pivotButton="0" quotePrefix="0" xfId="0"/>
    <xf numFmtId="0" fontId="15" fillId="0" borderId="0" pivotButton="0" quotePrefix="0" xfId="0"/>
    <xf numFmtId="164" fontId="15" fillId="3" borderId="1" pivotButton="0" quotePrefix="0" xfId="0"/>
    <xf numFmtId="164" fontId="0" fillId="0" borderId="0" pivotButton="0" quotePrefix="0" xfId="0"/>
    <xf numFmtId="0" fontId="16" fillId="2" borderId="0" applyAlignment="1" pivotButton="0" quotePrefix="0" xfId="0">
      <alignment vertical="center" indent="1"/>
    </xf>
    <xf numFmtId="0" fontId="8" fillId="6" borderId="1" applyAlignment="1" pivotButton="0" quotePrefix="0" xfId="0">
      <alignment horizontal="center" vertical="center"/>
    </xf>
    <xf numFmtId="0" fontId="8" fillId="4" borderId="1" applyAlignment="1" pivotButton="0" quotePrefix="0" xfId="0">
      <alignment horizontal="center" vertical="center"/>
    </xf>
    <xf numFmtId="0" fontId="12" fillId="0" borderId="1" pivotButton="0" quotePrefix="0" xfId="0"/>
    <xf numFmtId="0" fontId="17" fillId="0" borderId="1" pivotButton="0" quotePrefix="0" xfId="0"/>
    <xf numFmtId="0" fontId="17" fillId="5" borderId="1" pivotButton="0" quotePrefix="0" xfId="0"/>
    <xf numFmtId="0" fontId="17" fillId="2" borderId="1" pivotButton="0" quotePrefix="0" xfId="0"/>
    <xf numFmtId="0" fontId="17" fillId="3" borderId="1" pivotButton="0" quotePrefix="0" xfId="0"/>
    <xf numFmtId="0" fontId="17" fillId="10" borderId="1" pivotButton="0" quotePrefix="0" xfId="0"/>
    <xf numFmtId="0" fontId="17" fillId="11" borderId="1" pivotButton="0" quotePrefix="0" xfId="0"/>
    <xf numFmtId="0" fontId="17" fillId="12" borderId="1" pivotButton="0" quotePrefix="0" xfId="0"/>
    <xf numFmtId="0" fontId="17" fillId="9" borderId="1" pivotButton="0" quotePrefix="0" xfId="0"/>
    <xf numFmtId="0" fontId="17" fillId="13" borderId="1" pivotButton="0" quotePrefix="0" xfId="0"/>
  </cellXfs>
  <cellStyles count="1">
    <cellStyle name="Normal" xfId="0" builtinId="0" hidden="0"/>
  </cellStyles>
  <dxfs count="5">
    <dxf>
      <fill>
        <patternFill patternType="solid">
          <bgColor rgb="00E4E4E4"/>
        </patternFill>
      </fill>
    </dxf>
    <dxf>
      <fill>
        <patternFill patternType="solid">
          <bgColor rgb="00DCDCDC"/>
        </patternFill>
      </fill>
    </dxf>
    <dxf>
      <fill>
        <patternFill patternType="solid">
          <bgColor rgb="00C9C9C9"/>
        </patternFill>
      </fill>
    </dxf>
    <dxf>
      <font>
        <name val="Arial"/>
        <b val="1"/>
        <color rgb="00C8102E"/>
        <sz val="10"/>
      </font>
    </dxf>
    <dxf>
      <font>
        <name val="Arial"/>
        <i val="1"/>
        <color rgb="007A7A7A"/>
        <sz val="10"/>
      </font>
      <fill>
        <patternFill patternType="solid">
          <bgColor rgb="00C9C9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0</colOff>
      <row>0</row>
      <rowOff>0</rowOff>
    </from>
    <ext cx="80962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21"/>
  <sheetViews>
    <sheetView workbookViewId="0">
      <selection activeCell="A1" sqref="A1"/>
    </sheetView>
  </sheetViews>
  <sheetFormatPr baseColWidth="8" defaultRowHeight="15"/>
  <cols>
    <col width="30" customWidth="1" min="1" max="1"/>
    <col width="104" customWidth="1" min="2" max="2"/>
  </cols>
  <sheetData>
    <row r="1" ht="42" customHeight="1">
      <c r="A1" s="1" t="inlineStr">
        <is>
          <t xml:space="preserve">        Artikelverwaltung Betriebsauflösung – Kurzanleitung</t>
        </is>
      </c>
      <c r="B1" s="2" t="n"/>
    </row>
    <row r="2" ht="28" customHeight="1">
      <c r="A2" s="3" t="inlineStr">
        <is>
          <t>Diese Datei liegt in OneDrive und ist die einzige Quelle der Wahrheit. Bitte immer direkt hier arbeiten – nicht herunterladen, bearbeiten und wieder hochladen.</t>
        </is>
      </c>
    </row>
    <row r="4" ht="12" customHeight="1">
      <c r="A4" s="4" t="inlineStr">
        <is>
          <t>Die vier Blätter</t>
        </is>
      </c>
      <c r="B4" s="5" t="inlineStr"/>
    </row>
    <row r="5" ht="30" customHeight="1">
      <c r="A5" s="6" t="inlineStr">
        <is>
          <t xml:space="preserve">  Artikelstamm</t>
        </is>
      </c>
      <c r="B5" s="5" t="inlineStr">
        <is>
          <t>Alle Artikel. Hier wird gepflegt. Grau hinterlegte Spalten sind die Felder zum Ausfüllen, alles andere rechnet sich selbst oder bleibt stehen.</t>
        </is>
      </c>
    </row>
    <row r="6" ht="30" customHeight="1">
      <c r="A6" s="6" t="inlineStr">
        <is>
          <t xml:space="preserve">  Verkaufsübersicht</t>
        </is>
      </c>
      <c r="B6" s="5" t="inlineStr">
        <is>
          <t>Reines Auswertungsblatt. Umsatz, offene Rechnungen, Restbestand – rechnet automatisch. Hier nichts eintragen.</t>
        </is>
      </c>
    </row>
    <row r="7" ht="30" customHeight="1">
      <c r="A7" s="6" t="inlineStr">
        <is>
          <t xml:space="preserve">  Rechnungen (DATEV)</t>
        </is>
      </c>
      <c r="B7" s="5" t="inlineStr">
        <is>
          <t>Abtippliste: je Zeile eine Rechnung, in der Reihenfolge der DATEV-Erfassungsmaske. Ausdrucken und abarbeiten.</t>
        </is>
      </c>
    </row>
    <row r="8" ht="30" customHeight="1">
      <c r="A8" s="6" t="inlineStr">
        <is>
          <t xml:space="preserve">  Kasse</t>
        </is>
      </c>
      <c r="B8" s="5" t="inlineStr">
        <is>
          <t>Barverkäufe je Tag für das Kassenbuch. Pflicht bei einer GmbH (GoBD).</t>
        </is>
      </c>
    </row>
    <row r="9" ht="12" customHeight="1">
      <c r="A9" s="7" t="inlineStr"/>
      <c r="B9" s="5" t="inlineStr"/>
    </row>
    <row r="10" ht="12" customHeight="1">
      <c r="A10" s="4" t="inlineStr">
        <is>
          <t>Die wichtigsten Regeln</t>
        </is>
      </c>
      <c r="B10" s="5" t="inlineStr"/>
    </row>
    <row r="11" ht="30" customHeight="1">
      <c r="A11" s="6" t="inlineStr">
        <is>
          <t xml:space="preserve">  Ein Artikel verkauft</t>
        </is>
      </c>
      <c r="B11" s="5" t="inlineStr">
        <is>
          <t>Status auf „verkauft“, Verkaufspreis, Verkaufte Menge, Käufer und Datum eintragen. Der Rest rechnet sich.</t>
        </is>
      </c>
    </row>
    <row r="12" ht="30" customHeight="1">
      <c r="A12" s="6" t="inlineStr">
        <is>
          <t xml:space="preserve">  Reservierung</t>
        </is>
      </c>
      <c r="B12" s="5" t="inlineStr">
        <is>
          <t>Status auf „reserviert“, Name und Abholtermin eintragen. Ohne Abholtermin keine Reservierung – sonst blockiert die Ware.</t>
        </is>
      </c>
    </row>
    <row r="13" ht="30" customHeight="1">
      <c r="A13" s="6" t="inlineStr">
        <is>
          <t xml:space="preserve">  Restmenge</t>
        </is>
      </c>
      <c r="B13" s="5" t="inlineStr">
        <is>
          <t>Rechnet sich aus Menge minus verkaufter Menge. Nicht überschreiben.</t>
        </is>
      </c>
    </row>
    <row r="14" ht="30" customHeight="1">
      <c r="A14" s="6" t="inlineStr">
        <is>
          <t xml:space="preserve">  Preise</t>
        </is>
      </c>
      <c r="B14" s="5" t="inlineStr">
        <is>
          <t>Immer netto pro Einheit. Firmen bekommen Nettopreise, Privatpersonen müssen den Bruttopreis sehen (Preisangabenverordnung).</t>
        </is>
      </c>
    </row>
    <row r="15" ht="30" customHeight="1">
      <c r="A15" s="6" t="inlineStr">
        <is>
          <t xml:space="preserve">  Wertklasse</t>
        </is>
      </c>
      <c r="B15" s="5" t="inlineStr">
        <is>
          <t>A = Wertträger, einzeln vermarkten · B = Einzelposition im Katalog · C = Kleinteil, geht in den Verkaufstag.</t>
        </is>
      </c>
    </row>
    <row r="16" ht="30" customHeight="1">
      <c r="A16" s="6" t="inlineStr">
        <is>
          <t xml:space="preserve">  Barzahlung</t>
        </is>
      </c>
      <c r="B16" s="5" t="inlineStr">
        <is>
          <t>Immer zusätzlich im Blatt „Kasse“ erfassen. Die Rechnung mit dem Vermerk „bar erhalten“ allein genügt bei einer GmbH nicht.</t>
        </is>
      </c>
    </row>
    <row r="17" ht="30" customHeight="1">
      <c r="A17" s="6" t="inlineStr">
        <is>
          <t xml:space="preserve">  Anlagennummer</t>
        </is>
      </c>
      <c r="B17" s="5" t="inlineStr">
        <is>
          <t>Wenn bekannt eintragen – der Steuerberater braucht sie für den Anlagenabgang.</t>
        </is>
      </c>
    </row>
    <row r="18" ht="12" customHeight="1">
      <c r="A18" s="7" t="inlineStr"/>
      <c r="B18" s="5" t="inlineStr"/>
    </row>
    <row r="19" ht="30" customHeight="1">
      <c r="A19" s="4" t="inlineStr">
        <is>
          <t>Hinweise zu den Preisen</t>
        </is>
      </c>
      <c r="B19" s="5" t="inlineStr">
        <is>
          <t>Alle Preise in dieser Datei sind Schätzwerte auf Basis der Fotos. Maße, Marken und Stückzahlen fehlen teilweise – die gelb markierten Spalten „Maße“ und „Preis_netto“ sind zur Überarbeitung gedacht.</t>
        </is>
      </c>
    </row>
    <row r="20" ht="30" customHeight="1">
      <c r="A20" s="4" t="inlineStr">
        <is>
          <t>Designmöbel</t>
        </is>
      </c>
      <c r="B20" s="5" t="inlineStr">
        <is>
          <t>Vitra Alcove und USM Haller sind als solche vermerkt. Für beide gibt es einen eigenen Gebrauchtmarkt mit Fachhändlern – dort sind höhere Preise erzielbar als im Sammelangebot.</t>
        </is>
      </c>
    </row>
    <row r="21" ht="30" customHeight="1">
      <c r="A21" s="4" t="inlineStr">
        <is>
          <t>Kunst</t>
        </is>
      </c>
      <c r="B21" s="5" t="inlineStr">
        <is>
          <t>Die Acrylbilder sind Eigenarbeiten einer Privatperson, die Schwarzwald-Trachtenmotive sind Kaufware. Beides ist in der Beschreibung vermerkt.</t>
        </is>
      </c>
    </row>
  </sheetData>
  <mergeCells count="2">
    <mergeCell ref="A2:B2"/>
    <mergeCell ref="A1:B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L155"/>
  <sheetViews>
    <sheetView workbookViewId="0">
      <pane xSplit="2" ySplit="2" topLeftCell="C3" activePane="bottomRight" state="frozen"/>
      <selection pane="topRight"/>
      <selection pane="bottomLeft"/>
      <selection pane="bottomRight" activeCell="A1" sqref="A1"/>
    </sheetView>
  </sheetViews>
  <sheetFormatPr baseColWidth="8" defaultRowHeight="15"/>
  <cols>
    <col width="10" customWidth="1" min="1" max="1"/>
    <col width="10" customWidth="1" min="2" max="2"/>
    <col width="10" customWidth="1" min="3" max="3"/>
    <col width="34" customWidth="1" min="4" max="4"/>
    <col width="54" customWidth="1" min="5" max="5"/>
    <col width="18" customWidth="1" min="6" max="6"/>
    <col width="20" customWidth="1" min="7" max="7"/>
    <col width="10" customWidth="1" min="8" max="8"/>
    <col width="8" customWidth="1" min="9" max="9"/>
    <col width="13" customWidth="1" min="10" max="10"/>
    <col width="10" customWidth="1" min="11" max="11"/>
    <col width="10" customWidth="1" min="12" max="12"/>
    <col width="14" customWidth="1" min="13" max="13"/>
    <col width="22" customWidth="1" min="14" max="14"/>
    <col width="9" customWidth="1" min="15" max="15"/>
    <col width="12" customWidth="1" min="16" max="16"/>
    <col width="17" customWidth="1" min="17" max="17"/>
    <col width="13" customWidth="1" min="18" max="18"/>
    <col width="11" customWidth="1" min="19" max="19"/>
    <col width="17" customWidth="1" min="20" max="20"/>
    <col width="16" customWidth="1" min="21" max="21"/>
    <col width="9" customWidth="1" min="22" max="22"/>
    <col width="12" customWidth="1" min="23" max="23"/>
    <col width="18" customWidth="1" min="24" max="24"/>
    <col width="12" customWidth="1" min="25" max="25"/>
    <col width="14" customWidth="1" min="26" max="26"/>
    <col width="14" customWidth="1" min="27" max="27"/>
    <col width="22" customWidth="1" min="28" max="28"/>
    <col width="17" customWidth="1" min="29" max="29"/>
    <col width="14" customWidth="1" min="30" max="30"/>
    <col width="14" customWidth="1" min="31" max="31"/>
    <col width="24" customWidth="1" min="32" max="32"/>
    <col width="14" customWidth="1" min="33" max="33"/>
    <col width="11" customWidth="1" min="34" max="34"/>
    <col width="13" customWidth="1" min="35" max="35"/>
    <col width="13" customWidth="1" min="36" max="36"/>
    <col width="40" customWidth="1" min="37" max="37"/>
    <col width="32" customWidth="1" min="38" max="38"/>
  </cols>
  <sheetData>
    <row r="1" ht="16" customHeight="1">
      <c r="A1" s="8" t="inlineStr">
        <is>
          <t>STAMMDATEN</t>
        </is>
      </c>
      <c r="P1" s="9" t="inlineStr">
        <is>
          <t>BUCHHALTUNG</t>
        </is>
      </c>
      <c r="R1" s="10" t="inlineStr">
        <is>
          <t>PREIS</t>
        </is>
      </c>
      <c r="U1" s="11" t="inlineStr">
        <is>
          <t>VERMARKTUNG</t>
        </is>
      </c>
      <c r="AC1" s="10" t="inlineStr">
        <is>
          <t>VERKAUF</t>
        </is>
      </c>
      <c r="AG1" s="9" t="inlineStr">
        <is>
          <t>KAUFMÄNNISCH</t>
        </is>
      </c>
      <c r="AK1" s="12" t="inlineStr">
        <is>
          <t>NOTIZEN</t>
        </is>
      </c>
    </row>
    <row r="2" ht="32" customHeight="1">
      <c r="A2" s="13" t="inlineStr">
        <is>
          <t>ArtNr</t>
        </is>
      </c>
      <c r="B2" s="13" t="inlineStr">
        <is>
          <t>Alt_ArtNr</t>
        </is>
      </c>
      <c r="C2" s="13" t="inlineStr">
        <is>
          <t>Raumcode</t>
        </is>
      </c>
      <c r="D2" s="13" t="inlineStr">
        <is>
          <t>Bezeichnung</t>
        </is>
      </c>
      <c r="E2" s="13" t="inlineStr">
        <is>
          <t>Beschreibung</t>
        </is>
      </c>
      <c r="F2" s="13" t="inlineStr">
        <is>
          <t>Kategorie</t>
        </is>
      </c>
      <c r="G2" s="13" t="inlineStr">
        <is>
          <t>Raum</t>
        </is>
      </c>
      <c r="H2" s="13" t="inlineStr">
        <is>
          <t>Wertklasse</t>
        </is>
      </c>
      <c r="I2" s="14" t="inlineStr">
        <is>
          <t>Menge</t>
        </is>
      </c>
      <c r="J2" s="14" t="inlineStr">
        <is>
          <t>Verkauft_Menge</t>
        </is>
      </c>
      <c r="K2" s="13" t="inlineStr">
        <is>
          <t>Restmenge</t>
        </is>
      </c>
      <c r="L2" s="13" t="inlineStr">
        <is>
          <t>Einheit</t>
        </is>
      </c>
      <c r="M2" s="13" t="inlineStr">
        <is>
          <t>Zustand</t>
        </is>
      </c>
      <c r="N2" s="14" t="inlineStr">
        <is>
          <t>Maße</t>
        </is>
      </c>
      <c r="O2" s="14" t="inlineStr">
        <is>
          <t>Aktiv</t>
        </is>
      </c>
      <c r="P2" s="14" t="inlineStr">
        <is>
          <t>Anlagennr</t>
        </is>
      </c>
      <c r="Q2" s="14" t="inlineStr">
        <is>
          <t>Anschaffungswert_netto</t>
        </is>
      </c>
      <c r="R2" s="14" t="inlineStr">
        <is>
          <t>Preis_netto</t>
        </is>
      </c>
      <c r="S2" s="14" t="inlineStr">
        <is>
          <t>Preisbasis</t>
        </is>
      </c>
      <c r="T2" s="13" t="inlineStr">
        <is>
          <t>Positionswert_netto</t>
        </is>
      </c>
      <c r="U2" s="13" t="inlineStr">
        <is>
          <t>Versand</t>
        </is>
      </c>
      <c r="V2" s="13" t="inlineStr">
        <is>
          <t>Foto</t>
        </is>
      </c>
      <c r="W2" s="14" t="inlineStr">
        <is>
          <t>Im_Katalog</t>
        </is>
      </c>
      <c r="X2" s="14" t="inlineStr">
        <is>
          <t>Klinik_Markierung</t>
        </is>
      </c>
      <c r="Y2" s="14" t="inlineStr">
        <is>
          <t>Status</t>
        </is>
      </c>
      <c r="Z2" s="14" t="inlineStr">
        <is>
          <t>Marke</t>
        </is>
      </c>
      <c r="AA2" s="14" t="inlineStr">
        <is>
          <t>Kanal</t>
        </is>
      </c>
      <c r="AB2" s="14" t="inlineStr">
        <is>
          <t>Reserviert_für</t>
        </is>
      </c>
      <c r="AC2" s="14" t="inlineStr">
        <is>
          <t>Verkaufspreis_netto</t>
        </is>
      </c>
      <c r="AD2" s="13" t="inlineStr">
        <is>
          <t>Umsatz_netto</t>
        </is>
      </c>
      <c r="AE2" s="14" t="inlineStr">
        <is>
          <t>Verkaufsdatum</t>
        </is>
      </c>
      <c r="AF2" s="14" t="inlineStr">
        <is>
          <t>Käufer</t>
        </is>
      </c>
      <c r="AG2" s="14" t="inlineStr">
        <is>
          <t>Rechnungsnr</t>
        </is>
      </c>
      <c r="AH2" s="14" t="inlineStr">
        <is>
          <t>Zahlung</t>
        </is>
      </c>
      <c r="AI2" s="14" t="inlineStr">
        <is>
          <t>Zahlart</t>
        </is>
      </c>
      <c r="AJ2" s="14" t="inlineStr">
        <is>
          <t>Abholtermin</t>
        </is>
      </c>
      <c r="AK2" s="13" t="inlineStr">
        <is>
          <t>Mengenhinweis</t>
        </is>
      </c>
      <c r="AL2" s="14" t="inlineStr">
        <is>
          <t>Bemerkung</t>
        </is>
      </c>
    </row>
    <row r="3" ht="30" customHeight="1">
      <c r="A3" s="15" t="inlineStr">
        <is>
          <t>BA04-01</t>
        </is>
      </c>
      <c r="B3" s="15" t="inlineStr">
        <is>
          <t>K-096</t>
        </is>
      </c>
      <c r="C3" s="15" t="inlineStr">
        <is>
          <t>BA04</t>
        </is>
      </c>
      <c r="D3" s="15" t="inlineStr">
        <is>
          <t>Rattankörbe 8 Stück</t>
        </is>
      </c>
      <c r="E3" s="16" t="inlineStr">
        <is>
          <t>Rattankörbe 8 Stück</t>
        </is>
      </c>
      <c r="F3" s="15" t="inlineStr">
        <is>
          <t>Deko</t>
        </is>
      </c>
      <c r="G3" s="15" t="inlineStr">
        <is>
          <t>Gruppenraum 4</t>
        </is>
      </c>
      <c r="H3" s="15" t="inlineStr">
        <is>
          <t>C</t>
        </is>
      </c>
      <c r="I3" s="17" t="n">
        <v>1</v>
      </c>
      <c r="J3" s="17" t="n"/>
      <c r="K3" s="18">
        <f>I3-IF(J3="",0,J3)</f>
        <v/>
      </c>
      <c r="L3" s="15" t="inlineStr">
        <is>
          <t>Set</t>
        </is>
      </c>
      <c r="M3" s="15" t="inlineStr">
        <is>
          <t>stark gebraucht</t>
        </is>
      </c>
      <c r="N3" s="19" t="n"/>
      <c r="O3" s="19" t="inlineStr">
        <is>
          <t>ja</t>
        </is>
      </c>
      <c r="P3" s="19" t="n"/>
      <c r="Q3" s="20" t="n"/>
      <c r="R3" s="20" t="n">
        <v>10</v>
      </c>
      <c r="S3" s="19" t="inlineStr">
        <is>
          <t>VHB</t>
        </is>
      </c>
      <c r="T3" s="21">
        <f>K3*R3</f>
        <v/>
      </c>
      <c r="U3" s="15" t="inlineStr">
        <is>
          <t>nur Abholung</t>
        </is>
      </c>
      <c r="V3" s="15" t="inlineStr">
        <is>
          <t>F-062</t>
        </is>
      </c>
      <c r="W3" s="19" t="inlineStr">
        <is>
          <t>ja</t>
        </is>
      </c>
      <c r="X3" s="19" t="n"/>
      <c r="Y3" s="19" t="inlineStr">
        <is>
          <t>verfügbar</t>
        </is>
      </c>
      <c r="Z3" s="19" t="n"/>
      <c r="AA3" s="19" t="n"/>
      <c r="AB3" s="19" t="n"/>
      <c r="AC3" s="20" t="n"/>
      <c r="AD3" s="21">
        <f>IF(J3="","",J3*AC3)</f>
        <v/>
      </c>
      <c r="AE3" s="19" t="n"/>
      <c r="AF3" s="19" t="n"/>
      <c r="AG3" s="19" t="n"/>
      <c r="AH3" s="19" t="n"/>
      <c r="AI3" s="19" t="n"/>
      <c r="AJ3" s="19" t="n"/>
      <c r="AK3" s="16" t="inlineStr">
        <is>
          <t>1 Regal mit 6 Körben im Bild</t>
        </is>
      </c>
      <c r="AL3" s="22" t="n"/>
    </row>
    <row r="4" ht="30" customHeight="1">
      <c r="A4" s="15" t="inlineStr">
        <is>
          <t>BA04-02</t>
        </is>
      </c>
      <c r="B4" s="15" t="inlineStr">
        <is>
          <t>K-097</t>
        </is>
      </c>
      <c r="C4" s="15" t="inlineStr">
        <is>
          <t>BA04</t>
        </is>
      </c>
      <c r="D4" s="15" t="inlineStr">
        <is>
          <t>Holzkiste Obstkistenoptik</t>
        </is>
      </c>
      <c r="E4" s="16" t="inlineStr">
        <is>
          <t>Alte Holzkiste, unbehandelt, als Aufbewahrung</t>
        </is>
      </c>
      <c r="F4" s="15" t="inlineStr">
        <is>
          <t>Deko</t>
        </is>
      </c>
      <c r="G4" s="15" t="inlineStr">
        <is>
          <t>Gruppenraum 4</t>
        </is>
      </c>
      <c r="H4" s="15" t="inlineStr">
        <is>
          <t>C</t>
        </is>
      </c>
      <c r="I4" s="17" t="n">
        <v>1</v>
      </c>
      <c r="J4" s="17" t="n"/>
      <c r="K4" s="18">
        <f>I4-IF(J4="",0,J4)</f>
        <v/>
      </c>
      <c r="L4" s="15" t="inlineStr">
        <is>
          <t>Stück</t>
        </is>
      </c>
      <c r="M4" s="15" t="inlineStr">
        <is>
          <t>gebraucht</t>
        </is>
      </c>
      <c r="N4" s="19" t="n"/>
      <c r="O4" s="19" t="inlineStr">
        <is>
          <t>ja</t>
        </is>
      </c>
      <c r="P4" s="19" t="n"/>
      <c r="Q4" s="20" t="n"/>
      <c r="R4" s="20" t="n">
        <v>15</v>
      </c>
      <c r="S4" s="19" t="inlineStr">
        <is>
          <t>VHB</t>
        </is>
      </c>
      <c r="T4" s="21">
        <f>K4*R4</f>
        <v/>
      </c>
      <c r="U4" s="15" t="inlineStr">
        <is>
          <t>Versand möglich</t>
        </is>
      </c>
      <c r="V4" s="15" t="inlineStr">
        <is>
          <t>F-063</t>
        </is>
      </c>
      <c r="W4" s="19" t="inlineStr">
        <is>
          <t>ja</t>
        </is>
      </c>
      <c r="X4" s="19" t="n"/>
      <c r="Y4" s="19" t="inlineStr">
        <is>
          <t>verfügbar</t>
        </is>
      </c>
      <c r="Z4" s="19" t="n"/>
      <c r="AA4" s="19" t="n"/>
      <c r="AB4" s="19" t="n"/>
      <c r="AC4" s="20" t="n"/>
      <c r="AD4" s="21">
        <f>IF(J4="","",J4*AC4)</f>
        <v/>
      </c>
      <c r="AE4" s="19" t="n"/>
      <c r="AF4" s="19" t="n"/>
      <c r="AG4" s="19" t="n"/>
      <c r="AH4" s="19" t="n"/>
      <c r="AI4" s="19" t="n"/>
      <c r="AJ4" s="19" t="n"/>
      <c r="AK4" s="16" t="inlineStr">
        <is>
          <t>1 Stück im Bild</t>
        </is>
      </c>
      <c r="AL4" s="22" t="n"/>
    </row>
    <row r="5" ht="30" customHeight="1">
      <c r="A5" s="15" t="inlineStr">
        <is>
          <t>BA08-01</t>
        </is>
      </c>
      <c r="B5" s="15" t="inlineStr">
        <is>
          <t>K-099</t>
        </is>
      </c>
      <c r="C5" s="15" t="inlineStr">
        <is>
          <t>BA08</t>
        </is>
      </c>
      <c r="D5" s="15" t="inlineStr">
        <is>
          <t>Konvolut Mal- und Bastelfarben</t>
        </is>
      </c>
      <c r="E5" s="16" t="inlineStr">
        <is>
          <t>Finger-, Plakat-, Gouache-, Acryl- und Textilfarben sowie Bastelkleber, teils angebrochen</t>
        </is>
      </c>
      <c r="F5" s="15" t="inlineStr">
        <is>
          <t>Verbrauchsmaterial</t>
        </is>
      </c>
      <c r="G5" s="15" t="inlineStr">
        <is>
          <t>Atelier</t>
        </is>
      </c>
      <c r="H5" s="15" t="inlineStr">
        <is>
          <t>C</t>
        </is>
      </c>
      <c r="I5" s="17" t="n">
        <v>1</v>
      </c>
      <c r="J5" s="17" t="n"/>
      <c r="K5" s="18">
        <f>I5-IF(J5="",0,J5)</f>
        <v/>
      </c>
      <c r="L5" s="15" t="inlineStr">
        <is>
          <t>Konvolut</t>
        </is>
      </c>
      <c r="M5" s="15" t="inlineStr">
        <is>
          <t>gebraucht</t>
        </is>
      </c>
      <c r="N5" s="19" t="n"/>
      <c r="O5" s="19" t="inlineStr">
        <is>
          <t>ja</t>
        </is>
      </c>
      <c r="P5" s="19" t="n"/>
      <c r="Q5" s="20" t="n"/>
      <c r="R5" s="20" t="n">
        <v>350</v>
      </c>
      <c r="S5" s="19" t="inlineStr">
        <is>
          <t>VHB</t>
        </is>
      </c>
      <c r="T5" s="21">
        <f>K5*R5</f>
        <v/>
      </c>
      <c r="U5" s="15" t="inlineStr">
        <is>
          <t>nur Abholung</t>
        </is>
      </c>
      <c r="V5" s="15" t="inlineStr">
        <is>
          <t>F-065</t>
        </is>
      </c>
      <c r="W5" s="19" t="inlineStr">
        <is>
          <t>ja</t>
        </is>
      </c>
      <c r="X5" s="19" t="inlineStr">
        <is>
          <t>ja</t>
        </is>
      </c>
      <c r="Y5" s="19" t="inlineStr">
        <is>
          <t>verfügbar</t>
        </is>
      </c>
      <c r="Z5" s="19" t="n"/>
      <c r="AA5" s="19" t="n"/>
      <c r="AB5" s="19" t="n"/>
      <c r="AC5" s="20" t="n"/>
      <c r="AD5" s="21">
        <f>IF(J5="","",J5*AC5)</f>
        <v/>
      </c>
      <c r="AE5" s="19" t="n"/>
      <c r="AF5" s="19" t="n"/>
      <c r="AG5" s="19" t="n"/>
      <c r="AH5" s="19" t="n"/>
      <c r="AI5" s="19" t="n"/>
      <c r="AJ5" s="19" t="n"/>
      <c r="AK5" s="16" t="inlineStr">
        <is>
          <t>mehrere Schrankfächer - Menge bitte vor Ort festlegen</t>
        </is>
      </c>
      <c r="AL5" s="22" t="n"/>
    </row>
    <row r="6" ht="30" customHeight="1">
      <c r="A6" s="15" t="inlineStr">
        <is>
          <t>BA08-02</t>
        </is>
      </c>
      <c r="B6" s="15" t="inlineStr">
        <is>
          <t>K-100</t>
        </is>
      </c>
      <c r="C6" s="15" t="inlineStr">
        <is>
          <t>BA08</t>
        </is>
      </c>
      <c r="D6" s="15" t="inlineStr">
        <is>
          <t>Acrylfarben-Sortiment im Holzkasten</t>
        </is>
      </c>
      <c r="E6" s="16" t="inlineStr">
        <is>
          <t>Sortierkasten mit Acrylfarben in Tuben und Töpfchen</t>
        </is>
      </c>
      <c r="F6" s="15" t="inlineStr">
        <is>
          <t>Verbrauchsmaterial</t>
        </is>
      </c>
      <c r="G6" s="15" t="inlineStr">
        <is>
          <t>Atelier</t>
        </is>
      </c>
      <c r="H6" s="15" t="inlineStr">
        <is>
          <t>C</t>
        </is>
      </c>
      <c r="I6" s="17" t="n">
        <v>1</v>
      </c>
      <c r="J6" s="17" t="n"/>
      <c r="K6" s="18">
        <f>I6-IF(J6="",0,J6)</f>
        <v/>
      </c>
      <c r="L6" s="15" t="inlineStr">
        <is>
          <t>Konvolut</t>
        </is>
      </c>
      <c r="M6" s="15" t="inlineStr">
        <is>
          <t>gut</t>
        </is>
      </c>
      <c r="N6" s="19" t="n"/>
      <c r="O6" s="19" t="inlineStr">
        <is>
          <t>ja</t>
        </is>
      </c>
      <c r="P6" s="19" t="n"/>
      <c r="Q6" s="20" t="n"/>
      <c r="R6" s="20" t="n">
        <v>60</v>
      </c>
      <c r="S6" s="19" t="inlineStr">
        <is>
          <t>VHB</t>
        </is>
      </c>
      <c r="T6" s="21">
        <f>K6*R6</f>
        <v/>
      </c>
      <c r="U6" s="15" t="inlineStr">
        <is>
          <t>Versand möglich</t>
        </is>
      </c>
      <c r="V6" s="15" t="inlineStr">
        <is>
          <t>F-069</t>
        </is>
      </c>
      <c r="W6" s="19" t="inlineStr">
        <is>
          <t>ja</t>
        </is>
      </c>
      <c r="X6" s="19" t="n"/>
      <c r="Y6" s="19" t="inlineStr">
        <is>
          <t>verfügbar</t>
        </is>
      </c>
      <c r="Z6" s="19" t="n"/>
      <c r="AA6" s="19" t="n"/>
      <c r="AB6" s="19" t="n"/>
      <c r="AC6" s="20" t="n"/>
      <c r="AD6" s="21">
        <f>IF(J6="","",J6*AC6)</f>
        <v/>
      </c>
      <c r="AE6" s="19" t="n"/>
      <c r="AF6" s="19" t="n"/>
      <c r="AG6" s="19" t="n"/>
      <c r="AH6" s="19" t="n"/>
      <c r="AI6" s="19" t="n"/>
      <c r="AJ6" s="19" t="n"/>
      <c r="AK6" s="16" t="inlineStr">
        <is>
          <t>1 Sortierkasten im Bild</t>
        </is>
      </c>
      <c r="AL6" s="22" t="n"/>
    </row>
    <row r="7" ht="30" customHeight="1">
      <c r="A7" s="15" t="inlineStr">
        <is>
          <t>BA08-03</t>
        </is>
      </c>
      <c r="B7" s="15" t="inlineStr">
        <is>
          <t>K-101</t>
        </is>
      </c>
      <c r="C7" s="15" t="inlineStr">
        <is>
          <t>BA08</t>
        </is>
      </c>
      <c r="D7" s="15" t="inlineStr">
        <is>
          <t>Konvolut Bastelmaterial</t>
        </is>
      </c>
      <c r="E7" s="16" t="inlineStr">
        <is>
          <t>Perlen, Bänder, Glitzer, Holzperlen, Bügelperlen, Schnüre</t>
        </is>
      </c>
      <c r="F7" s="15" t="inlineStr">
        <is>
          <t>Verbrauchsmaterial</t>
        </is>
      </c>
      <c r="G7" s="15" t="inlineStr">
        <is>
          <t>Atelier</t>
        </is>
      </c>
      <c r="H7" s="15" t="inlineStr">
        <is>
          <t>C</t>
        </is>
      </c>
      <c r="I7" s="17" t="n">
        <v>1</v>
      </c>
      <c r="J7" s="17" t="n"/>
      <c r="K7" s="18">
        <f>I7-IF(J7="",0,J7)</f>
        <v/>
      </c>
      <c r="L7" s="15" t="inlineStr">
        <is>
          <t>Konvolut</t>
        </is>
      </c>
      <c r="M7" s="15" t="inlineStr">
        <is>
          <t>gebraucht</t>
        </is>
      </c>
      <c r="N7" s="19" t="n"/>
      <c r="O7" s="19" t="inlineStr">
        <is>
          <t>ja</t>
        </is>
      </c>
      <c r="P7" s="19" t="n"/>
      <c r="Q7" s="20" t="n"/>
      <c r="R7" s="20" t="n">
        <v>50</v>
      </c>
      <c r="S7" s="19" t="inlineStr">
        <is>
          <t>VHB</t>
        </is>
      </c>
      <c r="T7" s="21">
        <f>K7*R7</f>
        <v/>
      </c>
      <c r="U7" s="15" t="inlineStr">
        <is>
          <t>nur Abholung</t>
        </is>
      </c>
      <c r="V7" s="15" t="inlineStr">
        <is>
          <t>F-070</t>
        </is>
      </c>
      <c r="W7" s="19" t="inlineStr">
        <is>
          <t>ja</t>
        </is>
      </c>
      <c r="X7" s="19" t="n"/>
      <c r="Y7" s="19" t="inlineStr">
        <is>
          <t>verfügbar</t>
        </is>
      </c>
      <c r="Z7" s="19" t="n"/>
      <c r="AA7" s="19" t="n"/>
      <c r="AB7" s="19" t="n"/>
      <c r="AC7" s="20" t="n"/>
      <c r="AD7" s="21">
        <f>IF(J7="","",J7*AC7)</f>
        <v/>
      </c>
      <c r="AE7" s="19" t="n"/>
      <c r="AF7" s="19" t="n"/>
      <c r="AG7" s="19" t="n"/>
      <c r="AH7" s="19" t="n"/>
      <c r="AI7" s="19" t="n"/>
      <c r="AJ7" s="19" t="n"/>
      <c r="AK7" s="16" t="inlineStr">
        <is>
          <t>2 Regalböden im Bild</t>
        </is>
      </c>
      <c r="AL7" s="22" t="n"/>
    </row>
    <row r="8" ht="30" customHeight="1">
      <c r="A8" s="15" t="inlineStr">
        <is>
          <t>BA08-04</t>
        </is>
      </c>
      <c r="B8" s="15" t="inlineStr">
        <is>
          <t>K-102</t>
        </is>
      </c>
      <c r="C8" s="15" t="inlineStr">
        <is>
          <t>BA08</t>
        </is>
      </c>
      <c r="D8" s="15" t="inlineStr">
        <is>
          <t>buntes Papier</t>
        </is>
      </c>
      <c r="E8" s="16" t="inlineStr">
        <is>
          <t>Konvolut Buntes Papier</t>
        </is>
      </c>
      <c r="F8" s="15" t="inlineStr">
        <is>
          <t>Verbrauchsmaterial</t>
        </is>
      </c>
      <c r="G8" s="15" t="inlineStr">
        <is>
          <t>Atelier</t>
        </is>
      </c>
      <c r="H8" s="15" t="inlineStr">
        <is>
          <t>B</t>
        </is>
      </c>
      <c r="I8" s="17" t="n">
        <v>1</v>
      </c>
      <c r="J8" s="17" t="n"/>
      <c r="K8" s="18">
        <f>I8-IF(J8="",0,J8)</f>
        <v/>
      </c>
      <c r="L8" s="15" t="inlineStr">
        <is>
          <t>Konvolut</t>
        </is>
      </c>
      <c r="M8" s="15" t="inlineStr">
        <is>
          <t>gut</t>
        </is>
      </c>
      <c r="N8" s="19" t="n"/>
      <c r="O8" s="19" t="inlineStr">
        <is>
          <t>ja</t>
        </is>
      </c>
      <c r="P8" s="19" t="n"/>
      <c r="Q8" s="20" t="n"/>
      <c r="R8" s="20" t="n">
        <v>50</v>
      </c>
      <c r="S8" s="19" t="inlineStr">
        <is>
          <t>VHB</t>
        </is>
      </c>
      <c r="T8" s="21">
        <f>K8*R8</f>
        <v/>
      </c>
      <c r="U8" s="15" t="inlineStr">
        <is>
          <t>nur Abholung</t>
        </is>
      </c>
      <c r="V8" s="15" t="inlineStr">
        <is>
          <t>F-071</t>
        </is>
      </c>
      <c r="W8" s="19" t="inlineStr">
        <is>
          <t>ja</t>
        </is>
      </c>
      <c r="X8" s="19" t="n"/>
      <c r="Y8" s="19" t="inlineStr">
        <is>
          <t>verfügbar</t>
        </is>
      </c>
      <c r="Z8" s="19" t="n"/>
      <c r="AA8" s="19" t="n"/>
      <c r="AB8" s="19" t="n"/>
      <c r="AC8" s="20" t="n"/>
      <c r="AD8" s="21">
        <f>IF(J8="","",J8*AC8)</f>
        <v/>
      </c>
      <c r="AE8" s="19" t="n"/>
      <c r="AF8" s="19" t="n"/>
      <c r="AG8" s="19" t="n"/>
      <c r="AH8" s="19" t="n"/>
      <c r="AI8" s="19" t="n"/>
      <c r="AJ8" s="19" t="n"/>
      <c r="AK8" s="16" t="inlineStr">
        <is>
          <t>1 Schrank inkl. Restbestand Papier</t>
        </is>
      </c>
      <c r="AL8" s="22" t="n"/>
    </row>
    <row r="9" ht="30" customHeight="1">
      <c r="A9" s="15" t="inlineStr">
        <is>
          <t>BA09-01</t>
        </is>
      </c>
      <c r="B9" s="15" t="inlineStr">
        <is>
          <t>K-079</t>
        </is>
      </c>
      <c r="C9" s="15" t="inlineStr">
        <is>
          <t>BA09</t>
        </is>
      </c>
      <c r="D9" s="15" t="inlineStr">
        <is>
          <t>Deko Metallruten mit Pompons</t>
        </is>
      </c>
      <c r="E9" s="16" t="inlineStr">
        <is>
          <t>Metallruten mit roten Wollbommeln in Birkenstammfuß</t>
        </is>
      </c>
      <c r="F9" s="15" t="inlineStr">
        <is>
          <t>Deko</t>
        </is>
      </c>
      <c r="G9" s="15" t="inlineStr">
        <is>
          <t>Personal</t>
        </is>
      </c>
      <c r="H9" s="15" t="inlineStr">
        <is>
          <t>C</t>
        </is>
      </c>
      <c r="I9" s="17" t="n">
        <v>2</v>
      </c>
      <c r="J9" s="17" t="n"/>
      <c r="K9" s="18">
        <f>I9-IF(J9="",0,J9)</f>
        <v/>
      </c>
      <c r="L9" s="15" t="inlineStr">
        <is>
          <t>Stück</t>
        </is>
      </c>
      <c r="M9" s="15" t="inlineStr">
        <is>
          <t>gut</t>
        </is>
      </c>
      <c r="N9" s="19" t="n"/>
      <c r="O9" s="19" t="inlineStr">
        <is>
          <t>ja</t>
        </is>
      </c>
      <c r="P9" s="19" t="n"/>
      <c r="Q9" s="20" t="n"/>
      <c r="R9" s="20" t="n">
        <v>19</v>
      </c>
      <c r="S9" s="19" t="inlineStr">
        <is>
          <t>VHB</t>
        </is>
      </c>
      <c r="T9" s="21">
        <f>K9*R9</f>
        <v/>
      </c>
      <c r="U9" s="15" t="inlineStr">
        <is>
          <t>nur Abholung</t>
        </is>
      </c>
      <c r="V9" s="15" t="inlineStr">
        <is>
          <t>F-044</t>
        </is>
      </c>
      <c r="W9" s="19" t="inlineStr">
        <is>
          <t>ja</t>
        </is>
      </c>
      <c r="X9" s="19" t="n"/>
      <c r="Y9" s="19" t="inlineStr">
        <is>
          <t>verfügbar</t>
        </is>
      </c>
      <c r="Z9" s="19" t="n"/>
      <c r="AA9" s="19" t="n"/>
      <c r="AB9" s="19" t="n"/>
      <c r="AC9" s="20" t="n"/>
      <c r="AD9" s="21">
        <f>IF(J9="","",J9*AC9)</f>
        <v/>
      </c>
      <c r="AE9" s="19" t="n"/>
      <c r="AF9" s="19" t="n"/>
      <c r="AG9" s="19" t="n"/>
      <c r="AH9" s="19" t="n"/>
      <c r="AI9" s="19" t="n"/>
      <c r="AJ9" s="19" t="n"/>
      <c r="AK9" s="16" t="inlineStr">
        <is>
          <t>2 Stück im Bild</t>
        </is>
      </c>
      <c r="AL9" s="22" t="n"/>
    </row>
    <row r="10" ht="30" customHeight="1">
      <c r="A10" s="15" t="inlineStr">
        <is>
          <t>BA09-02</t>
        </is>
      </c>
      <c r="B10" s="15" t="inlineStr">
        <is>
          <t>K-080</t>
        </is>
      </c>
      <c r="C10" s="15" t="inlineStr">
        <is>
          <t>BA09</t>
        </is>
      </c>
      <c r="D10" s="15" t="inlineStr">
        <is>
          <t>Elefantenfuß groß</t>
        </is>
      </c>
      <c r="E10" s="16" t="inlineStr">
        <is>
          <t>Beaucarnea, große Zimmerpflanze im Topf und kleine Zimmerpflanze im Topf</t>
        </is>
      </c>
      <c r="F10" s="15" t="inlineStr">
        <is>
          <t>Pflanzen</t>
        </is>
      </c>
      <c r="G10" s="15" t="inlineStr">
        <is>
          <t>Personal</t>
        </is>
      </c>
      <c r="H10" s="15" t="inlineStr">
        <is>
          <t>C</t>
        </is>
      </c>
      <c r="I10" s="17" t="n">
        <v>1</v>
      </c>
      <c r="J10" s="17" t="n"/>
      <c r="K10" s="18">
        <f>I10-IF(J10="",0,J10)</f>
        <v/>
      </c>
      <c r="L10" s="15" t="inlineStr">
        <is>
          <t>Set</t>
        </is>
      </c>
      <c r="M10" s="15" t="inlineStr">
        <is>
          <t>gut</t>
        </is>
      </c>
      <c r="N10" s="19" t="n"/>
      <c r="O10" s="19" t="inlineStr">
        <is>
          <t>ja</t>
        </is>
      </c>
      <c r="P10" s="19" t="n"/>
      <c r="Q10" s="20" t="n"/>
      <c r="R10" s="20" t="n">
        <v>90</v>
      </c>
      <c r="S10" s="19" t="inlineStr">
        <is>
          <t>VHB</t>
        </is>
      </c>
      <c r="T10" s="21">
        <f>K10*R10</f>
        <v/>
      </c>
      <c r="U10" s="15" t="inlineStr">
        <is>
          <t>nur Abholung</t>
        </is>
      </c>
      <c r="V10" s="15" t="inlineStr">
        <is>
          <t>F-045</t>
        </is>
      </c>
      <c r="W10" s="19" t="inlineStr">
        <is>
          <t>ja</t>
        </is>
      </c>
      <c r="X10" s="19" t="n"/>
      <c r="Y10" s="19" t="inlineStr">
        <is>
          <t>verfügbar</t>
        </is>
      </c>
      <c r="Z10" s="19" t="n"/>
      <c r="AA10" s="19" t="n"/>
      <c r="AB10" s="19" t="n"/>
      <c r="AC10" s="20" t="n"/>
      <c r="AD10" s="21">
        <f>IF(J10="","",J10*AC10)</f>
        <v/>
      </c>
      <c r="AE10" s="19" t="n"/>
      <c r="AF10" s="19" t="n"/>
      <c r="AG10" s="19" t="n"/>
      <c r="AH10" s="19" t="n"/>
      <c r="AI10" s="19" t="n"/>
      <c r="AJ10" s="19" t="n"/>
      <c r="AK10" s="16" t="inlineStr">
        <is>
          <t>1 Pflanze im Bild</t>
        </is>
      </c>
      <c r="AL10" s="22" t="n"/>
    </row>
    <row r="11" ht="30" customHeight="1">
      <c r="A11" s="15" t="inlineStr">
        <is>
          <t>BA09-03</t>
        </is>
      </c>
      <c r="B11" s="15" t="inlineStr">
        <is>
          <t>K-082</t>
        </is>
      </c>
      <c r="C11" s="15" t="inlineStr">
        <is>
          <t>BA09</t>
        </is>
      </c>
      <c r="D11" s="15" t="inlineStr">
        <is>
          <t>Werte-Rad</t>
        </is>
      </c>
      <c r="E11" s="16" t="inlineStr">
        <is>
          <t>Drehbares Holzrad zur Visualisierung von Leitwerten, Eigenbau</t>
        </is>
      </c>
      <c r="F11" s="15" t="inlineStr">
        <is>
          <t>Kita-Ausstattung</t>
        </is>
      </c>
      <c r="G11" s="15" t="inlineStr">
        <is>
          <t>Personal</t>
        </is>
      </c>
      <c r="H11" s="15" t="inlineStr">
        <is>
          <t>C</t>
        </is>
      </c>
      <c r="I11" s="17" t="n">
        <v>1</v>
      </c>
      <c r="J11" s="17" t="n"/>
      <c r="K11" s="18">
        <f>I11-IF(J11="",0,J11)</f>
        <v/>
      </c>
      <c r="L11" s="15" t="inlineStr">
        <is>
          <t>Stück</t>
        </is>
      </c>
      <c r="M11" s="15" t="inlineStr">
        <is>
          <t>gut</t>
        </is>
      </c>
      <c r="N11" s="19" t="n"/>
      <c r="O11" s="19" t="inlineStr">
        <is>
          <t>ja</t>
        </is>
      </c>
      <c r="P11" s="19" t="n"/>
      <c r="Q11" s="20" t="n"/>
      <c r="R11" s="20" t="n">
        <v>40</v>
      </c>
      <c r="S11" s="19" t="inlineStr">
        <is>
          <t>VHB</t>
        </is>
      </c>
      <c r="T11" s="21">
        <f>K11*R11</f>
        <v/>
      </c>
      <c r="U11" s="15" t="inlineStr">
        <is>
          <t>nur Abholung</t>
        </is>
      </c>
      <c r="V11" s="15" t="inlineStr">
        <is>
          <t>F-046</t>
        </is>
      </c>
      <c r="W11" s="19" t="inlineStr">
        <is>
          <t>ja</t>
        </is>
      </c>
      <c r="X11" s="19" t="n"/>
      <c r="Y11" s="19" t="inlineStr">
        <is>
          <t>verfügbar</t>
        </is>
      </c>
      <c r="Z11" s="19" t="n"/>
      <c r="AA11" s="19" t="n"/>
      <c r="AB11" s="19" t="n"/>
      <c r="AC11" s="20" t="n"/>
      <c r="AD11" s="21">
        <f>IF(J11="","",J11*AC11)</f>
        <v/>
      </c>
      <c r="AE11" s="19" t="n"/>
      <c r="AF11" s="19" t="n"/>
      <c r="AG11" s="19" t="n"/>
      <c r="AH11" s="19" t="n"/>
      <c r="AI11" s="19" t="n"/>
      <c r="AJ11" s="19" t="n"/>
      <c r="AK11" s="16" t="inlineStr">
        <is>
          <t>1 Stück im Bild</t>
        </is>
      </c>
      <c r="AL11" s="22" t="n"/>
    </row>
    <row r="12" ht="30" customHeight="1">
      <c r="A12" s="15" t="inlineStr">
        <is>
          <t>BA09-04</t>
        </is>
      </c>
      <c r="B12" s="15" t="inlineStr">
        <is>
          <t>K-083</t>
        </is>
      </c>
      <c r="C12" s="15" t="inlineStr">
        <is>
          <t>BA09</t>
        </is>
      </c>
      <c r="D12" s="15" t="inlineStr">
        <is>
          <t>USM Haller Tisch</t>
        </is>
      </c>
      <c r="E12" s="16" t="inlineStr">
        <is>
          <t>USM Haller, weiße Tischplatte, verchromtes Rohrgestell mit Kugelverbindern, ca. 200 x 100 cm</t>
        </is>
      </c>
      <c r="F12" s="15" t="inlineStr">
        <is>
          <t>Designmöbel</t>
        </is>
      </c>
      <c r="G12" s="15" t="inlineStr">
        <is>
          <t>Personal</t>
        </is>
      </c>
      <c r="H12" s="15" t="inlineStr">
        <is>
          <t>A</t>
        </is>
      </c>
      <c r="I12" s="17" t="n">
        <v>1</v>
      </c>
      <c r="J12" s="17" t="n"/>
      <c r="K12" s="18">
        <f>I12-IF(J12="",0,J12)</f>
        <v/>
      </c>
      <c r="L12" s="15" t="inlineStr">
        <is>
          <t>Stück</t>
        </is>
      </c>
      <c r="M12" s="15" t="inlineStr">
        <is>
          <t>gut</t>
        </is>
      </c>
      <c r="N12" s="19" t="n"/>
      <c r="O12" s="19" t="inlineStr">
        <is>
          <t>ja</t>
        </is>
      </c>
      <c r="P12" s="19" t="n"/>
      <c r="Q12" s="20" t="n"/>
      <c r="R12" s="20" t="n">
        <v>900</v>
      </c>
      <c r="S12" s="19" t="inlineStr">
        <is>
          <t>VHB</t>
        </is>
      </c>
      <c r="T12" s="21">
        <f>K12*R12</f>
        <v/>
      </c>
      <c r="U12" s="15" t="inlineStr">
        <is>
          <t>nur Abholung</t>
        </is>
      </c>
      <c r="V12" s="15" t="inlineStr">
        <is>
          <t>F-047</t>
        </is>
      </c>
      <c r="W12" s="19" t="inlineStr">
        <is>
          <t>ja</t>
        </is>
      </c>
      <c r="X12" s="19" t="inlineStr">
        <is>
          <t>ja</t>
        </is>
      </c>
      <c r="Y12" s="19" t="inlineStr">
        <is>
          <t>verfügbar</t>
        </is>
      </c>
      <c r="Z12" s="19" t="inlineStr">
        <is>
          <t>USM Haller</t>
        </is>
      </c>
      <c r="AA12" s="19" t="n"/>
      <c r="AB12" s="19" t="n"/>
      <c r="AC12" s="20" t="n"/>
      <c r="AD12" s="21">
        <f>IF(J12="","",J12*AC12)</f>
        <v/>
      </c>
      <c r="AE12" s="19" t="n"/>
      <c r="AF12" s="19" t="n"/>
      <c r="AG12" s="19" t="n"/>
      <c r="AH12" s="19" t="n"/>
      <c r="AI12" s="19" t="n"/>
      <c r="AJ12" s="19" t="n"/>
      <c r="AK12" s="16" t="inlineStr">
        <is>
          <t>1 Tisch im Bild</t>
        </is>
      </c>
      <c r="AL12" s="22" t="n"/>
    </row>
    <row r="13" ht="30" customHeight="1">
      <c r="A13" s="15" t="inlineStr">
        <is>
          <t>BA09-05</t>
        </is>
      </c>
      <c r="B13" s="15" t="inlineStr">
        <is>
          <t>K-084</t>
        </is>
      </c>
      <c r="C13" s="15" t="inlineStr">
        <is>
          <t>BA09</t>
        </is>
      </c>
      <c r="D13" s="15" t="inlineStr">
        <is>
          <t>Kartell Masters Stuhl</t>
        </is>
      </c>
      <c r="E13" s="16" t="inlineStr">
        <is>
          <t>Kartell Masters, Design Philippe Starck, schwarz</t>
        </is>
      </c>
      <c r="F13" s="15" t="inlineStr">
        <is>
          <t>Designmöbel</t>
        </is>
      </c>
      <c r="G13" s="15" t="inlineStr">
        <is>
          <t>Personal</t>
        </is>
      </c>
      <c r="H13" s="15" t="inlineStr">
        <is>
          <t>A</t>
        </is>
      </c>
      <c r="I13" s="17" t="n">
        <v>6</v>
      </c>
      <c r="J13" s="17" t="n"/>
      <c r="K13" s="18">
        <f>I13-IF(J13="",0,J13)</f>
        <v/>
      </c>
      <c r="L13" s="15" t="inlineStr">
        <is>
          <t>Stück</t>
        </is>
      </c>
      <c r="M13" s="15" t="inlineStr">
        <is>
          <t>gebraucht</t>
        </is>
      </c>
      <c r="N13" s="19" t="n"/>
      <c r="O13" s="19" t="inlineStr">
        <is>
          <t>ja</t>
        </is>
      </c>
      <c r="P13" s="19" t="n"/>
      <c r="Q13" s="20" t="n"/>
      <c r="R13" s="20" t="n">
        <v>120</v>
      </c>
      <c r="S13" s="19" t="inlineStr">
        <is>
          <t>VHB</t>
        </is>
      </c>
      <c r="T13" s="21">
        <f>K13*R13</f>
        <v/>
      </c>
      <c r="U13" s="15" t="inlineStr">
        <is>
          <t>Versand möglich</t>
        </is>
      </c>
      <c r="V13" s="15" t="inlineStr">
        <is>
          <t>F-048</t>
        </is>
      </c>
      <c r="W13" s="19" t="inlineStr">
        <is>
          <t>ja</t>
        </is>
      </c>
      <c r="X13" s="19" t="n"/>
      <c r="Y13" s="19" t="inlineStr">
        <is>
          <t>verfügbar</t>
        </is>
      </c>
      <c r="Z13" s="19" t="inlineStr">
        <is>
          <t>Kartell</t>
        </is>
      </c>
      <c r="AA13" s="19" t="n"/>
      <c r="AB13" s="19" t="n"/>
      <c r="AC13" s="20" t="n"/>
      <c r="AD13" s="21">
        <f>IF(J13="","",J13*AC13)</f>
        <v/>
      </c>
      <c r="AE13" s="19" t="n"/>
      <c r="AF13" s="19" t="n"/>
      <c r="AG13" s="19" t="n"/>
      <c r="AH13" s="19" t="n"/>
      <c r="AI13" s="19" t="n"/>
      <c r="AJ13" s="19" t="n"/>
      <c r="AK13" s="16" t="inlineStr">
        <is>
          <t>mindestens 6 Stück erkennbar - bitte nachzählen</t>
        </is>
      </c>
      <c r="AL13" s="22" t="n"/>
    </row>
    <row r="14" ht="30" customHeight="1">
      <c r="A14" s="15" t="inlineStr">
        <is>
          <t>BA10-01</t>
        </is>
      </c>
      <c r="B14" s="15" t="inlineStr">
        <is>
          <t>K-086</t>
        </is>
      </c>
      <c r="C14" s="15" t="inlineStr">
        <is>
          <t>BA10</t>
        </is>
      </c>
      <c r="D14" s="15" t="inlineStr">
        <is>
          <t>Glastisch rund mit Chromgestell</t>
        </is>
      </c>
      <c r="E14" s="16" t="inlineStr">
        <is>
          <t>Runde Glasplatte teilsatiniert, Chromgestell</t>
        </is>
      </c>
      <c r="F14" s="15" t="inlineStr">
        <is>
          <t>Möbel</t>
        </is>
      </c>
      <c r="G14" s="15" t="inlineStr">
        <is>
          <t>Ruhe- / Schlafraum</t>
        </is>
      </c>
      <c r="H14" s="15" t="inlineStr">
        <is>
          <t>B</t>
        </is>
      </c>
      <c r="I14" s="17" t="n">
        <v>1</v>
      </c>
      <c r="J14" s="17" t="n"/>
      <c r="K14" s="18">
        <f>I14-IF(J14="",0,J14)</f>
        <v/>
      </c>
      <c r="L14" s="15" t="inlineStr">
        <is>
          <t>Stück</t>
        </is>
      </c>
      <c r="M14" s="15" t="inlineStr">
        <is>
          <t>gebraucht</t>
        </is>
      </c>
      <c r="N14" s="19" t="n"/>
      <c r="O14" s="19" t="inlineStr">
        <is>
          <t>ja</t>
        </is>
      </c>
      <c r="P14" s="19" t="n"/>
      <c r="Q14" s="20" t="n"/>
      <c r="R14" s="20" t="n">
        <v>90</v>
      </c>
      <c r="S14" s="19" t="inlineStr">
        <is>
          <t>VHB</t>
        </is>
      </c>
      <c r="T14" s="21">
        <f>K14*R14</f>
        <v/>
      </c>
      <c r="U14" s="15" t="inlineStr">
        <is>
          <t>nur Abholung</t>
        </is>
      </c>
      <c r="V14" s="15" t="inlineStr">
        <is>
          <t>F-057</t>
        </is>
      </c>
      <c r="W14" s="19" t="inlineStr">
        <is>
          <t>ja</t>
        </is>
      </c>
      <c r="X14" s="19" t="n"/>
      <c r="Y14" s="19" t="inlineStr">
        <is>
          <t>verfügbar</t>
        </is>
      </c>
      <c r="Z14" s="19" t="n"/>
      <c r="AA14" s="19" t="n"/>
      <c r="AB14" s="19" t="n"/>
      <c r="AC14" s="20" t="n"/>
      <c r="AD14" s="21">
        <f>IF(J14="","",J14*AC14)</f>
        <v/>
      </c>
      <c r="AE14" s="19" t="n"/>
      <c r="AF14" s="19" t="n"/>
      <c r="AG14" s="19" t="n"/>
      <c r="AH14" s="19" t="n"/>
      <c r="AI14" s="19" t="n"/>
      <c r="AJ14" s="19" t="n"/>
      <c r="AK14" s="16" t="inlineStr">
        <is>
          <t>1 Tisch im Bild</t>
        </is>
      </c>
      <c r="AL14" s="22" t="n"/>
    </row>
    <row r="15" ht="30" customHeight="1">
      <c r="A15" s="15" t="inlineStr">
        <is>
          <t>BA10-02</t>
        </is>
      </c>
      <c r="B15" s="15" t="inlineStr">
        <is>
          <t>K-087</t>
        </is>
      </c>
      <c r="C15" s="15" t="inlineStr">
        <is>
          <t>BA10</t>
        </is>
      </c>
      <c r="D15" s="15" t="inlineStr">
        <is>
          <t>Samtsofa bordeaux, 2-Sitzer</t>
        </is>
      </c>
      <c r="E15" s="16" t="inlineStr">
        <is>
          <t>Samtbezug dunkelrot, gesteppte Rückenlehne, dunkle Holzbeine</t>
        </is>
      </c>
      <c r="F15" s="15" t="inlineStr">
        <is>
          <t>Möbel</t>
        </is>
      </c>
      <c r="G15" s="15" t="inlineStr">
        <is>
          <t>Ruhe- / Schlafraum</t>
        </is>
      </c>
      <c r="H15" s="15" t="inlineStr">
        <is>
          <t>B</t>
        </is>
      </c>
      <c r="I15" s="17" t="n">
        <v>2</v>
      </c>
      <c r="J15" s="17" t="n"/>
      <c r="K15" s="18">
        <f>I15-IF(J15="",0,J15)</f>
        <v/>
      </c>
      <c r="L15" s="15" t="inlineStr">
        <is>
          <t>Stück</t>
        </is>
      </c>
      <c r="M15" s="15" t="inlineStr">
        <is>
          <t>gut</t>
        </is>
      </c>
      <c r="N15" s="19" t="n"/>
      <c r="O15" s="19" t="inlineStr">
        <is>
          <t>ja</t>
        </is>
      </c>
      <c r="P15" s="19" t="n"/>
      <c r="Q15" s="20" t="n"/>
      <c r="R15" s="20" t="n">
        <v>250</v>
      </c>
      <c r="S15" s="19" t="inlineStr">
        <is>
          <t>VHB</t>
        </is>
      </c>
      <c r="T15" s="21">
        <f>K15*R15</f>
        <v/>
      </c>
      <c r="U15" s="15" t="inlineStr">
        <is>
          <t>nur Abholung</t>
        </is>
      </c>
      <c r="V15" s="15" t="inlineStr">
        <is>
          <t>F-058</t>
        </is>
      </c>
      <c r="W15" s="19" t="inlineStr">
        <is>
          <t>ja</t>
        </is>
      </c>
      <c r="X15" s="19" t="n"/>
      <c r="Y15" s="19" t="inlineStr">
        <is>
          <t>verfügbar</t>
        </is>
      </c>
      <c r="Z15" s="19" t="n"/>
      <c r="AA15" s="19" t="n"/>
      <c r="AB15" s="19" t="n"/>
      <c r="AC15" s="20" t="n"/>
      <c r="AD15" s="21">
        <f>IF(J15="","",J15*AC15)</f>
        <v/>
      </c>
      <c r="AE15" s="19" t="n"/>
      <c r="AF15" s="19" t="n"/>
      <c r="AG15" s="19" t="n"/>
      <c r="AH15" s="19" t="n"/>
      <c r="AI15" s="19" t="n"/>
      <c r="AJ15" s="19" t="n"/>
      <c r="AK15" s="16" t="inlineStr">
        <is>
          <t>1 Sofa im Bild</t>
        </is>
      </c>
      <c r="AL15" s="22" t="n"/>
    </row>
    <row r="16" ht="30" customHeight="1">
      <c r="A16" s="15" t="inlineStr">
        <is>
          <t>BA10-03</t>
        </is>
      </c>
      <c r="B16" s="15" t="inlineStr">
        <is>
          <t>K-089</t>
        </is>
      </c>
      <c r="C16" s="15" t="inlineStr">
        <is>
          <t>BA10</t>
        </is>
      </c>
      <c r="D16" s="15" t="inlineStr">
        <is>
          <t>Sessel mit Bezug, weiß lackiert</t>
        </is>
      </c>
      <c r="E16" s="16" t="inlineStr">
        <is>
          <t>Relaxsessel mit Bezug, weiß lackiert
 weiß lackiertes Schichtholz, hellgrauer Bezug</t>
        </is>
      </c>
      <c r="F16" s="15" t="inlineStr">
        <is>
          <t>Möbel</t>
        </is>
      </c>
      <c r="G16" s="15" t="inlineStr">
        <is>
          <t>Ruhe- / Schlafraum</t>
        </is>
      </c>
      <c r="H16" s="15" t="inlineStr">
        <is>
          <t>C</t>
        </is>
      </c>
      <c r="I16" s="17" t="n">
        <v>2</v>
      </c>
      <c r="J16" s="17" t="n"/>
      <c r="K16" s="18">
        <f>I16-IF(J16="",0,J16)</f>
        <v/>
      </c>
      <c r="L16" s="15" t="inlineStr">
        <is>
          <t>Stück</t>
        </is>
      </c>
      <c r="M16" s="15" t="inlineStr">
        <is>
          <t>gut</t>
        </is>
      </c>
      <c r="N16" s="19" t="n"/>
      <c r="O16" s="19" t="inlineStr">
        <is>
          <t>ja</t>
        </is>
      </c>
      <c r="P16" s="19" t="n"/>
      <c r="Q16" s="20" t="n"/>
      <c r="R16" s="20" t="n">
        <v>250</v>
      </c>
      <c r="S16" s="19" t="inlineStr">
        <is>
          <t>VHB</t>
        </is>
      </c>
      <c r="T16" s="21">
        <f>K16*R16</f>
        <v/>
      </c>
      <c r="U16" s="15" t="inlineStr">
        <is>
          <t>nur Abholung</t>
        </is>
      </c>
      <c r="V16" s="15" t="inlineStr">
        <is>
          <t>F-060</t>
        </is>
      </c>
      <c r="W16" s="19" t="inlineStr">
        <is>
          <t>ja</t>
        </is>
      </c>
      <c r="X16" s="19" t="n"/>
      <c r="Y16" s="19" t="inlineStr">
        <is>
          <t>verfügbar</t>
        </is>
      </c>
      <c r="Z16" s="19" t="n"/>
      <c r="AA16" s="19" t="n"/>
      <c r="AB16" s="19" t="n"/>
      <c r="AC16" s="20" t="n"/>
      <c r="AD16" s="21">
        <f>IF(J16="","",J16*AC16)</f>
        <v/>
      </c>
      <c r="AE16" s="19" t="n"/>
      <c r="AF16" s="19" t="n"/>
      <c r="AG16" s="19" t="n"/>
      <c r="AH16" s="19" t="n"/>
      <c r="AI16" s="19" t="n"/>
      <c r="AJ16" s="19" t="n"/>
      <c r="AK16" s="16" t="inlineStr">
        <is>
          <t>1 Sessel im Bild</t>
        </is>
      </c>
      <c r="AL16" s="22" t="n"/>
    </row>
    <row r="17" ht="30" customHeight="1">
      <c r="A17" s="15" t="inlineStr">
        <is>
          <t>BA10-04</t>
        </is>
      </c>
      <c r="B17" s="15" t="inlineStr">
        <is>
          <t>K-090</t>
        </is>
      </c>
      <c r="C17" s="15" t="inlineStr">
        <is>
          <t>BA10</t>
        </is>
      </c>
      <c r="D17" s="15" t="inlineStr">
        <is>
          <t>Hocker grau mit Hairpin-Beinen</t>
        </is>
      </c>
      <c r="E17" s="16" t="inlineStr">
        <is>
          <t>Hocker grau 
Runder Polsterhocker grau, mit Stauraum</t>
        </is>
      </c>
      <c r="F17" s="15" t="inlineStr">
        <is>
          <t>Möbel</t>
        </is>
      </c>
      <c r="G17" s="15" t="inlineStr">
        <is>
          <t>Ruhe- / Schlafraum</t>
        </is>
      </c>
      <c r="H17" s="15" t="inlineStr">
        <is>
          <t>C</t>
        </is>
      </c>
      <c r="I17" s="17" t="n">
        <v>2</v>
      </c>
      <c r="J17" s="17" t="n"/>
      <c r="K17" s="18">
        <f>I17-IF(J17="",0,J17)</f>
        <v/>
      </c>
      <c r="L17" s="15" t="inlineStr">
        <is>
          <t>Stück</t>
        </is>
      </c>
      <c r="M17" s="15" t="inlineStr">
        <is>
          <t>gut</t>
        </is>
      </c>
      <c r="N17" s="19" t="n"/>
      <c r="O17" s="19" t="inlineStr">
        <is>
          <t>ja</t>
        </is>
      </c>
      <c r="P17" s="19" t="n"/>
      <c r="Q17" s="20" t="n"/>
      <c r="R17" s="20" t="n">
        <v>35</v>
      </c>
      <c r="S17" s="19" t="inlineStr">
        <is>
          <t>VHB</t>
        </is>
      </c>
      <c r="T17" s="21">
        <f>K17*R17</f>
        <v/>
      </c>
      <c r="U17" s="15" t="inlineStr">
        <is>
          <t>Versand möglich</t>
        </is>
      </c>
      <c r="V17" s="15" t="inlineStr">
        <is>
          <t>F-060</t>
        </is>
      </c>
      <c r="W17" s="19" t="inlineStr">
        <is>
          <t>ja</t>
        </is>
      </c>
      <c r="X17" s="19" t="n"/>
      <c r="Y17" s="19" t="inlineStr">
        <is>
          <t>verfügbar</t>
        </is>
      </c>
      <c r="Z17" s="19" t="n"/>
      <c r="AA17" s="19" t="n"/>
      <c r="AB17" s="19" t="n"/>
      <c r="AC17" s="20" t="n"/>
      <c r="AD17" s="21">
        <f>IF(J17="","",J17*AC17)</f>
        <v/>
      </c>
      <c r="AE17" s="19" t="n"/>
      <c r="AF17" s="19" t="n"/>
      <c r="AG17" s="19" t="n"/>
      <c r="AH17" s="19" t="n"/>
      <c r="AI17" s="19" t="n"/>
      <c r="AJ17" s="19" t="n"/>
      <c r="AK17" s="16" t="inlineStr">
        <is>
          <t>1 Stück im Bild</t>
        </is>
      </c>
      <c r="AL17" s="22" t="n"/>
    </row>
    <row r="18" ht="30" customHeight="1">
      <c r="A18" s="15" t="inlineStr">
        <is>
          <t>BA10-05</t>
        </is>
      </c>
      <c r="B18" s="15" t="inlineStr">
        <is>
          <t>K-091</t>
        </is>
      </c>
      <c r="C18" s="15" t="inlineStr">
        <is>
          <t>BA10</t>
        </is>
      </c>
      <c r="D18" s="15" t="inlineStr">
        <is>
          <t>Ohrensessel grau mit Kufengestell</t>
        </is>
      </c>
      <c r="E18" s="16" t="inlineStr">
        <is>
          <t>Polstersessel hellgrau, schwarzes Kufengestell aus Rundstahl</t>
        </is>
      </c>
      <c r="F18" s="15" t="inlineStr">
        <is>
          <t>Möbel</t>
        </is>
      </c>
      <c r="G18" s="15" t="inlineStr">
        <is>
          <t>Ruhe- / Schlafraum</t>
        </is>
      </c>
      <c r="H18" s="15" t="inlineStr">
        <is>
          <t>B</t>
        </is>
      </c>
      <c r="I18" s="17" t="n">
        <v>2</v>
      </c>
      <c r="J18" s="17" t="n"/>
      <c r="K18" s="18">
        <f>I18-IF(J18="",0,J18)</f>
        <v/>
      </c>
      <c r="L18" s="15" t="inlineStr">
        <is>
          <t>Stück</t>
        </is>
      </c>
      <c r="M18" s="15" t="inlineStr">
        <is>
          <t>gut</t>
        </is>
      </c>
      <c r="N18" s="19" t="n"/>
      <c r="O18" s="19" t="inlineStr">
        <is>
          <t>ja</t>
        </is>
      </c>
      <c r="P18" s="19" t="n"/>
      <c r="Q18" s="20" t="n"/>
      <c r="R18" s="20" t="n">
        <v>130</v>
      </c>
      <c r="S18" s="19" t="inlineStr">
        <is>
          <t>VHB</t>
        </is>
      </c>
      <c r="T18" s="21">
        <f>K18*R18</f>
        <v/>
      </c>
      <c r="U18" s="15" t="inlineStr">
        <is>
          <t>nur Abholung</t>
        </is>
      </c>
      <c r="V18" s="15" t="inlineStr">
        <is>
          <t>F-056</t>
        </is>
      </c>
      <c r="W18" s="19" t="inlineStr">
        <is>
          <t>ja</t>
        </is>
      </c>
      <c r="X18" s="19" t="n"/>
      <c r="Y18" s="19" t="inlineStr">
        <is>
          <t>verfügbar</t>
        </is>
      </c>
      <c r="Z18" s="19" t="n"/>
      <c r="AA18" s="19" t="n"/>
      <c r="AB18" s="19" t="n"/>
      <c r="AC18" s="20" t="n"/>
      <c r="AD18" s="21">
        <f>IF(J18="","",J18*AC18)</f>
        <v/>
      </c>
      <c r="AE18" s="19" t="n"/>
      <c r="AF18" s="19" t="n"/>
      <c r="AG18" s="19" t="n"/>
      <c r="AH18" s="19" t="n"/>
      <c r="AI18" s="19" t="n"/>
      <c r="AJ18" s="19" t="n"/>
      <c r="AK18" s="16" t="inlineStr">
        <is>
          <t>2 Sessel im Bild</t>
        </is>
      </c>
      <c r="AL18" s="22" t="n"/>
    </row>
    <row r="19" ht="30" customHeight="1">
      <c r="A19" s="15" t="inlineStr">
        <is>
          <t>BA10-06</t>
        </is>
      </c>
      <c r="B19" s="15" t="inlineStr">
        <is>
          <t>K-092</t>
        </is>
      </c>
      <c r="C19" s="15" t="inlineStr">
        <is>
          <t>BA10</t>
        </is>
      </c>
      <c r="D19" s="15" t="inlineStr">
        <is>
          <t>Hocker grau, passend</t>
        </is>
      </c>
      <c r="E19" s="16" t="inlineStr">
        <is>
          <t>Polsterhocker hellgrau, schwarzes Kufengestell, passend zu den Sesseln</t>
        </is>
      </c>
      <c r="F19" s="15" t="inlineStr">
        <is>
          <t>Möbel</t>
        </is>
      </c>
      <c r="G19" s="15" t="inlineStr">
        <is>
          <t>Ruhe- / Schlafraum</t>
        </is>
      </c>
      <c r="H19" s="15" t="inlineStr">
        <is>
          <t>C</t>
        </is>
      </c>
      <c r="I19" s="17" t="n">
        <v>2</v>
      </c>
      <c r="J19" s="17" t="n"/>
      <c r="K19" s="18">
        <f>I19-IF(J19="",0,J19)</f>
        <v/>
      </c>
      <c r="L19" s="15" t="inlineStr">
        <is>
          <t>Stück</t>
        </is>
      </c>
      <c r="M19" s="15" t="inlineStr">
        <is>
          <t>gut</t>
        </is>
      </c>
      <c r="N19" s="19" t="n"/>
      <c r="O19" s="19" t="inlineStr">
        <is>
          <t>ja</t>
        </is>
      </c>
      <c r="P19" s="19" t="n"/>
      <c r="Q19" s="20" t="n"/>
      <c r="R19" s="20" t="n">
        <v>45</v>
      </c>
      <c r="S19" s="19" t="inlineStr">
        <is>
          <t>VHB</t>
        </is>
      </c>
      <c r="T19" s="21">
        <f>K19*R19</f>
        <v/>
      </c>
      <c r="U19" s="15" t="inlineStr">
        <is>
          <t>Versand möglich</t>
        </is>
      </c>
      <c r="V19" s="15" t="inlineStr">
        <is>
          <t>F-056</t>
        </is>
      </c>
      <c r="W19" s="19" t="inlineStr">
        <is>
          <t>ja</t>
        </is>
      </c>
      <c r="X19" s="19" t="n"/>
      <c r="Y19" s="19" t="inlineStr">
        <is>
          <t>verfügbar</t>
        </is>
      </c>
      <c r="Z19" s="19" t="n"/>
      <c r="AA19" s="19" t="n"/>
      <c r="AB19" s="19" t="n"/>
      <c r="AC19" s="20" t="n"/>
      <c r="AD19" s="21">
        <f>IF(J19="","",J19*AC19)</f>
        <v/>
      </c>
      <c r="AE19" s="19" t="n"/>
      <c r="AF19" s="19" t="n"/>
      <c r="AG19" s="19" t="n"/>
      <c r="AH19" s="19" t="n"/>
      <c r="AI19" s="19" t="n"/>
      <c r="AJ19" s="19" t="n"/>
      <c r="AK19" s="16" t="inlineStr">
        <is>
          <t>2 Hocker im Bild</t>
        </is>
      </c>
      <c r="AL19" s="22" t="n"/>
    </row>
    <row r="20" ht="30" customHeight="1">
      <c r="A20" s="15" t="inlineStr">
        <is>
          <t>BA10-07</t>
        </is>
      </c>
      <c r="B20" s="15" t="inlineStr">
        <is>
          <t>K-093</t>
        </is>
      </c>
      <c r="C20" s="15" t="inlineStr">
        <is>
          <t>BA10</t>
        </is>
      </c>
      <c r="D20" s="15" t="inlineStr">
        <is>
          <t>Beistelltisch rund grau</t>
        </is>
      </c>
      <c r="E20" s="16" t="inlineStr">
        <is>
          <t>Runde Platte grau, schwarze Hairpin-Beine</t>
        </is>
      </c>
      <c r="F20" s="15" t="inlineStr">
        <is>
          <t>Möbel</t>
        </is>
      </c>
      <c r="G20" s="15" t="inlineStr">
        <is>
          <t>Ruhe- / Schlafraum</t>
        </is>
      </c>
      <c r="H20" s="15" t="inlineStr">
        <is>
          <t>C</t>
        </is>
      </c>
      <c r="I20" s="17" t="n">
        <v>1</v>
      </c>
      <c r="J20" s="17" t="n"/>
      <c r="K20" s="18">
        <f>I20-IF(J20="",0,J20)</f>
        <v/>
      </c>
      <c r="L20" s="15" t="inlineStr">
        <is>
          <t>Stück</t>
        </is>
      </c>
      <c r="M20" s="15" t="inlineStr">
        <is>
          <t>gut</t>
        </is>
      </c>
      <c r="N20" s="19" t="n"/>
      <c r="O20" s="19" t="inlineStr">
        <is>
          <t>ja</t>
        </is>
      </c>
      <c r="P20" s="19" t="n"/>
      <c r="Q20" s="20" t="n"/>
      <c r="R20" s="20" t="n">
        <v>45</v>
      </c>
      <c r="S20" s="19" t="inlineStr">
        <is>
          <t>VHB</t>
        </is>
      </c>
      <c r="T20" s="21">
        <f>K20*R20</f>
        <v/>
      </c>
      <c r="U20" s="15" t="inlineStr">
        <is>
          <t>Versand möglich</t>
        </is>
      </c>
      <c r="V20" s="15" t="inlineStr">
        <is>
          <t>F-056</t>
        </is>
      </c>
      <c r="W20" s="19" t="inlineStr">
        <is>
          <t>ja</t>
        </is>
      </c>
      <c r="X20" s="19" t="n"/>
      <c r="Y20" s="19" t="inlineStr">
        <is>
          <t>verfügbar</t>
        </is>
      </c>
      <c r="Z20" s="19" t="n"/>
      <c r="AA20" s="19" t="n"/>
      <c r="AB20" s="19" t="n"/>
      <c r="AC20" s="20" t="n"/>
      <c r="AD20" s="21">
        <f>IF(J20="","",J20*AC20)</f>
        <v/>
      </c>
      <c r="AE20" s="19" t="n"/>
      <c r="AF20" s="19" t="n"/>
      <c r="AG20" s="19" t="n"/>
      <c r="AH20" s="19" t="n"/>
      <c r="AI20" s="19" t="n"/>
      <c r="AJ20" s="19" t="n"/>
      <c r="AK20" s="16" t="inlineStr">
        <is>
          <t>1 Tisch im Bild</t>
        </is>
      </c>
      <c r="AL20" s="22" t="n"/>
    </row>
    <row r="21" ht="30" customHeight="1">
      <c r="A21" s="15" t="inlineStr">
        <is>
          <t>BA10-08</t>
        </is>
      </c>
      <c r="B21" s="15" t="inlineStr">
        <is>
          <t>K-094</t>
        </is>
      </c>
      <c r="C21" s="15" t="inlineStr">
        <is>
          <t>BA10</t>
        </is>
      </c>
      <c r="D21" s="15" t="inlineStr">
        <is>
          <t>Pendelleuchte Drahtgeflecht</t>
        </is>
      </c>
      <c r="E21" s="16" t="inlineStr">
        <is>
          <t>Geometrische Drahtleuchte schwarz, Ikosaederform</t>
        </is>
      </c>
      <c r="F21" s="15" t="inlineStr">
        <is>
          <t>Leuchten</t>
        </is>
      </c>
      <c r="G21" s="15" t="inlineStr">
        <is>
          <t>Ruhe- / Schlafraum</t>
        </is>
      </c>
      <c r="H21" s="15" t="inlineStr">
        <is>
          <t>C</t>
        </is>
      </c>
      <c r="I21" s="17" t="n">
        <v>2</v>
      </c>
      <c r="J21" s="17" t="n"/>
      <c r="K21" s="18">
        <f>I21-IF(J21="",0,J21)</f>
        <v/>
      </c>
      <c r="L21" s="15" t="inlineStr">
        <is>
          <t>Stück</t>
        </is>
      </c>
      <c r="M21" s="15" t="inlineStr">
        <is>
          <t>gut</t>
        </is>
      </c>
      <c r="N21" s="19" t="n"/>
      <c r="O21" s="19" t="inlineStr">
        <is>
          <t>ja</t>
        </is>
      </c>
      <c r="P21" s="19" t="n"/>
      <c r="Q21" s="20" t="n"/>
      <c r="R21" s="20" t="n">
        <v>55</v>
      </c>
      <c r="S21" s="19" t="inlineStr">
        <is>
          <t>VHB</t>
        </is>
      </c>
      <c r="T21" s="21">
        <f>K21*R21</f>
        <v/>
      </c>
      <c r="U21" s="15" t="inlineStr">
        <is>
          <t>Versand möglich</t>
        </is>
      </c>
      <c r="V21" s="15" t="inlineStr">
        <is>
          <t>F-061</t>
        </is>
      </c>
      <c r="W21" s="19" t="inlineStr">
        <is>
          <t>ja</t>
        </is>
      </c>
      <c r="X21" s="19" t="n"/>
      <c r="Y21" s="19" t="inlineStr">
        <is>
          <t>verfügbar</t>
        </is>
      </c>
      <c r="Z21" s="19" t="n"/>
      <c r="AA21" s="19" t="n"/>
      <c r="AB21" s="19" t="n"/>
      <c r="AC21" s="20" t="n"/>
      <c r="AD21" s="21">
        <f>IF(J21="","",J21*AC21)</f>
        <v/>
      </c>
      <c r="AE21" s="19" t="n"/>
      <c r="AF21" s="19" t="n"/>
      <c r="AG21" s="19" t="n"/>
      <c r="AH21" s="19" t="n"/>
      <c r="AI21" s="19" t="n"/>
      <c r="AJ21" s="19" t="n"/>
      <c r="AK21" s="16" t="inlineStr">
        <is>
          <t>1 Leuchte im Bild</t>
        </is>
      </c>
      <c r="AL21" s="22" t="n"/>
    </row>
    <row r="22" ht="30" customHeight="1">
      <c r="A22" s="15" t="inlineStr">
        <is>
          <t>BA12-01</t>
        </is>
      </c>
      <c r="B22" s="15" t="inlineStr">
        <is>
          <t>K-085</t>
        </is>
      </c>
      <c r="C22" s="15" t="inlineStr">
        <is>
          <t>BA12</t>
        </is>
      </c>
      <c r="D22" s="15" t="inlineStr">
        <is>
          <t>Ast-Mobile mit Papierwaben</t>
        </is>
      </c>
      <c r="E22" s="16" t="inlineStr">
        <is>
          <t>Deko-Mobile: Birkenast mit Papierwaben, Sternen und Filzhäusern</t>
        </is>
      </c>
      <c r="F22" s="15" t="inlineStr">
        <is>
          <t>Deko</t>
        </is>
      </c>
      <c r="G22" s="15" t="inlineStr">
        <is>
          <t>WC Personal</t>
        </is>
      </c>
      <c r="H22" s="15" t="inlineStr">
        <is>
          <t>C</t>
        </is>
      </c>
      <c r="I22" s="17" t="n">
        <v>1</v>
      </c>
      <c r="J22" s="17" t="n"/>
      <c r="K22" s="18">
        <f>I22-IF(J22="",0,J22)</f>
        <v/>
      </c>
      <c r="L22" s="15" t="inlineStr">
        <is>
          <t>Stück</t>
        </is>
      </c>
      <c r="M22" s="15" t="inlineStr">
        <is>
          <t>gut</t>
        </is>
      </c>
      <c r="N22" s="19" t="n"/>
      <c r="O22" s="19" t="inlineStr">
        <is>
          <t>ja</t>
        </is>
      </c>
      <c r="P22" s="19" t="n"/>
      <c r="Q22" s="20" t="n"/>
      <c r="R22" s="20" t="n">
        <v>30</v>
      </c>
      <c r="S22" s="19" t="inlineStr">
        <is>
          <t>VHB</t>
        </is>
      </c>
      <c r="T22" s="21">
        <f>K22*R22</f>
        <v/>
      </c>
      <c r="U22" s="15" t="inlineStr">
        <is>
          <t>nur Abholung</t>
        </is>
      </c>
      <c r="V22" s="15" t="inlineStr">
        <is>
          <t>F-055</t>
        </is>
      </c>
      <c r="W22" s="19" t="inlineStr">
        <is>
          <t>ja</t>
        </is>
      </c>
      <c r="X22" s="19" t="n"/>
      <c r="Y22" s="19" t="inlineStr">
        <is>
          <t>verfügbar</t>
        </is>
      </c>
      <c r="Z22" s="19" t="n"/>
      <c r="AA22" s="19" t="n"/>
      <c r="AB22" s="19" t="n"/>
      <c r="AC22" s="20" t="n"/>
      <c r="AD22" s="21">
        <f>IF(J22="","",J22*AC22)</f>
        <v/>
      </c>
      <c r="AE22" s="19" t="n"/>
      <c r="AF22" s="19" t="n"/>
      <c r="AG22" s="19" t="n"/>
      <c r="AH22" s="19" t="n"/>
      <c r="AI22" s="19" t="n"/>
      <c r="AJ22" s="19" t="n"/>
      <c r="AK22" s="16" t="inlineStr">
        <is>
          <t>1 Mobile im Bild</t>
        </is>
      </c>
      <c r="AL22" s="22" t="n"/>
    </row>
    <row r="23" ht="30" customHeight="1">
      <c r="A23" s="15" t="inlineStr">
        <is>
          <t>BE01-01</t>
        </is>
      </c>
      <c r="B23" s="15" t="inlineStr">
        <is>
          <t>K-062</t>
        </is>
      </c>
      <c r="C23" s="15" t="inlineStr">
        <is>
          <t>BE01</t>
        </is>
      </c>
      <c r="D23" s="15" t="inlineStr">
        <is>
          <t>Barockspiegel schwarz, oval</t>
        </is>
      </c>
      <c r="E23" s="16" t="inlineStr">
        <is>
          <t>Verzierter Rahmen schwarz, oval, zwei Größen</t>
        </is>
      </c>
      <c r="F23" s="15" t="inlineStr">
        <is>
          <t>Deko</t>
        </is>
      </c>
      <c r="G23" s="15" t="inlineStr">
        <is>
          <t>Flur 1</t>
        </is>
      </c>
      <c r="H23" s="15" t="inlineStr">
        <is>
          <t>C</t>
        </is>
      </c>
      <c r="I23" s="17" t="n">
        <v>3</v>
      </c>
      <c r="J23" s="17" t="n"/>
      <c r="K23" s="18">
        <f>I23-IF(J23="",0,J23)</f>
        <v/>
      </c>
      <c r="L23" s="15" t="inlineStr">
        <is>
          <t>Stück</t>
        </is>
      </c>
      <c r="M23" s="15" t="inlineStr">
        <is>
          <t>gut</t>
        </is>
      </c>
      <c r="N23" s="19" t="n"/>
      <c r="O23" s="19" t="inlineStr">
        <is>
          <t>ja</t>
        </is>
      </c>
      <c r="P23" s="19" t="n"/>
      <c r="Q23" s="20" t="n"/>
      <c r="R23" s="20" t="n">
        <v>45</v>
      </c>
      <c r="S23" s="19" t="inlineStr">
        <is>
          <t>VHB</t>
        </is>
      </c>
      <c r="T23" s="21">
        <f>K23*R23</f>
        <v/>
      </c>
      <c r="U23" s="15" t="inlineStr">
        <is>
          <t>Versand möglich</t>
        </is>
      </c>
      <c r="V23" s="15" t="inlineStr">
        <is>
          <t>F-051</t>
        </is>
      </c>
      <c r="W23" s="19" t="inlineStr">
        <is>
          <t>ja</t>
        </is>
      </c>
      <c r="X23" s="19" t="n"/>
      <c r="Y23" s="19" t="inlineStr">
        <is>
          <t>verfügbar</t>
        </is>
      </c>
      <c r="Z23" s="19" t="n"/>
      <c r="AA23" s="19" t="n"/>
      <c r="AB23" s="19" t="n"/>
      <c r="AC23" s="20" t="n"/>
      <c r="AD23" s="21">
        <f>IF(J23="","",J23*AC23)</f>
        <v/>
      </c>
      <c r="AE23" s="19" t="n"/>
      <c r="AF23" s="19" t="n"/>
      <c r="AG23" s="19" t="n"/>
      <c r="AH23" s="19" t="n"/>
      <c r="AI23" s="19" t="n"/>
      <c r="AJ23" s="19" t="n"/>
      <c r="AK23" s="16" t="inlineStr">
        <is>
          <t>2 Stück im Bild</t>
        </is>
      </c>
      <c r="AL23" s="22" t="n"/>
    </row>
    <row r="24" ht="30" customHeight="1">
      <c r="A24" s="15" t="inlineStr">
        <is>
          <t>BE01-02</t>
        </is>
      </c>
      <c r="B24" s="15" t="inlineStr">
        <is>
          <t>K-064</t>
        </is>
      </c>
      <c r="C24" s="15" t="inlineStr">
        <is>
          <t>BE01</t>
        </is>
      </c>
      <c r="D24" s="15" t="inlineStr">
        <is>
          <t>Bilderrahmen mit Kinderzeichnung</t>
        </is>
      </c>
      <c r="E24" s="16" t="inlineStr">
        <is>
          <t>Gerahmte Kinderzeichnungen/Drucke, schwarz gerahmt</t>
        </is>
      </c>
      <c r="F24" s="15" t="inlineStr">
        <is>
          <t>Deko</t>
        </is>
      </c>
      <c r="G24" s="15" t="inlineStr">
        <is>
          <t>Flur 1</t>
        </is>
      </c>
      <c r="H24" s="15" t="inlineStr">
        <is>
          <t>C</t>
        </is>
      </c>
      <c r="I24" s="17" t="n">
        <v>3</v>
      </c>
      <c r="J24" s="17" t="n"/>
      <c r="K24" s="18">
        <f>I24-IF(J24="",0,J24)</f>
        <v/>
      </c>
      <c r="L24" s="15" t="inlineStr">
        <is>
          <t>Set</t>
        </is>
      </c>
      <c r="M24" s="15" t="inlineStr">
        <is>
          <t>gut</t>
        </is>
      </c>
      <c r="N24" s="19" t="n"/>
      <c r="O24" s="19" t="inlineStr">
        <is>
          <t>ja</t>
        </is>
      </c>
      <c r="P24" s="19" t="n"/>
      <c r="Q24" s="20" t="n"/>
      <c r="R24" s="20" t="n">
        <v>40</v>
      </c>
      <c r="S24" s="19" t="inlineStr">
        <is>
          <t>VHB</t>
        </is>
      </c>
      <c r="T24" s="21">
        <f>K24*R24</f>
        <v/>
      </c>
      <c r="U24" s="15" t="inlineStr">
        <is>
          <t>Versand möglich</t>
        </is>
      </c>
      <c r="V24" s="15" t="inlineStr">
        <is>
          <t>F-053</t>
        </is>
      </c>
      <c r="W24" s="19" t="inlineStr">
        <is>
          <t>ja</t>
        </is>
      </c>
      <c r="X24" s="19" t="n"/>
      <c r="Y24" s="19" t="inlineStr">
        <is>
          <t>verfügbar</t>
        </is>
      </c>
      <c r="Z24" s="19" t="n"/>
      <c r="AA24" s="19" t="n"/>
      <c r="AB24" s="19" t="n"/>
      <c r="AC24" s="20" t="n"/>
      <c r="AD24" s="21">
        <f>IF(J24="","",J24*AC24)</f>
        <v/>
      </c>
      <c r="AE24" s="19" t="n"/>
      <c r="AF24" s="19" t="n"/>
      <c r="AG24" s="19" t="n"/>
      <c r="AH24" s="19" t="n"/>
      <c r="AI24" s="19" t="n"/>
      <c r="AJ24" s="19" t="n"/>
      <c r="AK24" s="16" t="inlineStr">
        <is>
          <t>3 Rahmen im Bild</t>
        </is>
      </c>
      <c r="AL24" s="22" t="n"/>
    </row>
    <row r="25" ht="30" customHeight="1">
      <c r="A25" s="15" t="inlineStr">
        <is>
          <t>BE01-03</t>
        </is>
      </c>
      <c r="B25" s="15" t="inlineStr">
        <is>
          <t>K-065</t>
        </is>
      </c>
      <c r="C25" s="15" t="inlineStr">
        <is>
          <t>BE01</t>
        </is>
      </c>
      <c r="D25" s="15" t="inlineStr">
        <is>
          <t>Wandregal-Würfel schwarz</t>
        </is>
      </c>
      <c r="E25" s="16" t="inlineStr">
        <is>
          <t>Offene Regalwürfel zur Wandmontage, schwarz</t>
        </is>
      </c>
      <c r="F25" s="15" t="inlineStr">
        <is>
          <t>Möbel</t>
        </is>
      </c>
      <c r="G25" s="15" t="inlineStr">
        <is>
          <t>Flur 1</t>
        </is>
      </c>
      <c r="H25" s="15" t="inlineStr">
        <is>
          <t>C</t>
        </is>
      </c>
      <c r="I25" s="17" t="n">
        <v>2</v>
      </c>
      <c r="J25" s="17" t="n"/>
      <c r="K25" s="18">
        <f>I25-IF(J25="",0,J25)</f>
        <v/>
      </c>
      <c r="L25" s="15" t="inlineStr">
        <is>
          <t>Stück</t>
        </is>
      </c>
      <c r="M25" s="15" t="inlineStr">
        <is>
          <t>gut</t>
        </is>
      </c>
      <c r="N25" s="19" t="n"/>
      <c r="O25" s="19" t="inlineStr">
        <is>
          <t>ja</t>
        </is>
      </c>
      <c r="P25" s="19" t="n"/>
      <c r="Q25" s="20" t="n"/>
      <c r="R25" s="20" t="n">
        <v>20</v>
      </c>
      <c r="S25" s="19" t="inlineStr">
        <is>
          <t>VHB</t>
        </is>
      </c>
      <c r="T25" s="21">
        <f>K25*R25</f>
        <v/>
      </c>
      <c r="U25" s="15" t="inlineStr">
        <is>
          <t>Versand möglich</t>
        </is>
      </c>
      <c r="V25" s="15" t="inlineStr">
        <is>
          <t>F-054</t>
        </is>
      </c>
      <c r="W25" s="19" t="inlineStr">
        <is>
          <t>ja</t>
        </is>
      </c>
      <c r="X25" s="19" t="n"/>
      <c r="Y25" s="19" t="inlineStr">
        <is>
          <t>verfügbar</t>
        </is>
      </c>
      <c r="Z25" s="19" t="n"/>
      <c r="AA25" s="19" t="n"/>
      <c r="AB25" s="19" t="n"/>
      <c r="AC25" s="20" t="n"/>
      <c r="AD25" s="21">
        <f>IF(J25="","",J25*AC25)</f>
        <v/>
      </c>
      <c r="AE25" s="19" t="n"/>
      <c r="AF25" s="19" t="n"/>
      <c r="AG25" s="19" t="n"/>
      <c r="AH25" s="19" t="n"/>
      <c r="AI25" s="19" t="n"/>
      <c r="AJ25" s="19" t="n"/>
      <c r="AK25" s="16" t="inlineStr">
        <is>
          <t>2 Stück im Bild</t>
        </is>
      </c>
      <c r="AL25" s="22" t="n"/>
    </row>
    <row r="26" ht="30" customHeight="1">
      <c r="A26" s="15" t="inlineStr">
        <is>
          <t>BE06-01</t>
        </is>
      </c>
      <c r="B26" s="15" t="inlineStr">
        <is>
          <t>K-077</t>
        </is>
      </c>
      <c r="C26" s="15" t="inlineStr">
        <is>
          <t>BE06</t>
        </is>
      </c>
      <c r="D26" s="15" t="inlineStr">
        <is>
          <t>Wandgestell Holz mit Schnüren</t>
        </is>
      </c>
      <c r="E26" s="16" t="inlineStr">
        <is>
          <t>Holzrahmen mit gespannten Schnüren und Wäscheklammern zum Aufhängen von Bildern</t>
        </is>
      </c>
      <c r="F26" s="15" t="inlineStr">
        <is>
          <t>Kita-Ausstattung</t>
        </is>
      </c>
      <c r="G26" s="15" t="inlineStr">
        <is>
          <t>Gruppenraum 2</t>
        </is>
      </c>
      <c r="H26" s="15" t="inlineStr">
        <is>
          <t>C</t>
        </is>
      </c>
      <c r="I26" s="17" t="n">
        <v>1</v>
      </c>
      <c r="J26" s="17" t="n"/>
      <c r="K26" s="18">
        <f>I26-IF(J26="",0,J26)</f>
        <v/>
      </c>
      <c r="L26" s="15" t="inlineStr">
        <is>
          <t>Stück</t>
        </is>
      </c>
      <c r="M26" s="15" t="inlineStr">
        <is>
          <t>gut</t>
        </is>
      </c>
      <c r="N26" s="19" t="n"/>
      <c r="O26" s="19" t="inlineStr">
        <is>
          <t>ja</t>
        </is>
      </c>
      <c r="P26" s="19" t="n"/>
      <c r="Q26" s="20" t="n"/>
      <c r="R26" s="20" t="n">
        <v>35</v>
      </c>
      <c r="S26" s="19" t="inlineStr">
        <is>
          <t>VHB</t>
        </is>
      </c>
      <c r="T26" s="21">
        <f>K26*R26</f>
        <v/>
      </c>
      <c r="U26" s="15" t="inlineStr">
        <is>
          <t>nur Abholung</t>
        </is>
      </c>
      <c r="V26" s="15" t="inlineStr">
        <is>
          <t>F-042</t>
        </is>
      </c>
      <c r="W26" s="19" t="inlineStr">
        <is>
          <t>ja</t>
        </is>
      </c>
      <c r="X26" s="19" t="n"/>
      <c r="Y26" s="19" t="inlineStr">
        <is>
          <t>verfügbar</t>
        </is>
      </c>
      <c r="Z26" s="19" t="n"/>
      <c r="AA26" s="19" t="n"/>
      <c r="AB26" s="19" t="n"/>
      <c r="AC26" s="20" t="n"/>
      <c r="AD26" s="21">
        <f>IF(J26="","",J26*AC26)</f>
        <v/>
      </c>
      <c r="AE26" s="19" t="n"/>
      <c r="AF26" s="19" t="n"/>
      <c r="AG26" s="19" t="n"/>
      <c r="AH26" s="19" t="n"/>
      <c r="AI26" s="19" t="n"/>
      <c r="AJ26" s="19" t="n"/>
      <c r="AK26" s="16" t="inlineStr">
        <is>
          <t>1 Stück im Bild</t>
        </is>
      </c>
      <c r="AL26" s="22" t="n"/>
    </row>
    <row r="27" ht="30" customHeight="1">
      <c r="A27" s="15" t="inlineStr">
        <is>
          <t>BE06-02</t>
        </is>
      </c>
      <c r="B27" s="15" t="inlineStr">
        <is>
          <t>K-078</t>
        </is>
      </c>
      <c r="C27" s="15" t="inlineStr">
        <is>
          <t>BE06</t>
        </is>
      </c>
      <c r="D27" s="15" t="inlineStr">
        <is>
          <t>Designsofa anthrazit</t>
        </is>
      </c>
      <c r="E27" s="16" t="inlineStr">
        <is>
          <t>Geschwungene Form, Wollstoff anthrazit, dunkle Metallbeine, 3-Sitzer</t>
        </is>
      </c>
      <c r="F27" s="15" t="inlineStr">
        <is>
          <t>Möbel</t>
        </is>
      </c>
      <c r="G27" s="15" t="inlineStr">
        <is>
          <t>Gruppenraum 2</t>
        </is>
      </c>
      <c r="H27" s="15" t="inlineStr">
        <is>
          <t>A</t>
        </is>
      </c>
      <c r="I27" s="17" t="n">
        <v>1</v>
      </c>
      <c r="J27" s="17" t="n"/>
      <c r="K27" s="18">
        <f>I27-IF(J27="",0,J27)</f>
        <v/>
      </c>
      <c r="L27" s="15" t="inlineStr">
        <is>
          <t>Stück</t>
        </is>
      </c>
      <c r="M27" s="15" t="inlineStr">
        <is>
          <t>gut</t>
        </is>
      </c>
      <c r="N27" s="19" t="n"/>
      <c r="O27" s="19" t="inlineStr">
        <is>
          <t>ja</t>
        </is>
      </c>
      <c r="P27" s="19" t="n"/>
      <c r="Q27" s="20" t="n"/>
      <c r="R27" s="20" t="n">
        <v>450</v>
      </c>
      <c r="S27" s="19" t="inlineStr">
        <is>
          <t>VHB</t>
        </is>
      </c>
      <c r="T27" s="21">
        <f>K27*R27</f>
        <v/>
      </c>
      <c r="U27" s="15" t="inlineStr">
        <is>
          <t>nur Abholung</t>
        </is>
      </c>
      <c r="V27" s="15" t="inlineStr">
        <is>
          <t>F-043</t>
        </is>
      </c>
      <c r="W27" s="19" t="inlineStr">
        <is>
          <t>ja</t>
        </is>
      </c>
      <c r="X27" s="19" t="n"/>
      <c r="Y27" s="19" t="inlineStr">
        <is>
          <t>verfügbar</t>
        </is>
      </c>
      <c r="Z27" s="19" t="n"/>
      <c r="AA27" s="19" t="n"/>
      <c r="AB27" s="19" t="n"/>
      <c r="AC27" s="20" t="n"/>
      <c r="AD27" s="21">
        <f>IF(J27="","",J27*AC27)</f>
        <v/>
      </c>
      <c r="AE27" s="19" t="n"/>
      <c r="AF27" s="19" t="n"/>
      <c r="AG27" s="19" t="n"/>
      <c r="AH27" s="19" t="n"/>
      <c r="AI27" s="19" t="n"/>
      <c r="AJ27" s="19" t="n"/>
      <c r="AK27" s="16" t="inlineStr">
        <is>
          <t>1 Sofa im Bild</t>
        </is>
      </c>
      <c r="AL27" s="22" t="n"/>
    </row>
    <row r="28" ht="30" customHeight="1">
      <c r="A28" s="15" t="inlineStr">
        <is>
          <t>BE10-01</t>
        </is>
      </c>
      <c r="B28" s="15" t="inlineStr">
        <is>
          <t>K-036</t>
        </is>
      </c>
      <c r="C28" s="15" t="inlineStr">
        <is>
          <t>BE10</t>
        </is>
      </c>
      <c r="D28" s="15" t="inlineStr">
        <is>
          <t>LED-Ring-Pendelleuchte</t>
        </is>
      </c>
      <c r="E28" s="16" t="inlineStr">
        <is>
          <t>Große Pendelleuchte aus mehreren LED-Ringen</t>
        </is>
      </c>
      <c r="F28" s="15" t="inlineStr">
        <is>
          <t>Leuchten</t>
        </is>
      </c>
      <c r="G28" s="15" t="inlineStr">
        <is>
          <t>Büro / Besprechung</t>
        </is>
      </c>
      <c r="H28" s="15" t="inlineStr">
        <is>
          <t>A</t>
        </is>
      </c>
      <c r="I28" s="17" t="n">
        <v>1</v>
      </c>
      <c r="J28" s="17" t="n"/>
      <c r="K28" s="18">
        <f>I28-IF(J28="",0,J28)</f>
        <v/>
      </c>
      <c r="L28" s="15" t="inlineStr">
        <is>
          <t>Stück</t>
        </is>
      </c>
      <c r="M28" s="15" t="inlineStr">
        <is>
          <t>gut</t>
        </is>
      </c>
      <c r="N28" s="19" t="n"/>
      <c r="O28" s="19" t="inlineStr">
        <is>
          <t>ja</t>
        </is>
      </c>
      <c r="P28" s="19" t="n"/>
      <c r="Q28" s="20" t="n"/>
      <c r="R28" s="20" t="n">
        <v>450</v>
      </c>
      <c r="S28" s="19" t="inlineStr">
        <is>
          <t>VHB</t>
        </is>
      </c>
      <c r="T28" s="21">
        <f>K28*R28</f>
        <v/>
      </c>
      <c r="U28" s="15" t="inlineStr">
        <is>
          <t>nur Abholung</t>
        </is>
      </c>
      <c r="V28" s="15" t="inlineStr">
        <is>
          <t>F-021</t>
        </is>
      </c>
      <c r="W28" s="19" t="inlineStr">
        <is>
          <t>ja</t>
        </is>
      </c>
      <c r="X28" s="19" t="n"/>
      <c r="Y28" s="19" t="inlineStr">
        <is>
          <t>verfügbar</t>
        </is>
      </c>
      <c r="Z28" s="19" t="n"/>
      <c r="AA28" s="19" t="n"/>
      <c r="AB28" s="19" t="n"/>
      <c r="AC28" s="20" t="n"/>
      <c r="AD28" s="21">
        <f>IF(J28="","",J28*AC28)</f>
        <v/>
      </c>
      <c r="AE28" s="19" t="n"/>
      <c r="AF28" s="19" t="n"/>
      <c r="AG28" s="19" t="n"/>
      <c r="AH28" s="19" t="n"/>
      <c r="AI28" s="19" t="n"/>
      <c r="AJ28" s="19" t="n"/>
      <c r="AK28" s="16" t="inlineStr">
        <is>
          <t>1 Leuchte im Bild</t>
        </is>
      </c>
      <c r="AL28" s="22" t="n"/>
    </row>
    <row r="29" ht="30" customHeight="1">
      <c r="A29" s="15" t="inlineStr">
        <is>
          <t>BE10-02</t>
        </is>
      </c>
      <c r="B29" s="15" t="inlineStr">
        <is>
          <t>K-040</t>
        </is>
      </c>
      <c r="C29" s="15" t="inlineStr">
        <is>
          <t>BE10</t>
        </is>
      </c>
      <c r="D29" s="15" t="inlineStr">
        <is>
          <t>Pachira groß im Übertopf</t>
        </is>
      </c>
      <c r="E29" s="16" t="inlineStr">
        <is>
          <t>Glückskastanie, große Pflanze, weißer Übertopf</t>
        </is>
      </c>
      <c r="F29" s="15" t="inlineStr">
        <is>
          <t>Pflanzen</t>
        </is>
      </c>
      <c r="G29" s="15" t="inlineStr">
        <is>
          <t>Büro / Besprechung</t>
        </is>
      </c>
      <c r="H29" s="15" t="inlineStr">
        <is>
          <t>C</t>
        </is>
      </c>
      <c r="I29" s="17" t="n">
        <v>1</v>
      </c>
      <c r="J29" s="17" t="n"/>
      <c r="K29" s="18">
        <f>I29-IF(J29="",0,J29)</f>
        <v/>
      </c>
      <c r="L29" s="15" t="inlineStr">
        <is>
          <t>Stück</t>
        </is>
      </c>
      <c r="M29" s="15" t="inlineStr">
        <is>
          <t>gut</t>
        </is>
      </c>
      <c r="N29" s="19" t="n"/>
      <c r="O29" s="19" t="inlineStr">
        <is>
          <t>ja</t>
        </is>
      </c>
      <c r="P29" s="19" t="n"/>
      <c r="Q29" s="20" t="n"/>
      <c r="R29" s="20" t="n">
        <v>80</v>
      </c>
      <c r="S29" s="19" t="inlineStr">
        <is>
          <t>VHB</t>
        </is>
      </c>
      <c r="T29" s="21">
        <f>K29*R29</f>
        <v/>
      </c>
      <c r="U29" s="15" t="inlineStr">
        <is>
          <t>nur Abholung</t>
        </is>
      </c>
      <c r="V29" s="15" t="inlineStr">
        <is>
          <t>F-025</t>
        </is>
      </c>
      <c r="W29" s="19" t="inlineStr">
        <is>
          <t>ja</t>
        </is>
      </c>
      <c r="X29" s="19" t="n"/>
      <c r="Y29" s="19" t="inlineStr">
        <is>
          <t>verfügbar</t>
        </is>
      </c>
      <c r="Z29" s="19" t="n"/>
      <c r="AA29" s="19" t="n"/>
      <c r="AB29" s="19" t="n"/>
      <c r="AC29" s="20" t="n"/>
      <c r="AD29" s="21">
        <f>IF(J29="","",J29*AC29)</f>
        <v/>
      </c>
      <c r="AE29" s="19" t="n"/>
      <c r="AF29" s="19" t="n"/>
      <c r="AG29" s="19" t="n"/>
      <c r="AH29" s="19" t="n"/>
      <c r="AI29" s="19" t="n"/>
      <c r="AJ29" s="19" t="n"/>
      <c r="AK29" s="16" t="inlineStr">
        <is>
          <t>1 Pflanze im Bild</t>
        </is>
      </c>
      <c r="AL29" s="22" t="n"/>
    </row>
    <row r="30" ht="30" customHeight="1">
      <c r="A30" s="15" t="inlineStr">
        <is>
          <t>BE10-03</t>
        </is>
      </c>
      <c r="B30" s="15" t="inlineStr">
        <is>
          <t>K-042</t>
        </is>
      </c>
      <c r="C30" s="15" t="inlineStr">
        <is>
          <t>BE10</t>
        </is>
      </c>
      <c r="D30" s="15" t="inlineStr">
        <is>
          <t>Moderationswand fahrbar</t>
        </is>
      </c>
      <c r="E30" s="16" t="inlineStr">
        <is>
          <t>Pinnwand/Stellwand grau, auf Rollen, beidseitig</t>
        </is>
      </c>
      <c r="F30" s="15" t="inlineStr">
        <is>
          <t>Büro</t>
        </is>
      </c>
      <c r="G30" s="15" t="inlineStr">
        <is>
          <t>Büro / Besprechung</t>
        </is>
      </c>
      <c r="H30" s="15" t="inlineStr">
        <is>
          <t>B</t>
        </is>
      </c>
      <c r="I30" s="17" t="n">
        <v>1</v>
      </c>
      <c r="J30" s="17" t="n"/>
      <c r="K30" s="18">
        <f>I30-IF(J30="",0,J30)</f>
        <v/>
      </c>
      <c r="L30" s="15" t="inlineStr">
        <is>
          <t>Stück</t>
        </is>
      </c>
      <c r="M30" s="15" t="inlineStr">
        <is>
          <t>gut</t>
        </is>
      </c>
      <c r="N30" s="19" t="n"/>
      <c r="O30" s="19" t="inlineStr">
        <is>
          <t>ja</t>
        </is>
      </c>
      <c r="P30" s="19" t="n"/>
      <c r="Q30" s="20" t="n"/>
      <c r="R30" s="20" t="n">
        <v>110</v>
      </c>
      <c r="S30" s="19" t="inlineStr">
        <is>
          <t>VHB</t>
        </is>
      </c>
      <c r="T30" s="21">
        <f>K30*R30</f>
        <v/>
      </c>
      <c r="U30" s="15" t="inlineStr">
        <is>
          <t>nur Abholung</t>
        </is>
      </c>
      <c r="V30" s="15" t="inlineStr">
        <is>
          <t>F-026</t>
        </is>
      </c>
      <c r="W30" s="19" t="inlineStr">
        <is>
          <t>ja</t>
        </is>
      </c>
      <c r="X30" s="19" t="n"/>
      <c r="Y30" s="19" t="inlineStr">
        <is>
          <t>verfügbar</t>
        </is>
      </c>
      <c r="Z30" s="19" t="n"/>
      <c r="AA30" s="19" t="n"/>
      <c r="AB30" s="19" t="n"/>
      <c r="AC30" s="20" t="n"/>
      <c r="AD30" s="21">
        <f>IF(J30="","",J30*AC30)</f>
        <v/>
      </c>
      <c r="AE30" s="19" t="n"/>
      <c r="AF30" s="19" t="n"/>
      <c r="AG30" s="19" t="n"/>
      <c r="AH30" s="19" t="n"/>
      <c r="AI30" s="19" t="n"/>
      <c r="AJ30" s="19" t="n"/>
      <c r="AK30" s="16" t="inlineStr">
        <is>
          <t>1 Stück im Bild</t>
        </is>
      </c>
      <c r="AL30" s="22" t="n"/>
    </row>
    <row r="31" ht="30" customHeight="1">
      <c r="A31" s="15" t="inlineStr">
        <is>
          <t>BE10-04</t>
        </is>
      </c>
      <c r="B31" s="15" t="inlineStr">
        <is>
          <t>K-043</t>
        </is>
      </c>
      <c r="C31" s="15" t="inlineStr">
        <is>
          <t>BE10</t>
        </is>
      </c>
      <c r="D31" s="15" t="inlineStr">
        <is>
          <t>Besprechungstisch weiß, groß</t>
        </is>
      </c>
      <c r="E31" s="16" t="inlineStr">
        <is>
          <t>Konferenztisch, weiße Platte, für ca. 8-10 Personen</t>
        </is>
      </c>
      <c r="F31" s="15" t="inlineStr">
        <is>
          <t>Büro</t>
        </is>
      </c>
      <c r="G31" s="15" t="inlineStr">
        <is>
          <t>Büro / Besprechung</t>
        </is>
      </c>
      <c r="H31" s="15" t="inlineStr">
        <is>
          <t>B</t>
        </is>
      </c>
      <c r="I31" s="17" t="n">
        <v>1</v>
      </c>
      <c r="J31" s="17" t="n"/>
      <c r="K31" s="18">
        <f>I31-IF(J31="",0,J31)</f>
        <v/>
      </c>
      <c r="L31" s="15" t="inlineStr">
        <is>
          <t>Stück</t>
        </is>
      </c>
      <c r="M31" s="15" t="inlineStr">
        <is>
          <t>gut</t>
        </is>
      </c>
      <c r="N31" s="19" t="n"/>
      <c r="O31" s="19" t="inlineStr">
        <is>
          <t>ja</t>
        </is>
      </c>
      <c r="P31" s="19" t="n"/>
      <c r="Q31" s="20" t="n"/>
      <c r="R31" s="20" t="n">
        <v>280</v>
      </c>
      <c r="S31" s="19" t="inlineStr">
        <is>
          <t>VHB</t>
        </is>
      </c>
      <c r="T31" s="21">
        <f>K31*R31</f>
        <v/>
      </c>
      <c r="U31" s="15" t="inlineStr">
        <is>
          <t>nur Abholung</t>
        </is>
      </c>
      <c r="V31" s="15" t="inlineStr">
        <is>
          <t>F-027</t>
        </is>
      </c>
      <c r="W31" s="19" t="inlineStr">
        <is>
          <t>ja</t>
        </is>
      </c>
      <c r="X31" s="19" t="n"/>
      <c r="Y31" s="19" t="inlineStr">
        <is>
          <t>verfügbar</t>
        </is>
      </c>
      <c r="Z31" s="19" t="n"/>
      <c r="AA31" s="19" t="n"/>
      <c r="AB31" s="19" t="n"/>
      <c r="AC31" s="20" t="n"/>
      <c r="AD31" s="21">
        <f>IF(J31="","",J31*AC31)</f>
        <v/>
      </c>
      <c r="AE31" s="19" t="n"/>
      <c r="AF31" s="19" t="n"/>
      <c r="AG31" s="19" t="n"/>
      <c r="AH31" s="19" t="n"/>
      <c r="AI31" s="19" t="n"/>
      <c r="AJ31" s="19" t="n"/>
      <c r="AK31" s="16" t="inlineStr">
        <is>
          <t>1 Tisch im Bild</t>
        </is>
      </c>
      <c r="AL31" s="22" t="n"/>
    </row>
    <row r="32" ht="30" customHeight="1">
      <c r="A32" s="15" t="inlineStr">
        <is>
          <t>BU04-01</t>
        </is>
      </c>
      <c r="B32" s="15" t="inlineStr">
        <is>
          <t>K-110</t>
        </is>
      </c>
      <c r="C32" s="15" t="inlineStr">
        <is>
          <t>BU04</t>
        </is>
      </c>
      <c r="D32" s="15" t="inlineStr">
        <is>
          <t>Crassula im Topf</t>
        </is>
      </c>
      <c r="E32" s="16" t="inlineStr">
        <is>
          <t>Geldbaum, Zimmerpflanze im weißen Topf</t>
        </is>
      </c>
      <c r="F32" s="15" t="inlineStr">
        <is>
          <t>Pflanzen</t>
        </is>
      </c>
      <c r="G32" s="15" t="inlineStr">
        <is>
          <t>Gruppenraum</t>
        </is>
      </c>
      <c r="H32" s="15" t="inlineStr">
        <is>
          <t>C</t>
        </is>
      </c>
      <c r="I32" s="17" t="n">
        <v>1</v>
      </c>
      <c r="J32" s="17" t="n"/>
      <c r="K32" s="18">
        <f>I32-IF(J32="",0,J32)</f>
        <v/>
      </c>
      <c r="L32" s="15" t="inlineStr">
        <is>
          <t>Stück</t>
        </is>
      </c>
      <c r="M32" s="15" t="inlineStr">
        <is>
          <t>gut</t>
        </is>
      </c>
      <c r="N32" s="19" t="n"/>
      <c r="O32" s="19" t="inlineStr">
        <is>
          <t>ja</t>
        </is>
      </c>
      <c r="P32" s="19" t="n"/>
      <c r="Q32" s="20" t="n"/>
      <c r="R32" s="20" t="n">
        <v>30</v>
      </c>
      <c r="S32" s="19" t="inlineStr">
        <is>
          <t>VHB</t>
        </is>
      </c>
      <c r="T32" s="21">
        <f>K32*R32</f>
        <v/>
      </c>
      <c r="U32" s="15" t="inlineStr">
        <is>
          <t>nur Abholung</t>
        </is>
      </c>
      <c r="V32" s="15" t="inlineStr">
        <is>
          <t>F-078</t>
        </is>
      </c>
      <c r="W32" s="19" t="inlineStr">
        <is>
          <t>ja</t>
        </is>
      </c>
      <c r="X32" s="19" t="n"/>
      <c r="Y32" s="19" t="inlineStr">
        <is>
          <t>verfügbar</t>
        </is>
      </c>
      <c r="Z32" s="19" t="n"/>
      <c r="AA32" s="19" t="n"/>
      <c r="AB32" s="19" t="n"/>
      <c r="AC32" s="20" t="n"/>
      <c r="AD32" s="21">
        <f>IF(J32="","",J32*AC32)</f>
        <v/>
      </c>
      <c r="AE32" s="19" t="n"/>
      <c r="AF32" s="19" t="n"/>
      <c r="AG32" s="19" t="n"/>
      <c r="AH32" s="19" t="n"/>
      <c r="AI32" s="19" t="n"/>
      <c r="AJ32" s="19" t="n"/>
      <c r="AK32" s="16" t="inlineStr">
        <is>
          <t>1 Pflanze im Bild</t>
        </is>
      </c>
      <c r="AL32" s="22" t="n"/>
    </row>
    <row r="33" ht="30" customHeight="1">
      <c r="A33" s="15" t="inlineStr">
        <is>
          <t>BU04-02</t>
        </is>
      </c>
      <c r="B33" s="15" t="inlineStr">
        <is>
          <t>K-113</t>
        </is>
      </c>
      <c r="C33" s="15" t="inlineStr">
        <is>
          <t>BU04</t>
        </is>
      </c>
      <c r="D33" s="15" t="inlineStr">
        <is>
          <t>Pflanzkübel Raumteiler weiß Hochglanz</t>
        </is>
      </c>
      <c r="E33" s="16" t="inlineStr">
        <is>
          <t>Rechteckiger Pflanzkübel als Raumteiler, weiß hochglanz, ca. 80 x 30 x 80 cm</t>
        </is>
      </c>
      <c r="F33" s="15" t="inlineStr">
        <is>
          <t>Pflanzen</t>
        </is>
      </c>
      <c r="G33" s="15" t="inlineStr">
        <is>
          <t>Gruppenraum</t>
        </is>
      </c>
      <c r="H33" s="15" t="inlineStr">
        <is>
          <t>B</t>
        </is>
      </c>
      <c r="I33" s="17" t="n">
        <v>1</v>
      </c>
      <c r="J33" s="17" t="n"/>
      <c r="K33" s="18">
        <f>I33-IF(J33="",0,J33)</f>
        <v/>
      </c>
      <c r="L33" s="15" t="inlineStr">
        <is>
          <t>Stück</t>
        </is>
      </c>
      <c r="M33" s="15" t="inlineStr">
        <is>
          <t>gut</t>
        </is>
      </c>
      <c r="N33" s="19" t="n"/>
      <c r="O33" s="19" t="inlineStr">
        <is>
          <t>ja</t>
        </is>
      </c>
      <c r="P33" s="19" t="n"/>
      <c r="Q33" s="20" t="n"/>
      <c r="R33" s="20" t="n">
        <v>220</v>
      </c>
      <c r="S33" s="19" t="inlineStr">
        <is>
          <t>VHB</t>
        </is>
      </c>
      <c r="T33" s="21">
        <f>K33*R33</f>
        <v/>
      </c>
      <c r="U33" s="15" t="inlineStr">
        <is>
          <t>nur Abholung</t>
        </is>
      </c>
      <c r="V33" s="15" t="inlineStr">
        <is>
          <t>F-079</t>
        </is>
      </c>
      <c r="W33" s="19" t="inlineStr">
        <is>
          <t>ja</t>
        </is>
      </c>
      <c r="X33" s="19" t="n"/>
      <c r="Y33" s="19" t="inlineStr">
        <is>
          <t>verfügbar</t>
        </is>
      </c>
      <c r="Z33" s="19" t="n"/>
      <c r="AA33" s="19" t="n"/>
      <c r="AB33" s="19" t="n"/>
      <c r="AC33" s="20" t="n"/>
      <c r="AD33" s="21">
        <f>IF(J33="","",J33*AC33)</f>
        <v/>
      </c>
      <c r="AE33" s="19" t="n"/>
      <c r="AF33" s="19" t="n"/>
      <c r="AG33" s="19" t="n"/>
      <c r="AH33" s="19" t="n"/>
      <c r="AI33" s="19" t="n"/>
      <c r="AJ33" s="19" t="n"/>
      <c r="AK33" s="16" t="inlineStr">
        <is>
          <t>1 Kübel im Bild (Bepflanzung enthalten)</t>
        </is>
      </c>
      <c r="AL33" s="22" t="n"/>
    </row>
    <row r="34" ht="30" customHeight="1">
      <c r="A34" s="15" t="inlineStr">
        <is>
          <t>BU04-03</t>
        </is>
      </c>
      <c r="B34" s="15" t="inlineStr">
        <is>
          <t>K-115</t>
        </is>
      </c>
      <c r="C34" s="15" t="inlineStr">
        <is>
          <t>BU04</t>
        </is>
      </c>
      <c r="D34" s="15" t="inlineStr">
        <is>
          <t>Hochflorteppich beige, rund</t>
        </is>
      </c>
      <c r="E34" s="16" t="inlineStr">
        <is>
          <t>Shaggy, beige, rund, Durchmesser ca. 200 cm</t>
        </is>
      </c>
      <c r="F34" s="15" t="inlineStr">
        <is>
          <t>Textilien</t>
        </is>
      </c>
      <c r="G34" s="15" t="inlineStr">
        <is>
          <t>Gruppenraum</t>
        </is>
      </c>
      <c r="H34" s="15" t="inlineStr">
        <is>
          <t>C</t>
        </is>
      </c>
      <c r="I34" s="17" t="n">
        <v>1</v>
      </c>
      <c r="J34" s="17" t="n"/>
      <c r="K34" s="18">
        <f>I34-IF(J34="",0,J34)</f>
        <v/>
      </c>
      <c r="L34" s="15" t="inlineStr">
        <is>
          <t>Stück</t>
        </is>
      </c>
      <c r="M34" s="15" t="inlineStr">
        <is>
          <t>gebraucht</t>
        </is>
      </c>
      <c r="N34" s="19" t="n"/>
      <c r="O34" s="19" t="inlineStr">
        <is>
          <t>ja</t>
        </is>
      </c>
      <c r="P34" s="19" t="n"/>
      <c r="Q34" s="20" t="n"/>
      <c r="R34" s="20" t="n">
        <v>40</v>
      </c>
      <c r="S34" s="19" t="inlineStr">
        <is>
          <t>VHB</t>
        </is>
      </c>
      <c r="T34" s="21">
        <f>K34*R34</f>
        <v/>
      </c>
      <c r="U34" s="15" t="inlineStr">
        <is>
          <t>Versand möglich</t>
        </is>
      </c>
      <c r="V34" s="15" t="inlineStr">
        <is>
          <t>F-080</t>
        </is>
      </c>
      <c r="W34" s="19" t="inlineStr">
        <is>
          <t>ja</t>
        </is>
      </c>
      <c r="X34" s="19" t="n"/>
      <c r="Y34" s="19" t="inlineStr">
        <is>
          <t>verfügbar</t>
        </is>
      </c>
      <c r="Z34" s="19" t="n"/>
      <c r="AA34" s="19" t="n"/>
      <c r="AB34" s="19" t="n"/>
      <c r="AC34" s="20" t="n"/>
      <c r="AD34" s="21">
        <f>IF(J34="","",J34*AC34)</f>
        <v/>
      </c>
      <c r="AE34" s="19" t="n"/>
      <c r="AF34" s="19" t="n"/>
      <c r="AG34" s="19" t="n"/>
      <c r="AH34" s="19" t="n"/>
      <c r="AI34" s="19" t="n"/>
      <c r="AJ34" s="19" t="n"/>
      <c r="AK34" s="16" t="inlineStr">
        <is>
          <t>1 Teppich im Bild</t>
        </is>
      </c>
      <c r="AL34" s="22" t="n"/>
    </row>
    <row r="35" ht="30" customHeight="1">
      <c r="A35" s="15" t="inlineStr">
        <is>
          <t>BU04-04</t>
        </is>
      </c>
      <c r="B35" s="15" t="inlineStr">
        <is>
          <t>K-116</t>
        </is>
      </c>
      <c r="C35" s="15" t="inlineStr">
        <is>
          <t>BU04</t>
        </is>
      </c>
      <c r="D35" s="15" t="inlineStr">
        <is>
          <t>Regal weiß 2x2</t>
        </is>
      </c>
      <c r="E35" s="16" t="inlineStr">
        <is>
          <t>IKEA Kallax, weiß, 4 Fächer</t>
        </is>
      </c>
      <c r="F35" s="15" t="inlineStr">
        <is>
          <t>Möbel</t>
        </is>
      </c>
      <c r="G35" s="15" t="inlineStr">
        <is>
          <t>Gruppenraum</t>
        </is>
      </c>
      <c r="H35" s="15" t="inlineStr">
        <is>
          <t>C</t>
        </is>
      </c>
      <c r="I35" s="17" t="n">
        <v>2</v>
      </c>
      <c r="J35" s="17" t="n"/>
      <c r="K35" s="18">
        <f>I35-IF(J35="",0,J35)</f>
        <v/>
      </c>
      <c r="L35" s="15" t="inlineStr">
        <is>
          <t>Stück</t>
        </is>
      </c>
      <c r="M35" s="15" t="inlineStr">
        <is>
          <t>gut</t>
        </is>
      </c>
      <c r="N35" s="19" t="n"/>
      <c r="O35" s="19" t="inlineStr">
        <is>
          <t>ja</t>
        </is>
      </c>
      <c r="P35" s="19" t="n"/>
      <c r="Q35" s="20" t="n"/>
      <c r="R35" s="20" t="n">
        <v>45</v>
      </c>
      <c r="S35" s="19" t="inlineStr">
        <is>
          <t>VHB</t>
        </is>
      </c>
      <c r="T35" s="21">
        <f>K35*R35</f>
        <v/>
      </c>
      <c r="U35" s="15" t="inlineStr">
        <is>
          <t>nur Abholung</t>
        </is>
      </c>
      <c r="V35" s="15" t="inlineStr">
        <is>
          <t>F-080</t>
        </is>
      </c>
      <c r="W35" s="19" t="inlineStr">
        <is>
          <t>ja</t>
        </is>
      </c>
      <c r="X35" s="19" t="n"/>
      <c r="Y35" s="19" t="inlineStr">
        <is>
          <t>verfügbar</t>
        </is>
      </c>
      <c r="Z35" s="19" t="n"/>
      <c r="AA35" s="19" t="n"/>
      <c r="AB35" s="19" t="n"/>
      <c r="AC35" s="20" t="n"/>
      <c r="AD35" s="21">
        <f>IF(J35="","",J35*AC35)</f>
        <v/>
      </c>
      <c r="AE35" s="19" t="n"/>
      <c r="AF35" s="19" t="n"/>
      <c r="AG35" s="19" t="n"/>
      <c r="AH35" s="19" t="n"/>
      <c r="AI35" s="19" t="n"/>
      <c r="AJ35" s="19" t="n"/>
      <c r="AK35" s="16" t="inlineStr">
        <is>
          <t>2 Regale im Bild</t>
        </is>
      </c>
      <c r="AL35" s="22" t="n"/>
    </row>
    <row r="36" ht="30" customHeight="1">
      <c r="A36" s="15" t="inlineStr">
        <is>
          <t>BU04-05</t>
        </is>
      </c>
      <c r="B36" s="15" t="inlineStr">
        <is>
          <t>K-117</t>
        </is>
      </c>
      <c r="C36" s="15" t="inlineStr">
        <is>
          <t>BU04</t>
        </is>
      </c>
      <c r="D36" s="15" t="inlineStr">
        <is>
          <t>Wanddeko Fadenbilder mit Spiegelpunkten</t>
        </is>
      </c>
      <c r="E36" s="16" t="inlineStr">
        <is>
          <t>Fadenbilder auf Holzreifen, dazu runde Spiegelelemente</t>
        </is>
      </c>
      <c r="F36" s="15" t="inlineStr">
        <is>
          <t>Deko</t>
        </is>
      </c>
      <c r="G36" s="15" t="inlineStr">
        <is>
          <t>Gruppenraum</t>
        </is>
      </c>
      <c r="H36" s="15" t="inlineStr">
        <is>
          <t>C</t>
        </is>
      </c>
      <c r="I36" s="17" t="n">
        <v>1</v>
      </c>
      <c r="J36" s="17" t="n"/>
      <c r="K36" s="18">
        <f>I36-IF(J36="",0,J36)</f>
        <v/>
      </c>
      <c r="L36" s="15" t="inlineStr">
        <is>
          <t>Set</t>
        </is>
      </c>
      <c r="M36" s="15" t="inlineStr">
        <is>
          <t>gut</t>
        </is>
      </c>
      <c r="N36" s="19" t="n"/>
      <c r="O36" s="19" t="inlineStr">
        <is>
          <t>ja</t>
        </is>
      </c>
      <c r="P36" s="19" t="n"/>
      <c r="Q36" s="20" t="n"/>
      <c r="R36" s="20" t="n">
        <v>40</v>
      </c>
      <c r="S36" s="19" t="inlineStr">
        <is>
          <t>VHB</t>
        </is>
      </c>
      <c r="T36" s="21">
        <f>K36*R36</f>
        <v/>
      </c>
      <c r="U36" s="15" t="inlineStr">
        <is>
          <t>nur Abholung</t>
        </is>
      </c>
      <c r="V36" s="15" t="inlineStr">
        <is>
          <t>F-081</t>
        </is>
      </c>
      <c r="W36" s="19" t="inlineStr">
        <is>
          <t>ja</t>
        </is>
      </c>
      <c r="X36" s="19" t="n"/>
      <c r="Y36" s="19" t="inlineStr">
        <is>
          <t>verfügbar</t>
        </is>
      </c>
      <c r="Z36" s="19" t="n"/>
      <c r="AA36" s="19" t="n"/>
      <c r="AB36" s="19" t="n"/>
      <c r="AC36" s="20" t="n"/>
      <c r="AD36" s="21">
        <f>IF(J36="","",J36*AC36)</f>
        <v/>
      </c>
      <c r="AE36" s="19" t="n"/>
      <c r="AF36" s="19" t="n"/>
      <c r="AG36" s="19" t="n"/>
      <c r="AH36" s="19" t="n"/>
      <c r="AI36" s="19" t="n"/>
      <c r="AJ36" s="19" t="n"/>
      <c r="AK36" s="16" t="inlineStr">
        <is>
          <t>1 Set im Bild</t>
        </is>
      </c>
      <c r="AL36" s="22" t="n"/>
    </row>
    <row r="37" ht="30" customHeight="1">
      <c r="A37" s="15" t="inlineStr">
        <is>
          <t>BU09-01</t>
        </is>
      </c>
      <c r="B37" s="15" t="inlineStr">
        <is>
          <t>K-118</t>
        </is>
      </c>
      <c r="C37" s="15" t="inlineStr">
        <is>
          <t>BU09</t>
        </is>
      </c>
      <c r="D37" s="15" t="inlineStr">
        <is>
          <t>Wurzelholz-Schale groß</t>
        </is>
      </c>
      <c r="E37" s="16" t="inlineStr">
        <is>
          <t>Dekoschale aus einem Wurzelstück, Teak, ca. 50-60 cm</t>
        </is>
      </c>
      <c r="F37" s="15" t="inlineStr">
        <is>
          <t>Deko</t>
        </is>
      </c>
      <c r="G37" s="15" t="inlineStr">
        <is>
          <t>Werkraum</t>
        </is>
      </c>
      <c r="H37" s="15" t="inlineStr">
        <is>
          <t>B</t>
        </is>
      </c>
      <c r="I37" s="17" t="n">
        <v>1</v>
      </c>
      <c r="J37" s="17" t="n"/>
      <c r="K37" s="18">
        <f>I37-IF(J37="",0,J37)</f>
        <v/>
      </c>
      <c r="L37" s="15" t="inlineStr">
        <is>
          <t>Stück</t>
        </is>
      </c>
      <c r="M37" s="15" t="inlineStr">
        <is>
          <t>gut</t>
        </is>
      </c>
      <c r="N37" s="19" t="n"/>
      <c r="O37" s="19" t="inlineStr">
        <is>
          <t>ja</t>
        </is>
      </c>
      <c r="P37" s="19" t="n"/>
      <c r="Q37" s="20" t="n"/>
      <c r="R37" s="20" t="n">
        <v>90</v>
      </c>
      <c r="S37" s="19" t="inlineStr">
        <is>
          <t>VHB</t>
        </is>
      </c>
      <c r="T37" s="21">
        <f>K37*R37</f>
        <v/>
      </c>
      <c r="U37" s="15" t="inlineStr">
        <is>
          <t>nur Abholung</t>
        </is>
      </c>
      <c r="V37" s="15" t="inlineStr">
        <is>
          <t>F-082</t>
        </is>
      </c>
      <c r="W37" s="19" t="inlineStr">
        <is>
          <t>ja</t>
        </is>
      </c>
      <c r="X37" s="19" t="n"/>
      <c r="Y37" s="19" t="inlineStr">
        <is>
          <t>verfügbar</t>
        </is>
      </c>
      <c r="Z37" s="19" t="n"/>
      <c r="AA37" s="19" t="n"/>
      <c r="AB37" s="19" t="n"/>
      <c r="AC37" s="20" t="n"/>
      <c r="AD37" s="21">
        <f>IF(J37="","",J37*AC37)</f>
        <v/>
      </c>
      <c r="AE37" s="19" t="n"/>
      <c r="AF37" s="19" t="n"/>
      <c r="AG37" s="19" t="n"/>
      <c r="AH37" s="19" t="n"/>
      <c r="AI37" s="19" t="n"/>
      <c r="AJ37" s="19" t="n"/>
      <c r="AK37" s="16" t="inlineStr">
        <is>
          <t>1 Stück im Bild</t>
        </is>
      </c>
      <c r="AL37" s="22" t="n"/>
    </row>
    <row r="38" ht="30" customHeight="1">
      <c r="A38" s="15" t="inlineStr">
        <is>
          <t>BU09-02</t>
        </is>
      </c>
      <c r="B38" s="15" t="inlineStr">
        <is>
          <t>K-119</t>
        </is>
      </c>
      <c r="C38" s="15" t="inlineStr">
        <is>
          <t>BU09</t>
        </is>
      </c>
      <c r="D38" s="15" t="inlineStr">
        <is>
          <t>Konvolut Baumscheiben und Holzscheiben</t>
        </is>
      </c>
      <c r="E38" s="16" t="inlineStr">
        <is>
          <t>Baumscheiben verschiedener Größen und Holzarten, Bastelmaterial</t>
        </is>
      </c>
      <c r="F38" s="15" t="inlineStr">
        <is>
          <t>Verbrauchsmaterial</t>
        </is>
      </c>
      <c r="G38" s="15" t="inlineStr">
        <is>
          <t>Werkraum</t>
        </is>
      </c>
      <c r="H38" s="15" t="inlineStr">
        <is>
          <t>C</t>
        </is>
      </c>
      <c r="I38" s="17" t="n">
        <v>1</v>
      </c>
      <c r="J38" s="17" t="n"/>
      <c r="K38" s="18">
        <f>I38-IF(J38="",0,J38)</f>
        <v/>
      </c>
      <c r="L38" s="15" t="inlineStr">
        <is>
          <t>Konvolut</t>
        </is>
      </c>
      <c r="M38" s="15" t="inlineStr">
        <is>
          <t>gut</t>
        </is>
      </c>
      <c r="N38" s="19" t="n"/>
      <c r="O38" s="19" t="inlineStr">
        <is>
          <t>ja</t>
        </is>
      </c>
      <c r="P38" s="19" t="n"/>
      <c r="Q38" s="20" t="n"/>
      <c r="R38" s="20" t="n">
        <v>40</v>
      </c>
      <c r="S38" s="19" t="inlineStr">
        <is>
          <t>VHB</t>
        </is>
      </c>
      <c r="T38" s="21">
        <f>K38*R38</f>
        <v/>
      </c>
      <c r="U38" s="15" t="inlineStr">
        <is>
          <t>nur Abholung</t>
        </is>
      </c>
      <c r="V38" s="15" t="inlineStr">
        <is>
          <t>F-085</t>
        </is>
      </c>
      <c r="W38" s="19" t="inlineStr">
        <is>
          <t>ja</t>
        </is>
      </c>
      <c r="X38" s="19" t="n"/>
      <c r="Y38" s="19" t="inlineStr">
        <is>
          <t>verfügbar</t>
        </is>
      </c>
      <c r="Z38" s="19" t="n"/>
      <c r="AA38" s="19" t="n"/>
      <c r="AB38" s="19" t="n"/>
      <c r="AC38" s="20" t="n"/>
      <c r="AD38" s="21">
        <f>IF(J38="","",J38*AC38)</f>
        <v/>
      </c>
      <c r="AE38" s="19" t="n"/>
      <c r="AF38" s="19" t="n"/>
      <c r="AG38" s="19" t="n"/>
      <c r="AH38" s="19" t="n"/>
      <c r="AI38" s="19" t="n"/>
      <c r="AJ38" s="19" t="n"/>
      <c r="AK38" s="16" t="inlineStr">
        <is>
          <t>mehrere Kisten im Bild</t>
        </is>
      </c>
      <c r="AL38" s="22" t="n"/>
    </row>
    <row r="39" ht="30" customHeight="1">
      <c r="A39" s="15" t="inlineStr">
        <is>
          <t>BU09-03</t>
        </is>
      </c>
      <c r="B39" s="15" t="inlineStr">
        <is>
          <t>K-120</t>
        </is>
      </c>
      <c r="C39" s="15" t="inlineStr">
        <is>
          <t>BU09</t>
        </is>
      </c>
      <c r="D39" s="15" t="inlineStr">
        <is>
          <t>Kreidetafel in Hausform</t>
        </is>
      </c>
      <c r="E39" s="16" t="inlineStr">
        <is>
          <t>Tafelfolie/Kreidetafel in Hausform, beschriftbar</t>
        </is>
      </c>
      <c r="F39" s="15" t="inlineStr">
        <is>
          <t>Kita-Ausstattung</t>
        </is>
      </c>
      <c r="G39" s="15" t="inlineStr">
        <is>
          <t>Werkraum</t>
        </is>
      </c>
      <c r="H39" s="15" t="inlineStr">
        <is>
          <t>C</t>
        </is>
      </c>
      <c r="I39" s="17" t="n">
        <v>1</v>
      </c>
      <c r="J39" s="17" t="n"/>
      <c r="K39" s="18">
        <f>I39-IF(J39="",0,J39)</f>
        <v/>
      </c>
      <c r="L39" s="15" t="inlineStr">
        <is>
          <t>Stück</t>
        </is>
      </c>
      <c r="M39" s="15" t="inlineStr">
        <is>
          <t>gut</t>
        </is>
      </c>
      <c r="N39" s="19" t="n"/>
      <c r="O39" s="19" t="inlineStr">
        <is>
          <t>ja</t>
        </is>
      </c>
      <c r="P39" s="19" t="n"/>
      <c r="Q39" s="20" t="n"/>
      <c r="R39" s="20" t="n">
        <v>25</v>
      </c>
      <c r="S39" s="19" t="inlineStr">
        <is>
          <t>VHB</t>
        </is>
      </c>
      <c r="T39" s="21">
        <f>K39*R39</f>
        <v/>
      </c>
      <c r="U39" s="15" t="inlineStr">
        <is>
          <t>Versand möglich</t>
        </is>
      </c>
      <c r="V39" s="15" t="inlineStr">
        <is>
          <t>F-089</t>
        </is>
      </c>
      <c r="W39" s="19" t="inlineStr">
        <is>
          <t>ja</t>
        </is>
      </c>
      <c r="X39" s="19" t="n"/>
      <c r="Y39" s="19" t="inlineStr">
        <is>
          <t>verfügbar</t>
        </is>
      </c>
      <c r="Z39" s="19" t="n"/>
      <c r="AA39" s="19" t="n"/>
      <c r="AB39" s="19" t="n"/>
      <c r="AC39" s="20" t="n"/>
      <c r="AD39" s="21">
        <f>IF(J39="","",J39*AC39)</f>
        <v/>
      </c>
      <c r="AE39" s="19" t="n"/>
      <c r="AF39" s="19" t="n"/>
      <c r="AG39" s="19" t="n"/>
      <c r="AH39" s="19" t="n"/>
      <c r="AI39" s="19" t="n"/>
      <c r="AJ39" s="19" t="n"/>
      <c r="AK39" s="16" t="inlineStr">
        <is>
          <t>1 Stück im Bild</t>
        </is>
      </c>
      <c r="AL39" s="22" t="n"/>
    </row>
    <row r="40" ht="30" customHeight="1">
      <c r="A40" s="15" t="inlineStr">
        <is>
          <t>GA01-01</t>
        </is>
      </c>
      <c r="B40" s="15" t="inlineStr">
        <is>
          <t>K-142</t>
        </is>
      </c>
      <c r="C40" s="15" t="inlineStr">
        <is>
          <t>GA01</t>
        </is>
      </c>
      <c r="D40" s="15" t="inlineStr">
        <is>
          <t>Holz-Wellenliege, Doppelliege</t>
        </is>
      </c>
      <c r="E40" s="16" t="inlineStr">
        <is>
          <t>Geschwungene Doppelliege aus Holzlatten, ca. 200 cm breit, mit Sponsorenplakette</t>
        </is>
      </c>
      <c r="F40" s="15" t="inlineStr">
        <is>
          <t>Garten</t>
        </is>
      </c>
      <c r="G40" s="15" t="inlineStr">
        <is>
          <t>Gartenanlage</t>
        </is>
      </c>
      <c r="H40" s="15" t="inlineStr">
        <is>
          <t>A</t>
        </is>
      </c>
      <c r="I40" s="17" t="n">
        <v>1</v>
      </c>
      <c r="J40" s="17" t="n"/>
      <c r="K40" s="18">
        <f>I40-IF(J40="",0,J40)</f>
        <v/>
      </c>
      <c r="L40" s="15" t="inlineStr">
        <is>
          <t>Stück</t>
        </is>
      </c>
      <c r="M40" s="15" t="inlineStr">
        <is>
          <t>gebraucht</t>
        </is>
      </c>
      <c r="N40" s="19" t="n"/>
      <c r="O40" s="19" t="inlineStr">
        <is>
          <t>ja</t>
        </is>
      </c>
      <c r="P40" s="19" t="n"/>
      <c r="Q40" s="20" t="n"/>
      <c r="R40" s="20" t="n">
        <v>350</v>
      </c>
      <c r="S40" s="19" t="inlineStr">
        <is>
          <t>VHB</t>
        </is>
      </c>
      <c r="T40" s="21">
        <f>K40*R40</f>
        <v/>
      </c>
      <c r="U40" s="15" t="inlineStr">
        <is>
          <t>nur Abholung</t>
        </is>
      </c>
      <c r="V40" s="15" t="inlineStr">
        <is>
          <t>F-111</t>
        </is>
      </c>
      <c r="W40" s="19" t="inlineStr">
        <is>
          <t>ja</t>
        </is>
      </c>
      <c r="X40" s="19" t="n"/>
      <c r="Y40" s="19" t="inlineStr">
        <is>
          <t>verfügbar</t>
        </is>
      </c>
      <c r="Z40" s="19" t="n"/>
      <c r="AA40" s="19" t="n"/>
      <c r="AB40" s="19" t="n"/>
      <c r="AC40" s="20" t="n"/>
      <c r="AD40" s="21">
        <f>IF(J40="","",J40*AC40)</f>
        <v/>
      </c>
      <c r="AE40" s="19" t="n"/>
      <c r="AF40" s="19" t="n"/>
      <c r="AG40" s="19" t="n"/>
      <c r="AH40" s="19" t="n"/>
      <c r="AI40" s="19" t="n"/>
      <c r="AJ40" s="19" t="n"/>
      <c r="AK40" s="16" t="inlineStr">
        <is>
          <t>1 Liege im Bild</t>
        </is>
      </c>
      <c r="AL40" s="22" t="n"/>
    </row>
    <row r="41" ht="30" customHeight="1">
      <c r="A41" s="15" t="inlineStr">
        <is>
          <t>K-002</t>
        </is>
      </c>
      <c r="B41" s="15" t="n"/>
      <c r="C41" s="15" t="inlineStr">
        <is>
          <t>NU02</t>
        </is>
      </c>
      <c r="D41" s="15" t="inlineStr">
        <is>
          <t>Kommode weiß, 9 Schubladen</t>
        </is>
      </c>
      <c r="E41" s="16" t="inlineStr">
        <is>
          <t>IKEA Nordli, weiß, drei Module nebeneinander, insgesamt 9 Schubladen</t>
        </is>
      </c>
      <c r="F41" s="15" t="inlineStr">
        <is>
          <t>Möbel</t>
        </is>
      </c>
      <c r="G41" s="15" t="inlineStr">
        <is>
          <t>Gruppenraum 5</t>
        </is>
      </c>
      <c r="H41" s="15" t="inlineStr">
        <is>
          <t>B</t>
        </is>
      </c>
      <c r="I41" s="17" t="n">
        <v>1</v>
      </c>
      <c r="J41" s="17" t="n"/>
      <c r="K41" s="18">
        <f>I41-IF(J41="",0,J41)</f>
        <v/>
      </c>
      <c r="L41" s="15" t="inlineStr">
        <is>
          <t>Stück</t>
        </is>
      </c>
      <c r="M41" s="15" t="inlineStr">
        <is>
          <t>gut</t>
        </is>
      </c>
      <c r="N41" s="19" t="n"/>
      <c r="O41" s="19" t="inlineStr">
        <is>
          <t>entfällt</t>
        </is>
      </c>
      <c r="P41" s="19" t="n"/>
      <c r="Q41" s="20" t="n"/>
      <c r="R41" s="20" t="n">
        <v>120</v>
      </c>
      <c r="S41" s="19" t="inlineStr">
        <is>
          <t>VHB</t>
        </is>
      </c>
      <c r="T41" s="21">
        <f>K41*R41</f>
        <v/>
      </c>
      <c r="U41" s="15" t="inlineStr">
        <is>
          <t>nur Abholung</t>
        </is>
      </c>
      <c r="V41" s="15" t="inlineStr">
        <is>
          <t>F-002</t>
        </is>
      </c>
      <c r="W41" s="19" t="inlineStr">
        <is>
          <t>ja</t>
        </is>
      </c>
      <c r="X41" s="19" t="n"/>
      <c r="Y41" s="19" t="inlineStr">
        <is>
          <t>verfügbar</t>
        </is>
      </c>
      <c r="Z41" s="19" t="n"/>
      <c r="AA41" s="19" t="n"/>
      <c r="AB41" s="19" t="n"/>
      <c r="AC41" s="20" t="n"/>
      <c r="AD41" s="21">
        <f>IF(J41="","",J41*AC41)</f>
        <v/>
      </c>
      <c r="AE41" s="19" t="n"/>
      <c r="AF41" s="19" t="n"/>
      <c r="AG41" s="19" t="n"/>
      <c r="AH41" s="19" t="n"/>
      <c r="AI41" s="19" t="n"/>
      <c r="AJ41" s="19" t="n"/>
      <c r="AK41" s="16" t="inlineStr">
        <is>
          <t>1 Einheit aus 3 Modulen im Bild</t>
        </is>
      </c>
      <c r="AL41" s="22" t="n"/>
    </row>
    <row r="42" ht="30" customHeight="1">
      <c r="A42" s="15" t="inlineStr">
        <is>
          <t>K-003</t>
        </is>
      </c>
      <c r="B42" s="15" t="n"/>
      <c r="C42" s="15" t="inlineStr">
        <is>
          <t>NU02</t>
        </is>
      </c>
      <c r="D42" s="15" t="inlineStr">
        <is>
          <t>Deko-Set Globus, Letterboard, Rahmen</t>
        </is>
      </c>
      <c r="E42" s="16" t="inlineStr">
        <is>
          <t>Globus, Steckbuchstaben-Board, Bilderrahmen auf Staffelei</t>
        </is>
      </c>
      <c r="F42" s="15" t="inlineStr">
        <is>
          <t>Deko</t>
        </is>
      </c>
      <c r="G42" s="15" t="inlineStr">
        <is>
          <t>Gruppenraum 5</t>
        </is>
      </c>
      <c r="H42" s="15" t="inlineStr">
        <is>
          <t>C</t>
        </is>
      </c>
      <c r="I42" s="17" t="n">
        <v>1</v>
      </c>
      <c r="J42" s="17" t="n"/>
      <c r="K42" s="18">
        <f>I42-IF(J42="",0,J42)</f>
        <v/>
      </c>
      <c r="L42" s="15" t="inlineStr">
        <is>
          <t>Set</t>
        </is>
      </c>
      <c r="M42" s="15" t="inlineStr">
        <is>
          <t>gut</t>
        </is>
      </c>
      <c r="N42" s="19" t="n"/>
      <c r="O42" s="19" t="inlineStr">
        <is>
          <t>entfällt</t>
        </is>
      </c>
      <c r="P42" s="19" t="n"/>
      <c r="Q42" s="20" t="n"/>
      <c r="R42" s="20" t="n">
        <v>35</v>
      </c>
      <c r="S42" s="19" t="inlineStr">
        <is>
          <t>VHB</t>
        </is>
      </c>
      <c r="T42" s="21">
        <f>K42*R42</f>
        <v/>
      </c>
      <c r="U42" s="15" t="inlineStr">
        <is>
          <t>Versand möglich</t>
        </is>
      </c>
      <c r="V42" s="15" t="inlineStr">
        <is>
          <t>F-002</t>
        </is>
      </c>
      <c r="W42" s="19" t="inlineStr">
        <is>
          <t>ja</t>
        </is>
      </c>
      <c r="X42" s="19" t="n"/>
      <c r="Y42" s="19" t="inlineStr">
        <is>
          <t>verfügbar</t>
        </is>
      </c>
      <c r="Z42" s="19" t="n"/>
      <c r="AA42" s="19" t="n"/>
      <c r="AB42" s="19" t="n"/>
      <c r="AC42" s="20" t="n"/>
      <c r="AD42" s="21">
        <f>IF(J42="","",J42*AC42)</f>
        <v/>
      </c>
      <c r="AE42" s="19" t="n"/>
      <c r="AF42" s="19" t="n"/>
      <c r="AG42" s="19" t="n"/>
      <c r="AH42" s="19" t="n"/>
      <c r="AI42" s="19" t="n"/>
      <c r="AJ42" s="19" t="n"/>
      <c r="AK42" s="16" t="inlineStr">
        <is>
          <t>3 Teile im Bild</t>
        </is>
      </c>
      <c r="AL42" s="22" t="n"/>
    </row>
    <row r="43" ht="30" customHeight="1">
      <c r="A43" s="15" t="inlineStr">
        <is>
          <t>K-005</t>
        </is>
      </c>
      <c r="B43" s="15" t="n"/>
      <c r="C43" s="15" t="inlineStr">
        <is>
          <t>NU02</t>
        </is>
      </c>
      <c r="D43" s="15" t="inlineStr">
        <is>
          <t>Mal- und Trockengestell fahrbar</t>
        </is>
      </c>
      <c r="E43" s="16" t="inlineStr">
        <is>
          <t>Drahtgittergestell auf Rollen, zum Trocknen und Präsentieren von Bildern</t>
        </is>
      </c>
      <c r="F43" s="15" t="inlineStr">
        <is>
          <t>Kita-Ausstattung</t>
        </is>
      </c>
      <c r="G43" s="15" t="inlineStr">
        <is>
          <t>Gruppenraum 5</t>
        </is>
      </c>
      <c r="H43" s="15" t="inlineStr">
        <is>
          <t>C</t>
        </is>
      </c>
      <c r="I43" s="17" t="n">
        <v>1</v>
      </c>
      <c r="J43" s="17" t="n"/>
      <c r="K43" s="18">
        <f>I43-IF(J43="",0,J43)</f>
        <v/>
      </c>
      <c r="L43" s="15" t="inlineStr">
        <is>
          <t>Stück</t>
        </is>
      </c>
      <c r="M43" s="15" t="inlineStr">
        <is>
          <t>gut</t>
        </is>
      </c>
      <c r="N43" s="19" t="n"/>
      <c r="O43" s="19" t="inlineStr">
        <is>
          <t>entfällt</t>
        </is>
      </c>
      <c r="P43" s="19" t="n"/>
      <c r="Q43" s="20" t="n"/>
      <c r="R43" s="20" t="n">
        <v>60</v>
      </c>
      <c r="S43" s="19" t="inlineStr">
        <is>
          <t>VHB</t>
        </is>
      </c>
      <c r="T43" s="21">
        <f>K43*R43</f>
        <v/>
      </c>
      <c r="U43" s="15" t="inlineStr">
        <is>
          <t>nur Abholung</t>
        </is>
      </c>
      <c r="V43" s="15" t="inlineStr">
        <is>
          <t>F-003</t>
        </is>
      </c>
      <c r="W43" s="19" t="inlineStr">
        <is>
          <t>ja</t>
        </is>
      </c>
      <c r="X43" s="19" t="n"/>
      <c r="Y43" s="19" t="inlineStr">
        <is>
          <t>verfügbar</t>
        </is>
      </c>
      <c r="Z43" s="19" t="n"/>
      <c r="AA43" s="19" t="n"/>
      <c r="AB43" s="19" t="n"/>
      <c r="AC43" s="20" t="n"/>
      <c r="AD43" s="21">
        <f>IF(J43="","",J43*AC43)</f>
        <v/>
      </c>
      <c r="AE43" s="19" t="n"/>
      <c r="AF43" s="19" t="n"/>
      <c r="AG43" s="19" t="n"/>
      <c r="AH43" s="19" t="n"/>
      <c r="AI43" s="19" t="n"/>
      <c r="AJ43" s="19" t="n"/>
      <c r="AK43" s="16" t="inlineStr">
        <is>
          <t>1 Stück im Bild</t>
        </is>
      </c>
      <c r="AL43" s="22" t="n"/>
    </row>
    <row r="44" ht="30" customHeight="1">
      <c r="A44" s="15" t="inlineStr">
        <is>
          <t>K-006</t>
        </is>
      </c>
      <c r="B44" s="15" t="n"/>
      <c r="C44" s="15" t="inlineStr">
        <is>
          <t>NU02</t>
        </is>
      </c>
      <c r="D44" s="15" t="inlineStr">
        <is>
          <t>Kindertafel Holz</t>
        </is>
      </c>
      <c r="E44" s="16" t="inlineStr">
        <is>
          <t>Standtafel/Staffelei aus Holz mit Kreidetafel</t>
        </is>
      </c>
      <c r="F44" s="15" t="inlineStr">
        <is>
          <t>Kita-Ausstattung</t>
        </is>
      </c>
      <c r="G44" s="15" t="inlineStr">
        <is>
          <t>Gruppenraum 5</t>
        </is>
      </c>
      <c r="H44" s="15" t="inlineStr">
        <is>
          <t>C</t>
        </is>
      </c>
      <c r="I44" s="17" t="n">
        <v>1</v>
      </c>
      <c r="J44" s="17" t="n"/>
      <c r="K44" s="18">
        <f>I44-IF(J44="",0,J44)</f>
        <v/>
      </c>
      <c r="L44" s="15" t="inlineStr">
        <is>
          <t>Stück</t>
        </is>
      </c>
      <c r="M44" s="15" t="inlineStr">
        <is>
          <t>gebraucht</t>
        </is>
      </c>
      <c r="N44" s="19" t="n"/>
      <c r="O44" s="19" t="inlineStr">
        <is>
          <t>entfällt</t>
        </is>
      </c>
      <c r="P44" s="19" t="n"/>
      <c r="Q44" s="20" t="n"/>
      <c r="R44" s="20" t="n">
        <v>35</v>
      </c>
      <c r="S44" s="19" t="inlineStr">
        <is>
          <t>VHB</t>
        </is>
      </c>
      <c r="T44" s="21">
        <f>K44*R44</f>
        <v/>
      </c>
      <c r="U44" s="15" t="inlineStr">
        <is>
          <t>Versand möglich</t>
        </is>
      </c>
      <c r="V44" s="15" t="inlineStr">
        <is>
          <t>F-003</t>
        </is>
      </c>
      <c r="W44" s="19" t="inlineStr">
        <is>
          <t>ja</t>
        </is>
      </c>
      <c r="X44" s="19" t="n"/>
      <c r="Y44" s="19" t="inlineStr">
        <is>
          <t>verfügbar</t>
        </is>
      </c>
      <c r="Z44" s="19" t="n"/>
      <c r="AA44" s="19" t="n"/>
      <c r="AB44" s="19" t="n"/>
      <c r="AC44" s="20" t="n"/>
      <c r="AD44" s="21">
        <f>IF(J44="","",J44*AC44)</f>
        <v/>
      </c>
      <c r="AE44" s="19" t="n"/>
      <c r="AF44" s="19" t="n"/>
      <c r="AG44" s="19" t="n"/>
      <c r="AH44" s="19" t="n"/>
      <c r="AI44" s="19" t="n"/>
      <c r="AJ44" s="19" t="n"/>
      <c r="AK44" s="16" t="inlineStr">
        <is>
          <t>1 Stück im Bild</t>
        </is>
      </c>
      <c r="AL44" s="22" t="n"/>
    </row>
    <row r="45" ht="30" customHeight="1">
      <c r="A45" s="15" t="inlineStr">
        <is>
          <t>K-010</t>
        </is>
      </c>
      <c r="B45" s="15" t="n"/>
      <c r="C45" s="15" t="inlineStr">
        <is>
          <t>NU04</t>
        </is>
      </c>
      <c r="D45" s="15" t="inlineStr">
        <is>
          <t>Pinnwand gerahmt</t>
        </is>
      </c>
      <c r="E45" s="16" t="inlineStr">
        <is>
          <t>Pinnwand mit Holzrahmen</t>
        </is>
      </c>
      <c r="F45" s="15" t="inlineStr">
        <is>
          <t>Büro</t>
        </is>
      </c>
      <c r="G45" s="15" t="inlineStr">
        <is>
          <t>Schlafraum 5</t>
        </is>
      </c>
      <c r="H45" s="15" t="inlineStr">
        <is>
          <t>C</t>
        </is>
      </c>
      <c r="I45" s="17" t="n">
        <v>1</v>
      </c>
      <c r="J45" s="17" t="n"/>
      <c r="K45" s="18">
        <f>I45-IF(J45="",0,J45)</f>
        <v/>
      </c>
      <c r="L45" s="15" t="inlineStr">
        <is>
          <t>Stück</t>
        </is>
      </c>
      <c r="M45" s="15" t="inlineStr">
        <is>
          <t>gut</t>
        </is>
      </c>
      <c r="N45" s="19" t="n"/>
      <c r="O45" s="19" t="inlineStr">
        <is>
          <t>entfällt</t>
        </is>
      </c>
      <c r="P45" s="19" t="n"/>
      <c r="Q45" s="20" t="n"/>
      <c r="R45" s="20" t="n">
        <v>25</v>
      </c>
      <c r="S45" s="19" t="inlineStr">
        <is>
          <t>VHB</t>
        </is>
      </c>
      <c r="T45" s="21">
        <f>K45*R45</f>
        <v/>
      </c>
      <c r="U45" s="15" t="inlineStr">
        <is>
          <t>Versand möglich</t>
        </is>
      </c>
      <c r="V45" s="15" t="inlineStr">
        <is>
          <t>F-006</t>
        </is>
      </c>
      <c r="W45" s="19" t="inlineStr">
        <is>
          <t>ja</t>
        </is>
      </c>
      <c r="X45" s="19" t="n"/>
      <c r="Y45" s="19" t="inlineStr">
        <is>
          <t>verfügbar</t>
        </is>
      </c>
      <c r="Z45" s="19" t="n"/>
      <c r="AA45" s="19" t="n"/>
      <c r="AB45" s="19" t="n"/>
      <c r="AC45" s="20" t="n"/>
      <c r="AD45" s="21">
        <f>IF(J45="","",J45*AC45)</f>
        <v/>
      </c>
      <c r="AE45" s="19" t="n"/>
      <c r="AF45" s="19" t="n"/>
      <c r="AG45" s="19" t="n"/>
      <c r="AH45" s="19" t="n"/>
      <c r="AI45" s="19" t="n"/>
      <c r="AJ45" s="19" t="n"/>
      <c r="AK45" s="16" t="inlineStr">
        <is>
          <t>1 Stück im Bild</t>
        </is>
      </c>
      <c r="AL45" s="22" t="n"/>
    </row>
    <row r="46" ht="30" customHeight="1">
      <c r="A46" s="15" t="inlineStr">
        <is>
          <t>K-013</t>
        </is>
      </c>
      <c r="B46" s="15" t="n"/>
      <c r="C46" s="15" t="inlineStr">
        <is>
          <t>NU04</t>
        </is>
      </c>
      <c r="D46" s="15" t="inlineStr">
        <is>
          <t>Kuckucksuhr klein</t>
        </is>
      </c>
      <c r="E46" s="16" t="inlineStr">
        <is>
          <t>Schwarzwälder Kuckucksuhr, kleine Ausführung, Holz</t>
        </is>
      </c>
      <c r="F46" s="15" t="inlineStr">
        <is>
          <t>Uhren</t>
        </is>
      </c>
      <c r="G46" s="15" t="inlineStr">
        <is>
          <t>Schlafraum 5</t>
        </is>
      </c>
      <c r="H46" s="15" t="inlineStr">
        <is>
          <t>A</t>
        </is>
      </c>
      <c r="I46" s="17" t="n">
        <v>1</v>
      </c>
      <c r="J46" s="17" t="n"/>
      <c r="K46" s="18">
        <f>I46-IF(J46="",0,J46)</f>
        <v/>
      </c>
      <c r="L46" s="15" t="inlineStr">
        <is>
          <t>Stück</t>
        </is>
      </c>
      <c r="M46" s="15" t="inlineStr">
        <is>
          <t>gut</t>
        </is>
      </c>
      <c r="N46" s="19" t="n"/>
      <c r="O46" s="19" t="inlineStr">
        <is>
          <t>entfällt</t>
        </is>
      </c>
      <c r="P46" s="19" t="n"/>
      <c r="Q46" s="20" t="n"/>
      <c r="R46" s="20" t="n">
        <v>90</v>
      </c>
      <c r="S46" s="19" t="inlineStr">
        <is>
          <t>VHB</t>
        </is>
      </c>
      <c r="T46" s="21">
        <f>K46*R46</f>
        <v/>
      </c>
      <c r="U46" s="15" t="inlineStr">
        <is>
          <t>Versand möglich</t>
        </is>
      </c>
      <c r="V46" s="15" t="inlineStr">
        <is>
          <t>F-008</t>
        </is>
      </c>
      <c r="W46" s="19" t="inlineStr">
        <is>
          <t>ja</t>
        </is>
      </c>
      <c r="X46" s="19" t="n"/>
      <c r="Y46" s="19" t="inlineStr">
        <is>
          <t>verfügbar</t>
        </is>
      </c>
      <c r="Z46" s="19" t="n"/>
      <c r="AA46" s="19" t="n"/>
      <c r="AB46" s="19" t="n"/>
      <c r="AC46" s="20" t="n"/>
      <c r="AD46" s="21">
        <f>IF(J46="","",J46*AC46)</f>
        <v/>
      </c>
      <c r="AE46" s="19" t="n"/>
      <c r="AF46" s="19" t="n"/>
      <c r="AG46" s="19" t="n"/>
      <c r="AH46" s="19" t="n"/>
      <c r="AI46" s="19" t="n"/>
      <c r="AJ46" s="19" t="n"/>
      <c r="AK46" s="16" t="inlineStr">
        <is>
          <t>1 Stück im Bild</t>
        </is>
      </c>
      <c r="AL46" s="22" t="n"/>
    </row>
    <row r="47" ht="30" customHeight="1">
      <c r="A47" s="15" t="inlineStr">
        <is>
          <t>K-016</t>
        </is>
      </c>
      <c r="B47" s="15" t="n"/>
      <c r="C47" s="15" t="inlineStr">
        <is>
          <t>NU04</t>
        </is>
      </c>
      <c r="D47" s="15" t="inlineStr">
        <is>
          <t>Regal mit Aufbewahrungsboxen</t>
        </is>
      </c>
      <c r="E47" s="16" t="inlineStr">
        <is>
          <t>IKEA Trofast, Holzrahmen mit Kunststoffboxen</t>
        </is>
      </c>
      <c r="F47" s="15" t="inlineStr">
        <is>
          <t>Kita-Ausstattung</t>
        </is>
      </c>
      <c r="G47" s="15" t="inlineStr">
        <is>
          <t>Schlafraum 5</t>
        </is>
      </c>
      <c r="H47" s="15" t="inlineStr">
        <is>
          <t>C</t>
        </is>
      </c>
      <c r="I47" s="17" t="n">
        <v>3</v>
      </c>
      <c r="J47" s="17" t="n"/>
      <c r="K47" s="18">
        <f>I47-IF(J47="",0,J47)</f>
        <v/>
      </c>
      <c r="L47" s="15" t="inlineStr">
        <is>
          <t>Stück</t>
        </is>
      </c>
      <c r="M47" s="15" t="inlineStr">
        <is>
          <t>gebraucht</t>
        </is>
      </c>
      <c r="N47" s="19" t="n"/>
      <c r="O47" s="19" t="inlineStr">
        <is>
          <t>entfällt</t>
        </is>
      </c>
      <c r="P47" s="19" t="n"/>
      <c r="Q47" s="20" t="n"/>
      <c r="R47" s="20" t="n">
        <v>35</v>
      </c>
      <c r="S47" s="19" t="inlineStr">
        <is>
          <t>VHB</t>
        </is>
      </c>
      <c r="T47" s="21">
        <f>K47*R47</f>
        <v/>
      </c>
      <c r="U47" s="15" t="inlineStr">
        <is>
          <t>nur Abholung</t>
        </is>
      </c>
      <c r="V47" s="15" t="inlineStr">
        <is>
          <t>F-011</t>
        </is>
      </c>
      <c r="W47" s="19" t="inlineStr">
        <is>
          <t>ja</t>
        </is>
      </c>
      <c r="X47" s="19" t="n"/>
      <c r="Y47" s="19" t="inlineStr">
        <is>
          <t>verfügbar</t>
        </is>
      </c>
      <c r="Z47" s="19" t="n"/>
      <c r="AA47" s="19" t="n"/>
      <c r="AB47" s="19" t="n"/>
      <c r="AC47" s="20" t="n"/>
      <c r="AD47" s="21">
        <f>IF(J47="","",J47*AC47)</f>
        <v/>
      </c>
      <c r="AE47" s="19" t="n"/>
      <c r="AF47" s="19" t="n"/>
      <c r="AG47" s="19" t="n"/>
      <c r="AH47" s="19" t="n"/>
      <c r="AI47" s="19" t="n"/>
      <c r="AJ47" s="19" t="n"/>
      <c r="AK47" s="16" t="inlineStr">
        <is>
          <t>3 Regale im Bild erkennbar</t>
        </is>
      </c>
      <c r="AL47" s="22" t="n"/>
    </row>
    <row r="48" ht="30" customHeight="1">
      <c r="A48" s="15" t="inlineStr">
        <is>
          <t>K-017</t>
        </is>
      </c>
      <c r="B48" s="15" t="n"/>
      <c r="C48" s="15" t="inlineStr">
        <is>
          <t>NU04</t>
        </is>
      </c>
      <c r="D48" s="15" t="inlineStr">
        <is>
          <t>Kinderwerkbank Holz</t>
        </is>
      </c>
      <c r="E48" s="16" t="inlineStr">
        <is>
          <t>Werkbank für Kinder mit Schraubstock und Zubehör</t>
        </is>
      </c>
      <c r="F48" s="15" t="inlineStr">
        <is>
          <t>Kita-Ausstattung</t>
        </is>
      </c>
      <c r="G48" s="15" t="inlineStr">
        <is>
          <t>Schlafraum 5</t>
        </is>
      </c>
      <c r="H48" s="15" t="inlineStr">
        <is>
          <t>C</t>
        </is>
      </c>
      <c r="I48" s="17" t="n">
        <v>1</v>
      </c>
      <c r="J48" s="17" t="n"/>
      <c r="K48" s="18">
        <f>I48-IF(J48="",0,J48)</f>
        <v/>
      </c>
      <c r="L48" s="15" t="inlineStr">
        <is>
          <t>Stück</t>
        </is>
      </c>
      <c r="M48" s="15" t="inlineStr">
        <is>
          <t>gebraucht</t>
        </is>
      </c>
      <c r="N48" s="19" t="n"/>
      <c r="O48" s="19" t="inlineStr">
        <is>
          <t>entfällt</t>
        </is>
      </c>
      <c r="P48" s="19" t="n"/>
      <c r="Q48" s="20" t="n"/>
      <c r="R48" s="20" t="n">
        <v>60</v>
      </c>
      <c r="S48" s="19" t="inlineStr">
        <is>
          <t>VHB</t>
        </is>
      </c>
      <c r="T48" s="21">
        <f>K48*R48</f>
        <v/>
      </c>
      <c r="U48" s="15" t="inlineStr">
        <is>
          <t>nur Abholung</t>
        </is>
      </c>
      <c r="V48" s="15" t="inlineStr">
        <is>
          <t>F-011</t>
        </is>
      </c>
      <c r="W48" s="19" t="inlineStr">
        <is>
          <t>ja</t>
        </is>
      </c>
      <c r="X48" s="19" t="n"/>
      <c r="Y48" s="19" t="inlineStr">
        <is>
          <t>verfügbar</t>
        </is>
      </c>
      <c r="Z48" s="19" t="n"/>
      <c r="AA48" s="19" t="n"/>
      <c r="AB48" s="19" t="n"/>
      <c r="AC48" s="20" t="n"/>
      <c r="AD48" s="21">
        <f>IF(J48="","",J48*AC48)</f>
        <v/>
      </c>
      <c r="AE48" s="19" t="n"/>
      <c r="AF48" s="19" t="n"/>
      <c r="AG48" s="19" t="n"/>
      <c r="AH48" s="19" t="n"/>
      <c r="AI48" s="19" t="n"/>
      <c r="AJ48" s="19" t="n"/>
      <c r="AK48" s="16" t="inlineStr">
        <is>
          <t>1 Stück im Bild</t>
        </is>
      </c>
      <c r="AL48" s="22" t="n"/>
    </row>
    <row r="49" ht="30" customHeight="1">
      <c r="A49" s="15" t="inlineStr">
        <is>
          <t>K-018</t>
        </is>
      </c>
      <c r="B49" s="15" t="n"/>
      <c r="C49" s="15" t="inlineStr">
        <is>
          <t>NE01</t>
        </is>
      </c>
      <c r="D49" s="15" t="inlineStr">
        <is>
          <t>Pompon-Kronleuchter rot</t>
        </is>
      </c>
      <c r="E49" s="16" t="inlineStr">
        <is>
          <t>Metallring-Konstruktion mit roten Wollbommeln, Sonderanfertigung, Deckenleuchte</t>
        </is>
      </c>
      <c r="F49" s="15" t="inlineStr">
        <is>
          <t>Leuchten</t>
        </is>
      </c>
      <c r="G49" s="15" t="inlineStr">
        <is>
          <t>Flur</t>
        </is>
      </c>
      <c r="H49" s="15" t="inlineStr">
        <is>
          <t>B</t>
        </is>
      </c>
      <c r="I49" s="17" t="n">
        <v>1</v>
      </c>
      <c r="J49" s="17" t="n"/>
      <c r="K49" s="18">
        <f>I49-IF(J49="",0,J49)</f>
        <v/>
      </c>
      <c r="L49" s="15" t="inlineStr">
        <is>
          <t>Stück</t>
        </is>
      </c>
      <c r="M49" s="15" t="inlineStr">
        <is>
          <t>gut</t>
        </is>
      </c>
      <c r="N49" s="19" t="n"/>
      <c r="O49" s="19" t="inlineStr">
        <is>
          <t>entfällt</t>
        </is>
      </c>
      <c r="P49" s="19" t="n"/>
      <c r="Q49" s="20" t="n"/>
      <c r="R49" s="20" t="n">
        <v>150</v>
      </c>
      <c r="S49" s="19" t="inlineStr">
        <is>
          <t>VHB</t>
        </is>
      </c>
      <c r="T49" s="21">
        <f>K49*R49</f>
        <v/>
      </c>
      <c r="U49" s="15" t="inlineStr">
        <is>
          <t>nur Abholung</t>
        </is>
      </c>
      <c r="V49" s="15" t="inlineStr">
        <is>
          <t>F-012</t>
        </is>
      </c>
      <c r="W49" s="19" t="inlineStr">
        <is>
          <t>ja</t>
        </is>
      </c>
      <c r="X49" s="19" t="n"/>
      <c r="Y49" s="19" t="inlineStr">
        <is>
          <t>verfügbar</t>
        </is>
      </c>
      <c r="Z49" s="19" t="n"/>
      <c r="AA49" s="19" t="n"/>
      <c r="AB49" s="19" t="n"/>
      <c r="AC49" s="20" t="n"/>
      <c r="AD49" s="21">
        <f>IF(J49="","",J49*AC49)</f>
        <v/>
      </c>
      <c r="AE49" s="19" t="n"/>
      <c r="AF49" s="19" t="n"/>
      <c r="AG49" s="19" t="n"/>
      <c r="AH49" s="19" t="n"/>
      <c r="AI49" s="19" t="n"/>
      <c r="AJ49" s="19" t="n"/>
      <c r="AK49" s="16" t="inlineStr">
        <is>
          <t>1 Stück im Bild</t>
        </is>
      </c>
      <c r="AL49" s="22" t="n"/>
    </row>
    <row r="50" ht="30" customHeight="1">
      <c r="A50" s="15" t="inlineStr">
        <is>
          <t>K-019</t>
        </is>
      </c>
      <c r="B50" s="15" t="n"/>
      <c r="C50" s="15" t="inlineStr">
        <is>
          <t>NE01</t>
        </is>
      </c>
      <c r="D50" s="15" t="inlineStr">
        <is>
          <t>Wandbild Schwarzwald-Trachten, großformatig</t>
        </is>
      </c>
      <c r="E50" s="16" t="inlineStr">
        <is>
          <t>Fotodruck auf Leinwand/Alu-Dibond, Trachtenportrait, großformatig - Kaufware</t>
        </is>
      </c>
      <c r="F50" s="15" t="inlineStr">
        <is>
          <t>Kunst</t>
        </is>
      </c>
      <c r="G50" s="15" t="inlineStr">
        <is>
          <t>Flur</t>
        </is>
      </c>
      <c r="H50" s="15" t="inlineStr">
        <is>
          <t>B</t>
        </is>
      </c>
      <c r="I50" s="17" t="n">
        <v>2</v>
      </c>
      <c r="J50" s="17" t="n"/>
      <c r="K50" s="18">
        <f>I50-IF(J50="",0,J50)</f>
        <v/>
      </c>
      <c r="L50" s="15" t="inlineStr">
        <is>
          <t>Stück</t>
        </is>
      </c>
      <c r="M50" s="15" t="inlineStr">
        <is>
          <t>gut</t>
        </is>
      </c>
      <c r="N50" s="19" t="n"/>
      <c r="O50" s="19" t="inlineStr">
        <is>
          <t>entfällt</t>
        </is>
      </c>
      <c r="P50" s="19" t="n"/>
      <c r="Q50" s="20" t="n"/>
      <c r="R50" s="20" t="n">
        <v>120</v>
      </c>
      <c r="S50" s="19" t="inlineStr">
        <is>
          <t>VHB</t>
        </is>
      </c>
      <c r="T50" s="21">
        <f>K50*R50</f>
        <v/>
      </c>
      <c r="U50" s="15" t="inlineStr">
        <is>
          <t>nur Abholung</t>
        </is>
      </c>
      <c r="V50" s="15" t="inlineStr">
        <is>
          <t>F-013</t>
        </is>
      </c>
      <c r="W50" s="19" t="inlineStr">
        <is>
          <t>ja</t>
        </is>
      </c>
      <c r="X50" s="19" t="n"/>
      <c r="Y50" s="19" t="inlineStr">
        <is>
          <t>verfügbar</t>
        </is>
      </c>
      <c r="Z50" s="19" t="n"/>
      <c r="AA50" s="19" t="n"/>
      <c r="AB50" s="19" t="n"/>
      <c r="AC50" s="20" t="n"/>
      <c r="AD50" s="21">
        <f>IF(J50="","",J50*AC50)</f>
        <v/>
      </c>
      <c r="AE50" s="19" t="n"/>
      <c r="AF50" s="19" t="n"/>
      <c r="AG50" s="19" t="n"/>
      <c r="AH50" s="19" t="n"/>
      <c r="AI50" s="19" t="n"/>
      <c r="AJ50" s="19" t="n"/>
      <c r="AK50" s="16" t="inlineStr">
        <is>
          <t>2 Bilder im Bild</t>
        </is>
      </c>
      <c r="AL50" s="22" t="n"/>
    </row>
    <row r="51" ht="30" customHeight="1">
      <c r="A51" s="15" t="inlineStr">
        <is>
          <t>K-021</t>
        </is>
      </c>
      <c r="B51" s="15" t="n"/>
      <c r="C51" s="15" t="inlineStr">
        <is>
          <t>NE01</t>
        </is>
      </c>
      <c r="D51" s="15" t="inlineStr">
        <is>
          <t>Wanddeko Holzleiter und Treibholz</t>
        </is>
      </c>
      <c r="E51" s="16" t="inlineStr">
        <is>
          <t>Dekoleiter grau in Tannenform, dazu Treibholzelemente</t>
        </is>
      </c>
      <c r="F51" s="15" t="inlineStr">
        <is>
          <t>Deko</t>
        </is>
      </c>
      <c r="G51" s="15" t="inlineStr">
        <is>
          <t>Flur</t>
        </is>
      </c>
      <c r="H51" s="15" t="inlineStr">
        <is>
          <t>C</t>
        </is>
      </c>
      <c r="I51" s="17" t="n">
        <v>1</v>
      </c>
      <c r="J51" s="17" t="n"/>
      <c r="K51" s="18">
        <f>I51-IF(J51="",0,J51)</f>
        <v/>
      </c>
      <c r="L51" s="15" t="inlineStr">
        <is>
          <t>Set</t>
        </is>
      </c>
      <c r="M51" s="15" t="inlineStr">
        <is>
          <t>gut</t>
        </is>
      </c>
      <c r="N51" s="19" t="n"/>
      <c r="O51" s="19" t="inlineStr">
        <is>
          <t>entfällt</t>
        </is>
      </c>
      <c r="P51" s="19" t="n"/>
      <c r="Q51" s="20" t="n"/>
      <c r="R51" s="20" t="n">
        <v>30</v>
      </c>
      <c r="S51" s="19" t="inlineStr">
        <is>
          <t>VHB</t>
        </is>
      </c>
      <c r="T51" s="21">
        <f>K51*R51</f>
        <v/>
      </c>
      <c r="U51" s="15" t="inlineStr">
        <is>
          <t>nur Abholung</t>
        </is>
      </c>
      <c r="V51" s="15" t="inlineStr">
        <is>
          <t>F-015</t>
        </is>
      </c>
      <c r="W51" s="19" t="inlineStr">
        <is>
          <t>ja</t>
        </is>
      </c>
      <c r="X51" s="19" t="n"/>
      <c r="Y51" s="19" t="inlineStr">
        <is>
          <t>verfügbar</t>
        </is>
      </c>
      <c r="Z51" s="19" t="n"/>
      <c r="AA51" s="19" t="n"/>
      <c r="AB51" s="19" t="n"/>
      <c r="AC51" s="20" t="n"/>
      <c r="AD51" s="21">
        <f>IF(J51="","",J51*AC51)</f>
        <v/>
      </c>
      <c r="AE51" s="19" t="n"/>
      <c r="AF51" s="19" t="n"/>
      <c r="AG51" s="19" t="n"/>
      <c r="AH51" s="19" t="n"/>
      <c r="AI51" s="19" t="n"/>
      <c r="AJ51" s="19" t="n"/>
      <c r="AK51" s="16" t="inlineStr">
        <is>
          <t>1 Set im Bild</t>
        </is>
      </c>
      <c r="AL51" s="22" t="n"/>
    </row>
    <row r="52" ht="30" customHeight="1">
      <c r="A52" s="15" t="inlineStr">
        <is>
          <t>K-022</t>
        </is>
      </c>
      <c r="B52" s="15" t="n"/>
      <c r="C52" s="15" t="inlineStr">
        <is>
          <t>NE01</t>
        </is>
      </c>
      <c r="D52" s="15" t="inlineStr">
        <is>
          <t>Zamioculcas groß im Übertopf</t>
        </is>
      </c>
      <c r="E52" s="16" t="inlineStr">
        <is>
          <t>Glücksfeder, große Pflanze, schwarzer Übertopf</t>
        </is>
      </c>
      <c r="F52" s="15" t="inlineStr">
        <is>
          <t>Pflanzen</t>
        </is>
      </c>
      <c r="G52" s="15" t="inlineStr">
        <is>
          <t>Flur</t>
        </is>
      </c>
      <c r="H52" s="15" t="inlineStr">
        <is>
          <t>C</t>
        </is>
      </c>
      <c r="I52" s="17" t="n">
        <v>1</v>
      </c>
      <c r="J52" s="17" t="n"/>
      <c r="K52" s="18">
        <f>I52-IF(J52="",0,J52)</f>
        <v/>
      </c>
      <c r="L52" s="15" t="inlineStr">
        <is>
          <t>Stück</t>
        </is>
      </c>
      <c r="M52" s="15" t="inlineStr">
        <is>
          <t>gut</t>
        </is>
      </c>
      <c r="N52" s="19" t="n"/>
      <c r="O52" s="19" t="inlineStr">
        <is>
          <t>entfällt</t>
        </is>
      </c>
      <c r="P52" s="19" t="n"/>
      <c r="Q52" s="20" t="n"/>
      <c r="R52" s="20" t="n">
        <v>70</v>
      </c>
      <c r="S52" s="19" t="inlineStr">
        <is>
          <t>VHB</t>
        </is>
      </c>
      <c r="T52" s="21">
        <f>K52*R52</f>
        <v/>
      </c>
      <c r="U52" s="15" t="inlineStr">
        <is>
          <t>nur Abholung</t>
        </is>
      </c>
      <c r="V52" s="15" t="inlineStr">
        <is>
          <t>F-015</t>
        </is>
      </c>
      <c r="W52" s="19" t="inlineStr">
        <is>
          <t>ja</t>
        </is>
      </c>
      <c r="X52" s="19" t="n"/>
      <c r="Y52" s="19" t="inlineStr">
        <is>
          <t>verfügbar</t>
        </is>
      </c>
      <c r="Z52" s="19" t="n"/>
      <c r="AA52" s="19" t="n"/>
      <c r="AB52" s="19" t="n"/>
      <c r="AC52" s="20" t="n"/>
      <c r="AD52" s="21">
        <f>IF(J52="","",J52*AC52)</f>
        <v/>
      </c>
      <c r="AE52" s="19" t="n"/>
      <c r="AF52" s="19" t="n"/>
      <c r="AG52" s="19" t="n"/>
      <c r="AH52" s="19" t="n"/>
      <c r="AI52" s="19" t="n"/>
      <c r="AJ52" s="19" t="n"/>
      <c r="AK52" s="16" t="inlineStr">
        <is>
          <t>1 Pflanze im Bild</t>
        </is>
      </c>
      <c r="AL52" s="22" t="n"/>
    </row>
    <row r="53" ht="30" customHeight="1">
      <c r="A53" s="15" t="inlineStr">
        <is>
          <t>K-025</t>
        </is>
      </c>
      <c r="B53" s="15" t="n"/>
      <c r="C53" s="15" t="inlineStr">
        <is>
          <t>NE05</t>
        </is>
      </c>
      <c r="D53" s="15" t="inlineStr">
        <is>
          <t>Stapelstuhl rot</t>
        </is>
      </c>
      <c r="E53" s="16" t="inlineStr">
        <is>
          <t>Kunststoff-Stapelstuhl, rot, Erwachsenengröße</t>
        </is>
      </c>
      <c r="F53" s="15" t="inlineStr">
        <is>
          <t>Möbel</t>
        </is>
      </c>
      <c r="G53" s="15" t="inlineStr">
        <is>
          <t>Speisesaal</t>
        </is>
      </c>
      <c r="H53" s="15" t="inlineStr">
        <is>
          <t>C</t>
        </is>
      </c>
      <c r="I53" s="17" t="n">
        <v>6</v>
      </c>
      <c r="J53" s="17" t="n"/>
      <c r="K53" s="18">
        <f>I53-IF(J53="",0,J53)</f>
        <v/>
      </c>
      <c r="L53" s="15" t="inlineStr">
        <is>
          <t>Stück</t>
        </is>
      </c>
      <c r="M53" s="15" t="inlineStr">
        <is>
          <t>gebraucht</t>
        </is>
      </c>
      <c r="N53" s="19" t="n"/>
      <c r="O53" s="19" t="inlineStr">
        <is>
          <t>entfällt</t>
        </is>
      </c>
      <c r="P53" s="19" t="n"/>
      <c r="Q53" s="20" t="n"/>
      <c r="R53" s="20" t="n">
        <v>15</v>
      </c>
      <c r="S53" s="19" t="inlineStr">
        <is>
          <t>VHB</t>
        </is>
      </c>
      <c r="T53" s="21">
        <f>K53*R53</f>
        <v/>
      </c>
      <c r="U53" s="15" t="inlineStr">
        <is>
          <t>Versand möglich</t>
        </is>
      </c>
      <c r="V53" s="15" t="inlineStr">
        <is>
          <t>F-016</t>
        </is>
      </c>
      <c r="W53" s="19" t="inlineStr">
        <is>
          <t>ja</t>
        </is>
      </c>
      <c r="X53" s="19" t="n"/>
      <c r="Y53" s="19" t="inlineStr">
        <is>
          <t>verfügbar</t>
        </is>
      </c>
      <c r="Z53" s="19" t="n"/>
      <c r="AA53" s="19" t="n"/>
      <c r="AB53" s="19" t="n"/>
      <c r="AC53" s="20" t="n"/>
      <c r="AD53" s="21">
        <f>IF(J53="","",J53*AC53)</f>
        <v/>
      </c>
      <c r="AE53" s="19" t="n"/>
      <c r="AF53" s="19" t="n"/>
      <c r="AG53" s="19" t="n"/>
      <c r="AH53" s="19" t="n"/>
      <c r="AI53" s="19" t="n"/>
      <c r="AJ53" s="19" t="n"/>
      <c r="AK53" s="16" t="inlineStr">
        <is>
          <t>ca. 6 Stück im Bild - bitte nachzählen</t>
        </is>
      </c>
      <c r="AL53" s="22" t="n"/>
    </row>
    <row r="54" ht="30" customHeight="1">
      <c r="A54" s="15" t="inlineStr">
        <is>
          <t>K-026</t>
        </is>
      </c>
      <c r="B54" s="15" t="n"/>
      <c r="C54" s="15" t="inlineStr">
        <is>
          <t>NE05</t>
        </is>
      </c>
      <c r="D54" s="15" t="inlineStr">
        <is>
          <t>Kinderstuhl weiß</t>
        </is>
      </c>
      <c r="E54" s="16" t="inlineStr">
        <is>
          <t>Kunststoff, weiß, Kindergröße, stapelbar</t>
        </is>
      </c>
      <c r="F54" s="15" t="inlineStr">
        <is>
          <t>Kita-Ausstattung</t>
        </is>
      </c>
      <c r="G54" s="15" t="inlineStr">
        <is>
          <t>Speisesaal</t>
        </is>
      </c>
      <c r="H54" s="15" t="inlineStr">
        <is>
          <t>C</t>
        </is>
      </c>
      <c r="I54" s="17" t="n">
        <v>8</v>
      </c>
      <c r="J54" s="17" t="n"/>
      <c r="K54" s="18">
        <f>I54-IF(J54="",0,J54)</f>
        <v/>
      </c>
      <c r="L54" s="15" t="inlineStr">
        <is>
          <t>Stück</t>
        </is>
      </c>
      <c r="M54" s="15" t="inlineStr">
        <is>
          <t>gebraucht</t>
        </is>
      </c>
      <c r="N54" s="19" t="n"/>
      <c r="O54" s="19" t="inlineStr">
        <is>
          <t>entfällt</t>
        </is>
      </c>
      <c r="P54" s="19" t="n"/>
      <c r="Q54" s="20" t="n"/>
      <c r="R54" s="20" t="n">
        <v>12</v>
      </c>
      <c r="S54" s="19" t="inlineStr">
        <is>
          <t>VHB</t>
        </is>
      </c>
      <c r="T54" s="21">
        <f>K54*R54</f>
        <v/>
      </c>
      <c r="U54" s="15" t="inlineStr">
        <is>
          <t>Versand möglich</t>
        </is>
      </c>
      <c r="V54" s="15" t="inlineStr">
        <is>
          <t>F-016</t>
        </is>
      </c>
      <c r="W54" s="19" t="inlineStr">
        <is>
          <t>ja</t>
        </is>
      </c>
      <c r="X54" s="19" t="n"/>
      <c r="Y54" s="19" t="inlineStr">
        <is>
          <t>verfügbar</t>
        </is>
      </c>
      <c r="Z54" s="19" t="n"/>
      <c r="AA54" s="19" t="n"/>
      <c r="AB54" s="19" t="n"/>
      <c r="AC54" s="20" t="n"/>
      <c r="AD54" s="21">
        <f>IF(J54="","",J54*AC54)</f>
        <v/>
      </c>
      <c r="AE54" s="19" t="n"/>
      <c r="AF54" s="19" t="n"/>
      <c r="AG54" s="19" t="n"/>
      <c r="AH54" s="19" t="n"/>
      <c r="AI54" s="19" t="n"/>
      <c r="AJ54" s="19" t="n"/>
      <c r="AK54" s="16" t="inlineStr">
        <is>
          <t>ca. 8 Stück im Bild - bitte nachzählen</t>
        </is>
      </c>
      <c r="AL54" s="22" t="n"/>
    </row>
    <row r="55" ht="30" customHeight="1">
      <c r="A55" s="15" t="inlineStr">
        <is>
          <t>K-027</t>
        </is>
      </c>
      <c r="B55" s="15" t="n"/>
      <c r="C55" s="15" t="inlineStr">
        <is>
          <t>NE05</t>
        </is>
      </c>
      <c r="D55" s="15" t="inlineStr">
        <is>
          <t>Kinder-Hochstuhl</t>
        </is>
      </c>
      <c r="E55" s="16" t="inlineStr">
        <is>
          <t>Klappbarer Hochstuhl, Holz/weiß</t>
        </is>
      </c>
      <c r="F55" s="15" t="inlineStr">
        <is>
          <t>Kita-Ausstattung</t>
        </is>
      </c>
      <c r="G55" s="15" t="inlineStr">
        <is>
          <t>Speisesaal</t>
        </is>
      </c>
      <c r="H55" s="15" t="inlineStr">
        <is>
          <t>C</t>
        </is>
      </c>
      <c r="I55" s="17" t="n">
        <v>1</v>
      </c>
      <c r="J55" s="17" t="n"/>
      <c r="K55" s="18">
        <f>I55-IF(J55="",0,J55)</f>
        <v/>
      </c>
      <c r="L55" s="15" t="inlineStr">
        <is>
          <t>Stück</t>
        </is>
      </c>
      <c r="M55" s="15" t="inlineStr">
        <is>
          <t>gebraucht</t>
        </is>
      </c>
      <c r="N55" s="19" t="n"/>
      <c r="O55" s="19" t="inlineStr">
        <is>
          <t>entfällt</t>
        </is>
      </c>
      <c r="P55" s="19" t="n"/>
      <c r="Q55" s="20" t="n"/>
      <c r="R55" s="20" t="n">
        <v>40</v>
      </c>
      <c r="S55" s="19" t="inlineStr">
        <is>
          <t>VHB</t>
        </is>
      </c>
      <c r="T55" s="21">
        <f>K55*R55</f>
        <v/>
      </c>
      <c r="U55" s="15" t="inlineStr">
        <is>
          <t>Versand möglich</t>
        </is>
      </c>
      <c r="V55" s="15" t="inlineStr">
        <is>
          <t>F-016</t>
        </is>
      </c>
      <c r="W55" s="19" t="inlineStr">
        <is>
          <t>ja</t>
        </is>
      </c>
      <c r="X55" s="19" t="n"/>
      <c r="Y55" s="19" t="inlineStr">
        <is>
          <t>verfügbar</t>
        </is>
      </c>
      <c r="Z55" s="19" t="n"/>
      <c r="AA55" s="19" t="n"/>
      <c r="AB55" s="19" t="n"/>
      <c r="AC55" s="20" t="n"/>
      <c r="AD55" s="21">
        <f>IF(J55="","",J55*AC55)</f>
        <v/>
      </c>
      <c r="AE55" s="19" t="n"/>
      <c r="AF55" s="19" t="n"/>
      <c r="AG55" s="19" t="n"/>
      <c r="AH55" s="19" t="n"/>
      <c r="AI55" s="19" t="n"/>
      <c r="AJ55" s="19" t="n"/>
      <c r="AK55" s="16" t="inlineStr">
        <is>
          <t>1 Stück im Bild</t>
        </is>
      </c>
      <c r="AL55" s="22" t="n"/>
    </row>
    <row r="56" ht="30" customHeight="1">
      <c r="A56" s="15" t="inlineStr">
        <is>
          <t>K-029</t>
        </is>
      </c>
      <c r="B56" s="15" t="n"/>
      <c r="C56" s="15" t="inlineStr">
        <is>
          <t>NE05</t>
        </is>
      </c>
      <c r="D56" s="15" t="inlineStr">
        <is>
          <t>Whiteboard Sprechblasenform</t>
        </is>
      </c>
      <c r="E56" s="16" t="inlineStr">
        <is>
          <t>Magnetisches Whiteboard in Sprechblasenform</t>
        </is>
      </c>
      <c r="F56" s="15" t="inlineStr">
        <is>
          <t>Büro</t>
        </is>
      </c>
      <c r="G56" s="15" t="inlineStr">
        <is>
          <t>Speisesaal</t>
        </is>
      </c>
      <c r="H56" s="15" t="inlineStr">
        <is>
          <t>C</t>
        </is>
      </c>
      <c r="I56" s="17" t="n">
        <v>1</v>
      </c>
      <c r="J56" s="17" t="n"/>
      <c r="K56" s="18">
        <f>I56-IF(J56="",0,J56)</f>
        <v/>
      </c>
      <c r="L56" s="15" t="inlineStr">
        <is>
          <t>Stück</t>
        </is>
      </c>
      <c r="M56" s="15" t="inlineStr">
        <is>
          <t>gut</t>
        </is>
      </c>
      <c r="N56" s="19" t="n"/>
      <c r="O56" s="19" t="inlineStr">
        <is>
          <t>entfällt</t>
        </is>
      </c>
      <c r="P56" s="19" t="n"/>
      <c r="Q56" s="20" t="n"/>
      <c r="R56" s="20" t="n">
        <v>35</v>
      </c>
      <c r="S56" s="19" t="inlineStr">
        <is>
          <t>VHB</t>
        </is>
      </c>
      <c r="T56" s="21">
        <f>K56*R56</f>
        <v/>
      </c>
      <c r="U56" s="15" t="inlineStr">
        <is>
          <t>Versand möglich</t>
        </is>
      </c>
      <c r="V56" s="15" t="inlineStr">
        <is>
          <t>F-017</t>
        </is>
      </c>
      <c r="W56" s="19" t="inlineStr">
        <is>
          <t>ja</t>
        </is>
      </c>
      <c r="X56" s="19" t="n"/>
      <c r="Y56" s="19" t="inlineStr">
        <is>
          <t>verfügbar</t>
        </is>
      </c>
      <c r="Z56" s="19" t="n"/>
      <c r="AA56" s="19" t="n"/>
      <c r="AB56" s="19" t="n"/>
      <c r="AC56" s="20" t="n"/>
      <c r="AD56" s="21">
        <f>IF(J56="","",J56*AC56)</f>
        <v/>
      </c>
      <c r="AE56" s="19" t="n"/>
      <c r="AF56" s="19" t="n"/>
      <c r="AG56" s="19" t="n"/>
      <c r="AH56" s="19" t="n"/>
      <c r="AI56" s="19" t="n"/>
      <c r="AJ56" s="19" t="n"/>
      <c r="AK56" s="16" t="inlineStr">
        <is>
          <t>1 Stück im Bild</t>
        </is>
      </c>
      <c r="AL56" s="22" t="n"/>
    </row>
    <row r="57" ht="30" customHeight="1">
      <c r="A57" s="15" t="inlineStr">
        <is>
          <t>K-030</t>
        </is>
      </c>
      <c r="B57" s="15" t="n"/>
      <c r="C57" s="15" t="inlineStr">
        <is>
          <t>NU01</t>
        </is>
      </c>
      <c r="D57" s="15" t="inlineStr">
        <is>
          <t>Bücherschrank weiß, Landhausstil</t>
        </is>
      </c>
      <c r="E57" s="16" t="inlineStr">
        <is>
          <t>Weiß, Sprossen-Glastüren, mehrere Fachböden</t>
        </is>
      </c>
      <c r="F57" s="15" t="inlineStr">
        <is>
          <t>Möbel</t>
        </is>
      </c>
      <c r="G57" s="15" t="inlineStr">
        <is>
          <t>Flur</t>
        </is>
      </c>
      <c r="H57" s="15" t="inlineStr">
        <is>
          <t>B</t>
        </is>
      </c>
      <c r="I57" s="17" t="n">
        <v>1</v>
      </c>
      <c r="J57" s="17" t="n"/>
      <c r="K57" s="18">
        <f>I57-IF(J57="",0,J57)</f>
        <v/>
      </c>
      <c r="L57" s="15" t="inlineStr">
        <is>
          <t>Stück</t>
        </is>
      </c>
      <c r="M57" s="15" t="inlineStr">
        <is>
          <t>gut</t>
        </is>
      </c>
      <c r="N57" s="19" t="n"/>
      <c r="O57" s="19" t="inlineStr">
        <is>
          <t>entfällt</t>
        </is>
      </c>
      <c r="P57" s="19" t="n"/>
      <c r="Q57" s="20" t="n"/>
      <c r="R57" s="20" t="n">
        <v>180</v>
      </c>
      <c r="S57" s="19" t="inlineStr">
        <is>
          <t>VHB</t>
        </is>
      </c>
      <c r="T57" s="21">
        <f>K57*R57</f>
        <v/>
      </c>
      <c r="U57" s="15" t="inlineStr">
        <is>
          <t>nur Abholung</t>
        </is>
      </c>
      <c r="V57" s="15" t="inlineStr">
        <is>
          <t>F-018</t>
        </is>
      </c>
      <c r="W57" s="19" t="inlineStr">
        <is>
          <t>ja</t>
        </is>
      </c>
      <c r="X57" s="19" t="n"/>
      <c r="Y57" s="19" t="inlineStr">
        <is>
          <t>verfügbar</t>
        </is>
      </c>
      <c r="Z57" s="19" t="n"/>
      <c r="AA57" s="19" t="n"/>
      <c r="AB57" s="19" t="n"/>
      <c r="AC57" s="20" t="n"/>
      <c r="AD57" s="21">
        <f>IF(J57="","",J57*AC57)</f>
        <v/>
      </c>
      <c r="AE57" s="19" t="n"/>
      <c r="AF57" s="19" t="n"/>
      <c r="AG57" s="19" t="n"/>
      <c r="AH57" s="19" t="n"/>
      <c r="AI57" s="19" t="n"/>
      <c r="AJ57" s="19" t="n"/>
      <c r="AK57" s="16" t="inlineStr">
        <is>
          <t>1 Schrank im Bild (Bücher nicht enthalten)</t>
        </is>
      </c>
      <c r="AL57" s="22" t="n"/>
    </row>
    <row r="58" ht="30" customHeight="1">
      <c r="A58" s="15" t="inlineStr">
        <is>
          <t>K-032</t>
        </is>
      </c>
      <c r="B58" s="15" t="n"/>
      <c r="C58" s="15" t="inlineStr">
        <is>
          <t>NU01</t>
        </is>
      </c>
      <c r="D58" s="15" t="inlineStr">
        <is>
          <t>Hocker rot</t>
        </is>
      </c>
      <c r="E58" s="16" t="inlineStr">
        <is>
          <t>Passend zur Sitzgruppe, rot bezogen</t>
        </is>
      </c>
      <c r="F58" s="15" t="inlineStr">
        <is>
          <t>Möbel</t>
        </is>
      </c>
      <c r="G58" s="15" t="inlineStr">
        <is>
          <t>Flur</t>
        </is>
      </c>
      <c r="H58" s="15" t="inlineStr">
        <is>
          <t>B</t>
        </is>
      </c>
      <c r="I58" s="17" t="n">
        <v>2</v>
      </c>
      <c r="J58" s="17" t="n"/>
      <c r="K58" s="18">
        <f>I58-IF(J58="",0,J58)</f>
        <v/>
      </c>
      <c r="L58" s="15" t="inlineStr">
        <is>
          <t>Stück</t>
        </is>
      </c>
      <c r="M58" s="15" t="inlineStr">
        <is>
          <t>gut</t>
        </is>
      </c>
      <c r="N58" s="19" t="n"/>
      <c r="O58" s="19" t="inlineStr">
        <is>
          <t>entfällt</t>
        </is>
      </c>
      <c r="P58" s="19" t="n"/>
      <c r="Q58" s="20" t="n"/>
      <c r="R58" s="20" t="n">
        <v>90</v>
      </c>
      <c r="S58" s="19" t="inlineStr">
        <is>
          <t>VHB</t>
        </is>
      </c>
      <c r="T58" s="21">
        <f>K58*R58</f>
        <v/>
      </c>
      <c r="U58" s="15" t="inlineStr">
        <is>
          <t>Versand möglich</t>
        </is>
      </c>
      <c r="V58" s="15" t="inlineStr">
        <is>
          <t>F-019</t>
        </is>
      </c>
      <c r="W58" s="19" t="inlineStr">
        <is>
          <t>ja</t>
        </is>
      </c>
      <c r="X58" s="19" t="n"/>
      <c r="Y58" s="19" t="inlineStr">
        <is>
          <t>verfügbar</t>
        </is>
      </c>
      <c r="Z58" s="19" t="n"/>
      <c r="AA58" s="19" t="n"/>
      <c r="AB58" s="19" t="n"/>
      <c r="AC58" s="20" t="n"/>
      <c r="AD58" s="21">
        <f>IF(J58="","",J58*AC58)</f>
        <v/>
      </c>
      <c r="AE58" s="19" t="n"/>
      <c r="AF58" s="19" t="n"/>
      <c r="AG58" s="19" t="n"/>
      <c r="AH58" s="19" t="n"/>
      <c r="AI58" s="19" t="n"/>
      <c r="AJ58" s="19" t="n"/>
      <c r="AK58" s="16" t="inlineStr">
        <is>
          <t>2 Stück im Bild</t>
        </is>
      </c>
      <c r="AL58" s="22" t="n"/>
    </row>
    <row r="59" ht="30" customHeight="1">
      <c r="A59" s="15" t="inlineStr">
        <is>
          <t>K-033</t>
        </is>
      </c>
      <c r="B59" s="15" t="n"/>
      <c r="C59" s="15" t="inlineStr">
        <is>
          <t>NU01</t>
        </is>
      </c>
      <c r="D59" s="15" t="inlineStr">
        <is>
          <t>USM Haller Regal weiß</t>
        </is>
      </c>
      <c r="E59" s="16" t="inlineStr">
        <is>
          <t>USM Haller, weiß, 3 Ebenen, offen, verchromtes Rohrgestell mit Kugelverbindern</t>
        </is>
      </c>
      <c r="F59" s="15" t="inlineStr">
        <is>
          <t>Designmöbel</t>
        </is>
      </c>
      <c r="G59" s="15" t="inlineStr">
        <is>
          <t>Flur</t>
        </is>
      </c>
      <c r="H59" s="15" t="inlineStr">
        <is>
          <t>A</t>
        </is>
      </c>
      <c r="I59" s="17" t="n">
        <v>2</v>
      </c>
      <c r="J59" s="17" t="n"/>
      <c r="K59" s="18">
        <f>I59-IF(J59="",0,J59)</f>
        <v/>
      </c>
      <c r="L59" s="15" t="inlineStr">
        <is>
          <t>Stück</t>
        </is>
      </c>
      <c r="M59" s="15" t="inlineStr">
        <is>
          <t>gut</t>
        </is>
      </c>
      <c r="N59" s="19" t="n"/>
      <c r="O59" s="19" t="inlineStr">
        <is>
          <t>entfällt</t>
        </is>
      </c>
      <c r="P59" s="19" t="n"/>
      <c r="Q59" s="20" t="n"/>
      <c r="R59" s="20" t="n">
        <v>850</v>
      </c>
      <c r="S59" s="19" t="inlineStr">
        <is>
          <t>VHB</t>
        </is>
      </c>
      <c r="T59" s="21">
        <f>K59*R59</f>
        <v/>
      </c>
      <c r="U59" s="15" t="inlineStr">
        <is>
          <t>nur Abholung</t>
        </is>
      </c>
      <c r="V59" s="15" t="inlineStr">
        <is>
          <t>F-020</t>
        </is>
      </c>
      <c r="W59" s="19" t="inlineStr">
        <is>
          <t>ja</t>
        </is>
      </c>
      <c r="X59" s="19" t="n"/>
      <c r="Y59" s="19" t="inlineStr">
        <is>
          <t>verfügbar</t>
        </is>
      </c>
      <c r="Z59" s="19" t="n"/>
      <c r="AA59" s="19" t="n"/>
      <c r="AB59" s="19" t="n"/>
      <c r="AC59" s="20" t="n"/>
      <c r="AD59" s="21">
        <f>IF(J59="","",J59*AC59)</f>
        <v/>
      </c>
      <c r="AE59" s="19" t="n"/>
      <c r="AF59" s="19" t="n"/>
      <c r="AG59" s="19" t="n"/>
      <c r="AH59" s="19" t="n"/>
      <c r="AI59" s="19" t="n"/>
      <c r="AJ59" s="19" t="n"/>
      <c r="AK59" s="16" t="inlineStr">
        <is>
          <t>2 Regale im Bild</t>
        </is>
      </c>
      <c r="AL59" s="22" t="n"/>
    </row>
    <row r="60" ht="30" customHeight="1">
      <c r="A60" s="15" t="inlineStr">
        <is>
          <t>K-037</t>
        </is>
      </c>
      <c r="B60" s="15" t="n"/>
      <c r="C60" s="15" t="inlineStr">
        <is>
          <t>BE11</t>
        </is>
      </c>
      <c r="D60" s="15" t="inlineStr">
        <is>
          <t>Ringlicht LED auf Stativ</t>
        </is>
      </c>
      <c r="E60" s="16" t="inlineStr">
        <is>
          <t>Fotolicht, Ringleuchte mit Stativ</t>
        </is>
      </c>
      <c r="F60" s="15" t="inlineStr">
        <is>
          <t>Technik</t>
        </is>
      </c>
      <c r="G60" s="15" t="inlineStr">
        <is>
          <t>Büro</t>
        </is>
      </c>
      <c r="H60" s="15" t="inlineStr">
        <is>
          <t>C</t>
        </is>
      </c>
      <c r="I60" s="17" t="n">
        <v>1</v>
      </c>
      <c r="J60" s="17" t="n"/>
      <c r="K60" s="18">
        <f>I60-IF(J60="",0,J60)</f>
        <v/>
      </c>
      <c r="L60" s="15" t="inlineStr">
        <is>
          <t>Stück</t>
        </is>
      </c>
      <c r="M60" s="15" t="inlineStr">
        <is>
          <t>gut</t>
        </is>
      </c>
      <c r="N60" s="19" t="n"/>
      <c r="O60" s="19" t="inlineStr">
        <is>
          <t>entfällt</t>
        </is>
      </c>
      <c r="P60" s="19" t="n"/>
      <c r="Q60" s="20" t="n"/>
      <c r="R60" s="20" t="n">
        <v>35</v>
      </c>
      <c r="S60" s="19" t="inlineStr">
        <is>
          <t>VHB</t>
        </is>
      </c>
      <c r="T60" s="21">
        <f>K60*R60</f>
        <v/>
      </c>
      <c r="U60" s="15" t="inlineStr">
        <is>
          <t>Versand möglich</t>
        </is>
      </c>
      <c r="V60" s="15" t="inlineStr">
        <is>
          <t>F-023</t>
        </is>
      </c>
      <c r="W60" s="19" t="inlineStr">
        <is>
          <t>ja</t>
        </is>
      </c>
      <c r="X60" s="19" t="n"/>
      <c r="Y60" s="19" t="inlineStr">
        <is>
          <t>verfügbar</t>
        </is>
      </c>
      <c r="Z60" s="19" t="n"/>
      <c r="AA60" s="19" t="n"/>
      <c r="AB60" s="19" t="n"/>
      <c r="AC60" s="20" t="n"/>
      <c r="AD60" s="21">
        <f>IF(J60="","",J60*AC60)</f>
        <v/>
      </c>
      <c r="AE60" s="19" t="n"/>
      <c r="AF60" s="19" t="n"/>
      <c r="AG60" s="19" t="n"/>
      <c r="AH60" s="19" t="n"/>
      <c r="AI60" s="19" t="n"/>
      <c r="AJ60" s="19" t="n"/>
      <c r="AK60" s="16" t="inlineStr">
        <is>
          <t>1 Stück im Bild</t>
        </is>
      </c>
      <c r="AL60" s="22" t="n"/>
    </row>
    <row r="61" ht="30" customHeight="1">
      <c r="A61" s="15" t="inlineStr">
        <is>
          <t>K-038</t>
        </is>
      </c>
      <c r="B61" s="15" t="n"/>
      <c r="C61" s="15" t="inlineStr">
        <is>
          <t>BE10</t>
        </is>
      </c>
      <c r="D61" s="15" t="inlineStr">
        <is>
          <t>Konsolentisch schwarz mit Glasplatte</t>
        </is>
      </c>
      <c r="E61" s="16" t="inlineStr">
        <is>
          <t>Metallrahmen schwarz, Glasablagen</t>
        </is>
      </c>
      <c r="F61" s="15" t="inlineStr">
        <is>
          <t>Möbel</t>
        </is>
      </c>
      <c r="G61" s="15" t="inlineStr">
        <is>
          <t>Büro / Besprechung</t>
        </is>
      </c>
      <c r="H61" s="15" t="inlineStr">
        <is>
          <t>C</t>
        </is>
      </c>
      <c r="I61" s="17" t="n">
        <v>1</v>
      </c>
      <c r="J61" s="17" t="n"/>
      <c r="K61" s="18">
        <f>I61-IF(J61="",0,J61)</f>
        <v/>
      </c>
      <c r="L61" s="15" t="inlineStr">
        <is>
          <t>Stück</t>
        </is>
      </c>
      <c r="M61" s="15" t="inlineStr">
        <is>
          <t>gut</t>
        </is>
      </c>
      <c r="N61" s="19" t="n"/>
      <c r="O61" s="19" t="inlineStr">
        <is>
          <t>entfällt</t>
        </is>
      </c>
      <c r="P61" s="19" t="n"/>
      <c r="Q61" s="20" t="n"/>
      <c r="R61" s="20" t="n">
        <v>60</v>
      </c>
      <c r="S61" s="19" t="inlineStr">
        <is>
          <t>VHB</t>
        </is>
      </c>
      <c r="T61" s="21">
        <f>K61*R61</f>
        <v/>
      </c>
      <c r="U61" s="15" t="inlineStr">
        <is>
          <t>nur Abholung</t>
        </is>
      </c>
      <c r="V61" s="15" t="inlineStr">
        <is>
          <t>F-024</t>
        </is>
      </c>
      <c r="W61" s="19" t="inlineStr">
        <is>
          <t>ja</t>
        </is>
      </c>
      <c r="X61" s="19" t="n"/>
      <c r="Y61" s="19" t="inlineStr">
        <is>
          <t>verfügbar</t>
        </is>
      </c>
      <c r="Z61" s="19" t="n"/>
      <c r="AA61" s="19" t="n"/>
      <c r="AB61" s="19" t="n"/>
      <c r="AC61" s="20" t="n"/>
      <c r="AD61" s="21">
        <f>IF(J61="","",J61*AC61)</f>
        <v/>
      </c>
      <c r="AE61" s="19" t="n"/>
      <c r="AF61" s="19" t="n"/>
      <c r="AG61" s="19" t="n"/>
      <c r="AH61" s="19" t="n"/>
      <c r="AI61" s="19" t="n"/>
      <c r="AJ61" s="19" t="n"/>
      <c r="AK61" s="16" t="inlineStr">
        <is>
          <t>1 Stück im Bild</t>
        </is>
      </c>
      <c r="AL61" s="22" t="n"/>
    </row>
    <row r="62" ht="30" customHeight="1">
      <c r="A62" s="15" t="inlineStr">
        <is>
          <t>K-039</t>
        </is>
      </c>
      <c r="B62" s="15" t="n"/>
      <c r="C62" s="15" t="inlineStr">
        <is>
          <t>BE10</t>
        </is>
      </c>
      <c r="D62" s="15" t="inlineStr">
        <is>
          <t>Kinderfahrzeug Kuh</t>
        </is>
      </c>
      <c r="E62" s="16" t="inlineStr">
        <is>
          <t>Wheely-Bug-Typ, Rutschfahrzeug für Kinder, Plüsch mit Rollen</t>
        </is>
      </c>
      <c r="F62" s="15" t="inlineStr">
        <is>
          <t>Kita-Ausstattung</t>
        </is>
      </c>
      <c r="G62" s="15" t="inlineStr">
        <is>
          <t>Büro / Besprechung</t>
        </is>
      </c>
      <c r="H62" s="15" t="inlineStr">
        <is>
          <t>C</t>
        </is>
      </c>
      <c r="I62" s="17" t="n">
        <v>1</v>
      </c>
      <c r="J62" s="17" t="n"/>
      <c r="K62" s="18">
        <f>I62-IF(J62="",0,J62)</f>
        <v/>
      </c>
      <c r="L62" s="15" t="inlineStr">
        <is>
          <t>Stück</t>
        </is>
      </c>
      <c r="M62" s="15" t="inlineStr">
        <is>
          <t>gebraucht</t>
        </is>
      </c>
      <c r="N62" s="19" t="n"/>
      <c r="O62" s="19" t="inlineStr">
        <is>
          <t>entfällt</t>
        </is>
      </c>
      <c r="P62" s="19" t="n"/>
      <c r="Q62" s="20" t="n"/>
      <c r="R62" s="20" t="n">
        <v>35</v>
      </c>
      <c r="S62" s="19" t="inlineStr">
        <is>
          <t>VHB</t>
        </is>
      </c>
      <c r="T62" s="21">
        <f>K62*R62</f>
        <v/>
      </c>
      <c r="U62" s="15" t="inlineStr">
        <is>
          <t>Versand möglich</t>
        </is>
      </c>
      <c r="V62" s="15" t="inlineStr">
        <is>
          <t>F-024</t>
        </is>
      </c>
      <c r="W62" s="19" t="inlineStr">
        <is>
          <t>ja</t>
        </is>
      </c>
      <c r="X62" s="19" t="n"/>
      <c r="Y62" s="19" t="inlineStr">
        <is>
          <t>verfügbar</t>
        </is>
      </c>
      <c r="Z62" s="19" t="n"/>
      <c r="AA62" s="19" t="n"/>
      <c r="AB62" s="19" t="n"/>
      <c r="AC62" s="20" t="n"/>
      <c r="AD62" s="21">
        <f>IF(J62="","",J62*AC62)</f>
        <v/>
      </c>
      <c r="AE62" s="19" t="n"/>
      <c r="AF62" s="19" t="n"/>
      <c r="AG62" s="19" t="n"/>
      <c r="AH62" s="19" t="n"/>
      <c r="AI62" s="19" t="n"/>
      <c r="AJ62" s="19" t="n"/>
      <c r="AK62" s="16" t="inlineStr">
        <is>
          <t>1 Stück im Bild</t>
        </is>
      </c>
      <c r="AL62" s="22" t="n"/>
    </row>
    <row r="63" ht="30" customHeight="1">
      <c r="A63" s="15" t="inlineStr">
        <is>
          <t>K-041</t>
        </is>
      </c>
      <c r="B63" s="15" t="n"/>
      <c r="C63" s="15" t="inlineStr">
        <is>
          <t>BE10</t>
        </is>
      </c>
      <c r="D63" s="15" t="inlineStr">
        <is>
          <t>Kommode Holz, antik</t>
        </is>
      </c>
      <c r="E63" s="16" t="inlineStr">
        <is>
          <t>Alte Holzkommode/Sekretär, dunkel</t>
        </is>
      </c>
      <c r="F63" s="15" t="inlineStr">
        <is>
          <t>Möbel</t>
        </is>
      </c>
      <c r="G63" s="15" t="inlineStr">
        <is>
          <t>Büro / Besprechung</t>
        </is>
      </c>
      <c r="H63" s="15" t="inlineStr">
        <is>
          <t>B</t>
        </is>
      </c>
      <c r="I63" s="17" t="n">
        <v>1</v>
      </c>
      <c r="J63" s="17" t="n"/>
      <c r="K63" s="18">
        <f>I63-IF(J63="",0,J63)</f>
        <v/>
      </c>
      <c r="L63" s="15" t="inlineStr">
        <is>
          <t>Stück</t>
        </is>
      </c>
      <c r="M63" s="15" t="inlineStr">
        <is>
          <t>gebraucht</t>
        </is>
      </c>
      <c r="N63" s="19" t="n"/>
      <c r="O63" s="19" t="inlineStr">
        <is>
          <t>entfällt</t>
        </is>
      </c>
      <c r="P63" s="19" t="n"/>
      <c r="Q63" s="20" t="n"/>
      <c r="R63" s="20" t="n">
        <v>120</v>
      </c>
      <c r="S63" s="19" t="inlineStr">
        <is>
          <t>VHB</t>
        </is>
      </c>
      <c r="T63" s="21">
        <f>K63*R63</f>
        <v/>
      </c>
      <c r="U63" s="15" t="inlineStr">
        <is>
          <t>nur Abholung</t>
        </is>
      </c>
      <c r="V63" s="15" t="inlineStr">
        <is>
          <t>F-025</t>
        </is>
      </c>
      <c r="W63" s="19" t="inlineStr">
        <is>
          <t>ja</t>
        </is>
      </c>
      <c r="X63" s="19" t="n"/>
      <c r="Y63" s="19" t="inlineStr">
        <is>
          <t>verfügbar</t>
        </is>
      </c>
      <c r="Z63" s="19" t="n"/>
      <c r="AA63" s="19" t="n"/>
      <c r="AB63" s="19" t="n"/>
      <c r="AC63" s="20" t="n"/>
      <c r="AD63" s="21">
        <f>IF(J63="","",J63*AC63)</f>
        <v/>
      </c>
      <c r="AE63" s="19" t="n"/>
      <c r="AF63" s="19" t="n"/>
      <c r="AG63" s="19" t="n"/>
      <c r="AH63" s="19" t="n"/>
      <c r="AI63" s="19" t="n"/>
      <c r="AJ63" s="19" t="n"/>
      <c r="AK63" s="16" t="inlineStr">
        <is>
          <t>1 Stück im Bild</t>
        </is>
      </c>
      <c r="AL63" s="22" t="n"/>
    </row>
    <row r="64" ht="30" customHeight="1">
      <c r="A64" s="15" t="inlineStr">
        <is>
          <t>K-044</t>
        </is>
      </c>
      <c r="B64" s="15" t="n"/>
      <c r="C64" s="15" t="inlineStr">
        <is>
          <t>BE10</t>
        </is>
      </c>
      <c r="D64" s="15" t="inlineStr">
        <is>
          <t>Schalenstuhl weiß mit Holzbeinen</t>
        </is>
      </c>
      <c r="E64" s="16" t="inlineStr">
        <is>
          <t>Kunststoff-Sitzschale weiß, Holzbeine mit Drahtstrebe</t>
        </is>
      </c>
      <c r="F64" s="15" t="inlineStr">
        <is>
          <t>Möbel</t>
        </is>
      </c>
      <c r="G64" s="15" t="inlineStr">
        <is>
          <t>Büro / Besprechung</t>
        </is>
      </c>
      <c r="H64" s="15" t="inlineStr">
        <is>
          <t>B</t>
        </is>
      </c>
      <c r="I64" s="17" t="n">
        <v>8</v>
      </c>
      <c r="J64" s="17" t="n"/>
      <c r="K64" s="18">
        <f>I64-IF(J64="",0,J64)</f>
        <v/>
      </c>
      <c r="L64" s="15" t="inlineStr">
        <is>
          <t>Stück</t>
        </is>
      </c>
      <c r="M64" s="15" t="inlineStr">
        <is>
          <t>gut</t>
        </is>
      </c>
      <c r="N64" s="19" t="n"/>
      <c r="O64" s="19" t="inlineStr">
        <is>
          <t>entfällt</t>
        </is>
      </c>
      <c r="P64" s="19" t="n"/>
      <c r="Q64" s="20" t="n"/>
      <c r="R64" s="20" t="n">
        <v>30</v>
      </c>
      <c r="S64" s="19" t="inlineStr">
        <is>
          <t>VHB</t>
        </is>
      </c>
      <c r="T64" s="21">
        <f>K64*R64</f>
        <v/>
      </c>
      <c r="U64" s="15" t="inlineStr">
        <is>
          <t>Versand möglich</t>
        </is>
      </c>
      <c r="V64" s="15" t="inlineStr">
        <is>
          <t>F-027</t>
        </is>
      </c>
      <c r="W64" s="19" t="inlineStr">
        <is>
          <t>ja</t>
        </is>
      </c>
      <c r="X64" s="19" t="n"/>
      <c r="Y64" s="19" t="inlineStr">
        <is>
          <t>verfügbar</t>
        </is>
      </c>
      <c r="Z64" s="19" t="n"/>
      <c r="AA64" s="19" t="n"/>
      <c r="AB64" s="19" t="n"/>
      <c r="AC64" s="20" t="n"/>
      <c r="AD64" s="21">
        <f>IF(J64="","",J64*AC64)</f>
        <v/>
      </c>
      <c r="AE64" s="19" t="n"/>
      <c r="AF64" s="19" t="n"/>
      <c r="AG64" s="19" t="n"/>
      <c r="AH64" s="19" t="n"/>
      <c r="AI64" s="19" t="n"/>
      <c r="AJ64" s="19" t="n"/>
      <c r="AK64" s="16" t="inlineStr">
        <is>
          <t>ca. 8 Stück im Bild - bitte nachzählen</t>
        </is>
      </c>
      <c r="AL64" s="22" t="n"/>
    </row>
    <row r="65" ht="30" customHeight="1">
      <c r="A65" s="15" t="inlineStr">
        <is>
          <t>K-045</t>
        </is>
      </c>
      <c r="B65" s="15" t="n"/>
      <c r="C65" s="15" t="inlineStr">
        <is>
          <t>BE10</t>
        </is>
      </c>
      <c r="D65" s="15" t="inlineStr">
        <is>
          <t>Bürodrehstuhl weiß</t>
        </is>
      </c>
      <c r="E65" s="16" t="inlineStr">
        <is>
          <t>Drehstuhl auf Rollen, weiß</t>
        </is>
      </c>
      <c r="F65" s="15" t="inlineStr">
        <is>
          <t>Büro</t>
        </is>
      </c>
      <c r="G65" s="15" t="inlineStr">
        <is>
          <t>Büro / Besprechung</t>
        </is>
      </c>
      <c r="H65" s="15" t="inlineStr">
        <is>
          <t>C</t>
        </is>
      </c>
      <c r="I65" s="17" t="n">
        <v>1</v>
      </c>
      <c r="J65" s="17" t="n"/>
      <c r="K65" s="18">
        <f>I65-IF(J65="",0,J65)</f>
        <v/>
      </c>
      <c r="L65" s="15" t="inlineStr">
        <is>
          <t>Stück</t>
        </is>
      </c>
      <c r="M65" s="15" t="inlineStr">
        <is>
          <t>gebraucht</t>
        </is>
      </c>
      <c r="N65" s="19" t="n"/>
      <c r="O65" s="19" t="inlineStr">
        <is>
          <t>entfällt</t>
        </is>
      </c>
      <c r="P65" s="19" t="n"/>
      <c r="Q65" s="20" t="n"/>
      <c r="R65" s="20" t="n">
        <v>60</v>
      </c>
      <c r="S65" s="19" t="inlineStr">
        <is>
          <t>VHB</t>
        </is>
      </c>
      <c r="T65" s="21">
        <f>K65*R65</f>
        <v/>
      </c>
      <c r="U65" s="15" t="inlineStr">
        <is>
          <t>nur Abholung</t>
        </is>
      </c>
      <c r="V65" s="15" t="inlineStr">
        <is>
          <t>F-027</t>
        </is>
      </c>
      <c r="W65" s="19" t="inlineStr">
        <is>
          <t>ja</t>
        </is>
      </c>
      <c r="X65" s="19" t="n"/>
      <c r="Y65" s="19" t="inlineStr">
        <is>
          <t>verfügbar</t>
        </is>
      </c>
      <c r="Z65" s="19" t="n"/>
      <c r="AA65" s="19" t="n"/>
      <c r="AB65" s="19" t="n"/>
      <c r="AC65" s="20" t="n"/>
      <c r="AD65" s="21">
        <f>IF(J65="","",J65*AC65)</f>
        <v/>
      </c>
      <c r="AE65" s="19" t="n"/>
      <c r="AF65" s="19" t="n"/>
      <c r="AG65" s="19" t="n"/>
      <c r="AH65" s="19" t="n"/>
      <c r="AI65" s="19" t="n"/>
      <c r="AJ65" s="19" t="n"/>
      <c r="AK65" s="16" t="inlineStr">
        <is>
          <t>1 Stück im Bild</t>
        </is>
      </c>
      <c r="AL65" s="22" t="n"/>
    </row>
    <row r="66" ht="30" customHeight="1">
      <c r="A66" s="15" t="inlineStr">
        <is>
          <t>K-046</t>
        </is>
      </c>
      <c r="B66" s="15" t="n"/>
      <c r="C66" s="15" t="inlineStr">
        <is>
          <t>BE10</t>
        </is>
      </c>
      <c r="D66" s="15" t="inlineStr">
        <is>
          <t>Aktenschrank weiß</t>
        </is>
      </c>
      <c r="E66" s="16" t="inlineStr">
        <is>
          <t>Büroschrank weiß, mit Türen</t>
        </is>
      </c>
      <c r="F66" s="15" t="inlineStr">
        <is>
          <t>Büro</t>
        </is>
      </c>
      <c r="G66" s="15" t="inlineStr">
        <is>
          <t>Büro / Besprechung</t>
        </is>
      </c>
      <c r="H66" s="15" t="inlineStr">
        <is>
          <t>B</t>
        </is>
      </c>
      <c r="I66" s="17" t="n">
        <v>2</v>
      </c>
      <c r="J66" s="17" t="n"/>
      <c r="K66" s="18">
        <f>I66-IF(J66="",0,J66)</f>
        <v/>
      </c>
      <c r="L66" s="15" t="inlineStr">
        <is>
          <t>Stück</t>
        </is>
      </c>
      <c r="M66" s="15" t="inlineStr">
        <is>
          <t>gut</t>
        </is>
      </c>
      <c r="N66" s="19" t="n"/>
      <c r="O66" s="19" t="inlineStr">
        <is>
          <t>entfällt</t>
        </is>
      </c>
      <c r="P66" s="19" t="n"/>
      <c r="Q66" s="20" t="n"/>
      <c r="R66" s="20" t="n">
        <v>90</v>
      </c>
      <c r="S66" s="19" t="inlineStr">
        <is>
          <t>VHB</t>
        </is>
      </c>
      <c r="T66" s="21">
        <f>K66*R66</f>
        <v/>
      </c>
      <c r="U66" s="15" t="inlineStr">
        <is>
          <t>nur Abholung</t>
        </is>
      </c>
      <c r="V66" s="15" t="inlineStr">
        <is>
          <t>F-027</t>
        </is>
      </c>
      <c r="W66" s="19" t="inlineStr">
        <is>
          <t>ja</t>
        </is>
      </c>
      <c r="X66" s="19" t="n"/>
      <c r="Y66" s="19" t="inlineStr">
        <is>
          <t>verfügbar</t>
        </is>
      </c>
      <c r="Z66" s="19" t="n"/>
      <c r="AA66" s="19" t="n"/>
      <c r="AB66" s="19" t="n"/>
      <c r="AC66" s="20" t="n"/>
      <c r="AD66" s="21">
        <f>IF(J66="","",J66*AC66)</f>
        <v/>
      </c>
      <c r="AE66" s="19" t="n"/>
      <c r="AF66" s="19" t="n"/>
      <c r="AG66" s="19" t="n"/>
      <c r="AH66" s="19" t="n"/>
      <c r="AI66" s="19" t="n"/>
      <c r="AJ66" s="19" t="n"/>
      <c r="AK66" s="16" t="inlineStr">
        <is>
          <t>2 Schränke im Bild</t>
        </is>
      </c>
      <c r="AL66" s="22" t="n"/>
    </row>
    <row r="67" ht="30" customHeight="1">
      <c r="A67" s="15" t="inlineStr">
        <is>
          <t>K-048</t>
        </is>
      </c>
      <c r="B67" s="15" t="n"/>
      <c r="C67" s="15" t="inlineStr">
        <is>
          <t>NE01</t>
        </is>
      </c>
      <c r="D67" s="15" t="inlineStr">
        <is>
          <t>Wanddeko Fadenbild rot</t>
        </is>
      </c>
      <c r="E67" s="16" t="inlineStr">
        <is>
          <t>Fadenbild/Mandala auf rundem Holzreif, rot</t>
        </is>
      </c>
      <c r="F67" s="15" t="inlineStr">
        <is>
          <t>Deko</t>
        </is>
      </c>
      <c r="G67" s="15" t="inlineStr">
        <is>
          <t>Flur</t>
        </is>
      </c>
      <c r="H67" s="15" t="inlineStr">
        <is>
          <t>C</t>
        </is>
      </c>
      <c r="I67" s="17" t="n">
        <v>1</v>
      </c>
      <c r="J67" s="17" t="n"/>
      <c r="K67" s="18">
        <f>I67-IF(J67="",0,J67)</f>
        <v/>
      </c>
      <c r="L67" s="15" t="inlineStr">
        <is>
          <t>Stück</t>
        </is>
      </c>
      <c r="M67" s="15" t="inlineStr">
        <is>
          <t>gut</t>
        </is>
      </c>
      <c r="N67" s="19" t="n"/>
      <c r="O67" s="19" t="inlineStr">
        <is>
          <t>entfällt</t>
        </is>
      </c>
      <c r="P67" s="19" t="n"/>
      <c r="Q67" s="20" t="n"/>
      <c r="R67" s="20" t="n">
        <v>30</v>
      </c>
      <c r="S67" s="19" t="inlineStr">
        <is>
          <t>VHB</t>
        </is>
      </c>
      <c r="T67" s="21">
        <f>K67*R67</f>
        <v/>
      </c>
      <c r="U67" s="15" t="inlineStr">
        <is>
          <t>Versand möglich</t>
        </is>
      </c>
      <c r="V67" s="15" t="inlineStr">
        <is>
          <t>F-029</t>
        </is>
      </c>
      <c r="W67" s="19" t="inlineStr">
        <is>
          <t>ja</t>
        </is>
      </c>
      <c r="X67" s="19" t="n"/>
      <c r="Y67" s="19" t="inlineStr">
        <is>
          <t>verfügbar</t>
        </is>
      </c>
      <c r="Z67" s="19" t="n"/>
      <c r="AA67" s="19" t="n"/>
      <c r="AB67" s="19" t="n"/>
      <c r="AC67" s="20" t="n"/>
      <c r="AD67" s="21">
        <f>IF(J67="","",J67*AC67)</f>
        <v/>
      </c>
      <c r="AE67" s="19" t="n"/>
      <c r="AF67" s="19" t="n"/>
      <c r="AG67" s="19" t="n"/>
      <c r="AH67" s="19" t="n"/>
      <c r="AI67" s="19" t="n"/>
      <c r="AJ67" s="19" t="n"/>
      <c r="AK67" s="16" t="inlineStr">
        <is>
          <t>1 Stück im Bild</t>
        </is>
      </c>
      <c r="AL67" s="22" t="n"/>
    </row>
    <row r="68" ht="30" customHeight="1">
      <c r="A68" s="15" t="inlineStr">
        <is>
          <t>K-063</t>
        </is>
      </c>
      <c r="B68" s="15" t="n"/>
      <c r="C68" s="15" t="inlineStr">
        <is>
          <t>BE01</t>
        </is>
      </c>
      <c r="D68" s="15" t="inlineStr">
        <is>
          <t>Pompon-Kranz rot</t>
        </is>
      </c>
      <c r="E68" s="16" t="inlineStr">
        <is>
          <t>Türkranz aus roten Wollbommeln, Eigenarbeit</t>
        </is>
      </c>
      <c r="F68" s="15" t="inlineStr">
        <is>
          <t>Deko</t>
        </is>
      </c>
      <c r="G68" s="15" t="inlineStr">
        <is>
          <t>Flur 1</t>
        </is>
      </c>
      <c r="H68" s="15" t="inlineStr">
        <is>
          <t>C</t>
        </is>
      </c>
      <c r="I68" s="17" t="n">
        <v>1</v>
      </c>
      <c r="J68" s="17" t="n"/>
      <c r="K68" s="18">
        <f>I68-IF(J68="",0,J68)</f>
        <v/>
      </c>
      <c r="L68" s="15" t="inlineStr">
        <is>
          <t>Stück</t>
        </is>
      </c>
      <c r="M68" s="15" t="inlineStr">
        <is>
          <t>gut</t>
        </is>
      </c>
      <c r="N68" s="19" t="n"/>
      <c r="O68" s="19" t="inlineStr">
        <is>
          <t>entfällt</t>
        </is>
      </c>
      <c r="P68" s="19" t="n"/>
      <c r="Q68" s="20" t="n"/>
      <c r="R68" s="20" t="n">
        <v>25</v>
      </c>
      <c r="S68" s="19" t="inlineStr">
        <is>
          <t>VHB</t>
        </is>
      </c>
      <c r="T68" s="21">
        <f>K68*R68</f>
        <v/>
      </c>
      <c r="U68" s="15" t="inlineStr">
        <is>
          <t>Versand möglich</t>
        </is>
      </c>
      <c r="V68" s="15" t="inlineStr">
        <is>
          <t>F-052</t>
        </is>
      </c>
      <c r="W68" s="19" t="inlineStr">
        <is>
          <t>ja</t>
        </is>
      </c>
      <c r="X68" s="19" t="n"/>
      <c r="Y68" s="19" t="inlineStr">
        <is>
          <t>verfügbar</t>
        </is>
      </c>
      <c r="Z68" s="19" t="n"/>
      <c r="AA68" s="19" t="n"/>
      <c r="AB68" s="19" t="n"/>
      <c r="AC68" s="20" t="n"/>
      <c r="AD68" s="21">
        <f>IF(J68="","",J68*AC68)</f>
        <v/>
      </c>
      <c r="AE68" s="19" t="n"/>
      <c r="AF68" s="19" t="n"/>
      <c r="AG68" s="19" t="n"/>
      <c r="AH68" s="19" t="n"/>
      <c r="AI68" s="19" t="n"/>
      <c r="AJ68" s="19" t="n"/>
      <c r="AK68" s="16" t="inlineStr">
        <is>
          <t>1 Stück im Bild</t>
        </is>
      </c>
      <c r="AL68" s="22" t="n"/>
    </row>
    <row r="69" ht="30" customHeight="1">
      <c r="A69" s="15" t="inlineStr">
        <is>
          <t>K-067</t>
        </is>
      </c>
      <c r="B69" s="15" t="n"/>
      <c r="C69" s="15" t="inlineStr">
        <is>
          <t>NE01</t>
        </is>
      </c>
      <c r="D69" s="15" t="inlineStr">
        <is>
          <t>Laterne schwarz</t>
        </is>
      </c>
      <c r="E69" s="16" t="inlineStr">
        <is>
          <t>Metall-Glas-Laterne, schwarz</t>
        </is>
      </c>
      <c r="F69" s="15" t="inlineStr">
        <is>
          <t>Deko</t>
        </is>
      </c>
      <c r="G69" s="15" t="inlineStr">
        <is>
          <t>Flur</t>
        </is>
      </c>
      <c r="H69" s="15" t="inlineStr">
        <is>
          <t>C</t>
        </is>
      </c>
      <c r="I69" s="17" t="n">
        <v>1</v>
      </c>
      <c r="J69" s="17" t="n"/>
      <c r="K69" s="18">
        <f>I69-IF(J69="",0,J69)</f>
        <v/>
      </c>
      <c r="L69" s="15" t="inlineStr">
        <is>
          <t>Stück</t>
        </is>
      </c>
      <c r="M69" s="15" t="inlineStr">
        <is>
          <t>gut</t>
        </is>
      </c>
      <c r="N69" s="19" t="n"/>
      <c r="O69" s="19" t="inlineStr">
        <is>
          <t>entfällt</t>
        </is>
      </c>
      <c r="P69" s="19" t="n"/>
      <c r="Q69" s="20" t="n"/>
      <c r="R69" s="20" t="n">
        <v>20</v>
      </c>
      <c r="S69" s="19" t="inlineStr">
        <is>
          <t>VHB</t>
        </is>
      </c>
      <c r="T69" s="21">
        <f>K69*R69</f>
        <v/>
      </c>
      <c r="U69" s="15" t="inlineStr">
        <is>
          <t>Versand möglich</t>
        </is>
      </c>
      <c r="V69" s="15" t="inlineStr">
        <is>
          <t>F-072</t>
        </is>
      </c>
      <c r="W69" s="19" t="inlineStr">
        <is>
          <t>ja</t>
        </is>
      </c>
      <c r="X69" s="19" t="n"/>
      <c r="Y69" s="19" t="inlineStr">
        <is>
          <t>verfügbar</t>
        </is>
      </c>
      <c r="Z69" s="19" t="n"/>
      <c r="AA69" s="19" t="n"/>
      <c r="AB69" s="19" t="n"/>
      <c r="AC69" s="20" t="n"/>
      <c r="AD69" s="21">
        <f>IF(J69="","",J69*AC69)</f>
        <v/>
      </c>
      <c r="AE69" s="19" t="n"/>
      <c r="AF69" s="19" t="n"/>
      <c r="AG69" s="19" t="n"/>
      <c r="AH69" s="19" t="n"/>
      <c r="AI69" s="19" t="n"/>
      <c r="AJ69" s="19" t="n"/>
      <c r="AK69" s="16" t="inlineStr">
        <is>
          <t>1 Stück im Bild</t>
        </is>
      </c>
      <c r="AL69" s="22" t="n"/>
    </row>
    <row r="70" ht="30" customHeight="1">
      <c r="A70" s="15" t="inlineStr">
        <is>
          <t>K-069</t>
        </is>
      </c>
      <c r="B70" s="15" t="n"/>
      <c r="C70" s="15" t="inlineStr">
        <is>
          <t>NE01</t>
        </is>
      </c>
      <c r="D70" s="15" t="inlineStr">
        <is>
          <t>Deko-Ring schwarz auf Sockel</t>
        </is>
      </c>
      <c r="E70" s="16" t="inlineStr">
        <is>
          <t>Skulpturaler Ring, schwarz, auf Standfuß</t>
        </is>
      </c>
      <c r="F70" s="15" t="inlineStr">
        <is>
          <t>Deko</t>
        </is>
      </c>
      <c r="G70" s="15" t="inlineStr">
        <is>
          <t>Flur</t>
        </is>
      </c>
      <c r="H70" s="15" t="inlineStr">
        <is>
          <t>C</t>
        </is>
      </c>
      <c r="I70" s="17" t="n">
        <v>1</v>
      </c>
      <c r="J70" s="17" t="n"/>
      <c r="K70" s="18">
        <f>I70-IF(J70="",0,J70)</f>
        <v/>
      </c>
      <c r="L70" s="15" t="inlineStr">
        <is>
          <t>Stück</t>
        </is>
      </c>
      <c r="M70" s="15" t="inlineStr">
        <is>
          <t>gut</t>
        </is>
      </c>
      <c r="N70" s="19" t="n"/>
      <c r="O70" s="19" t="inlineStr">
        <is>
          <t>entfällt</t>
        </is>
      </c>
      <c r="P70" s="19" t="n"/>
      <c r="Q70" s="20" t="n"/>
      <c r="R70" s="20" t="n">
        <v>30</v>
      </c>
      <c r="S70" s="19" t="inlineStr">
        <is>
          <t>VHB</t>
        </is>
      </c>
      <c r="T70" s="21">
        <f>K70*R70</f>
        <v/>
      </c>
      <c r="U70" s="15" t="inlineStr">
        <is>
          <t>Versand möglich</t>
        </is>
      </c>
      <c r="V70" s="15" t="inlineStr">
        <is>
          <t>F-073</t>
        </is>
      </c>
      <c r="W70" s="19" t="inlineStr">
        <is>
          <t>ja</t>
        </is>
      </c>
      <c r="X70" s="19" t="n"/>
      <c r="Y70" s="19" t="inlineStr">
        <is>
          <t>verfügbar</t>
        </is>
      </c>
      <c r="Z70" s="19" t="n"/>
      <c r="AA70" s="19" t="n"/>
      <c r="AB70" s="19" t="n"/>
      <c r="AC70" s="20" t="n"/>
      <c r="AD70" s="21">
        <f>IF(J70="","",J70*AC70)</f>
        <v/>
      </c>
      <c r="AE70" s="19" t="n"/>
      <c r="AF70" s="19" t="n"/>
      <c r="AG70" s="19" t="n"/>
      <c r="AH70" s="19" t="n"/>
      <c r="AI70" s="19" t="n"/>
      <c r="AJ70" s="19" t="n"/>
      <c r="AK70" s="16" t="inlineStr">
        <is>
          <t>1 Stück im Bild</t>
        </is>
      </c>
      <c r="AL70" s="22" t="n"/>
    </row>
    <row r="71" ht="30" customHeight="1">
      <c r="A71" s="15" t="inlineStr">
        <is>
          <t>K-070</t>
        </is>
      </c>
      <c r="B71" s="15" t="n"/>
      <c r="C71" s="15" t="inlineStr">
        <is>
          <t>NU01</t>
        </is>
      </c>
      <c r="D71" s="15" t="inlineStr">
        <is>
          <t>Bodenvase Keramik beige, groß</t>
        </is>
      </c>
      <c r="E71" s="16" t="inlineStr">
        <is>
          <t>Bodenvase, beige/creme, matt, groß</t>
        </is>
      </c>
      <c r="F71" s="15" t="inlineStr">
        <is>
          <t>Deko</t>
        </is>
      </c>
      <c r="G71" s="15" t="inlineStr">
        <is>
          <t>Flur</t>
        </is>
      </c>
      <c r="H71" s="15" t="inlineStr">
        <is>
          <t>C</t>
        </is>
      </c>
      <c r="I71" s="17" t="n">
        <v>1</v>
      </c>
      <c r="J71" s="17" t="n"/>
      <c r="K71" s="18">
        <f>I71-IF(J71="",0,J71)</f>
        <v/>
      </c>
      <c r="L71" s="15" t="inlineStr">
        <is>
          <t>Stück</t>
        </is>
      </c>
      <c r="M71" s="15" t="inlineStr">
        <is>
          <t>gut</t>
        </is>
      </c>
      <c r="N71" s="19" t="n"/>
      <c r="O71" s="19" t="inlineStr">
        <is>
          <t>entfällt</t>
        </is>
      </c>
      <c r="P71" s="19" t="n"/>
      <c r="Q71" s="20" t="n"/>
      <c r="R71" s="20" t="n">
        <v>90</v>
      </c>
      <c r="S71" s="19" t="inlineStr">
        <is>
          <t>VHB</t>
        </is>
      </c>
      <c r="T71" s="21">
        <f>K71*R71</f>
        <v/>
      </c>
      <c r="U71" s="15" t="inlineStr">
        <is>
          <t>nur Abholung</t>
        </is>
      </c>
      <c r="V71" s="15" t="inlineStr">
        <is>
          <t>F-090</t>
        </is>
      </c>
      <c r="W71" s="19" t="inlineStr">
        <is>
          <t>ja</t>
        </is>
      </c>
      <c r="X71" s="19" t="n"/>
      <c r="Y71" s="19" t="inlineStr">
        <is>
          <t>verfügbar</t>
        </is>
      </c>
      <c r="Z71" s="19" t="n"/>
      <c r="AA71" s="19" t="n"/>
      <c r="AB71" s="19" t="n"/>
      <c r="AC71" s="20" t="n"/>
      <c r="AD71" s="21">
        <f>IF(J71="","",J71*AC71)</f>
        <v/>
      </c>
      <c r="AE71" s="19" t="n"/>
      <c r="AF71" s="19" t="n"/>
      <c r="AG71" s="19" t="n"/>
      <c r="AH71" s="19" t="n"/>
      <c r="AI71" s="19" t="n"/>
      <c r="AJ71" s="19" t="n"/>
      <c r="AK71" s="16" t="inlineStr">
        <is>
          <t>1 Stück im Bild (ohne Treibholz)</t>
        </is>
      </c>
      <c r="AL71" s="22" t="n"/>
    </row>
    <row r="72" ht="30" customHeight="1">
      <c r="A72" s="15" t="inlineStr">
        <is>
          <t>K-071</t>
        </is>
      </c>
      <c r="B72" s="15" t="n"/>
      <c r="C72" s="15" t="inlineStr">
        <is>
          <t>NU01</t>
        </is>
      </c>
      <c r="D72" s="15" t="inlineStr">
        <is>
          <t>Bodenvase Keramik beige, klein</t>
        </is>
      </c>
      <c r="E72" s="16" t="inlineStr">
        <is>
          <t>Bodenvase, beige/creme, matt, kleiner</t>
        </is>
      </c>
      <c r="F72" s="15" t="inlineStr">
        <is>
          <t>Deko</t>
        </is>
      </c>
      <c r="G72" s="15" t="inlineStr">
        <is>
          <t>Flur</t>
        </is>
      </c>
      <c r="H72" s="15" t="inlineStr">
        <is>
          <t>C</t>
        </is>
      </c>
      <c r="I72" s="17" t="n">
        <v>1</v>
      </c>
      <c r="J72" s="17" t="n"/>
      <c r="K72" s="18">
        <f>I72-IF(J72="",0,J72)</f>
        <v/>
      </c>
      <c r="L72" s="15" t="inlineStr">
        <is>
          <t>Stück</t>
        </is>
      </c>
      <c r="M72" s="15" t="inlineStr">
        <is>
          <t>gut</t>
        </is>
      </c>
      <c r="N72" s="19" t="n"/>
      <c r="O72" s="19" t="inlineStr">
        <is>
          <t>entfällt</t>
        </is>
      </c>
      <c r="P72" s="19" t="n"/>
      <c r="Q72" s="20" t="n"/>
      <c r="R72" s="20" t="n">
        <v>60</v>
      </c>
      <c r="S72" s="19" t="inlineStr">
        <is>
          <t>VHB</t>
        </is>
      </c>
      <c r="T72" s="21">
        <f>K72*R72</f>
        <v/>
      </c>
      <c r="U72" s="15" t="inlineStr">
        <is>
          <t>nur Abholung</t>
        </is>
      </c>
      <c r="V72" s="15" t="inlineStr">
        <is>
          <t>F-090</t>
        </is>
      </c>
      <c r="W72" s="19" t="inlineStr">
        <is>
          <t>ja</t>
        </is>
      </c>
      <c r="X72" s="19" t="n"/>
      <c r="Y72" s="19" t="inlineStr">
        <is>
          <t>verfügbar</t>
        </is>
      </c>
      <c r="Z72" s="19" t="n"/>
      <c r="AA72" s="19" t="n"/>
      <c r="AB72" s="19" t="n"/>
      <c r="AC72" s="20" t="n"/>
      <c r="AD72" s="21">
        <f>IF(J72="","",J72*AC72)</f>
        <v/>
      </c>
      <c r="AE72" s="19" t="n"/>
      <c r="AF72" s="19" t="n"/>
      <c r="AG72" s="19" t="n"/>
      <c r="AH72" s="19" t="n"/>
      <c r="AI72" s="19" t="n"/>
      <c r="AJ72" s="19" t="n"/>
      <c r="AK72" s="16" t="inlineStr">
        <is>
          <t>1 Stück im Bild</t>
        </is>
      </c>
      <c r="AL72" s="22" t="n"/>
    </row>
    <row r="73" ht="30" customHeight="1">
      <c r="A73" s="15" t="inlineStr">
        <is>
          <t>K-073</t>
        </is>
      </c>
      <c r="B73" s="15" t="n"/>
      <c r="C73" s="15" t="inlineStr">
        <is>
          <t>NU01</t>
        </is>
      </c>
      <c r="D73" s="15" t="inlineStr">
        <is>
          <t>Konsolentisch schwarz, schmal</t>
        </is>
      </c>
      <c r="E73" s="16" t="inlineStr">
        <is>
          <t>Schmaler Metall-Konsolentisch, schwarz</t>
        </is>
      </c>
      <c r="F73" s="15" t="inlineStr">
        <is>
          <t>Möbel</t>
        </is>
      </c>
      <c r="G73" s="15" t="inlineStr">
        <is>
          <t>Flur</t>
        </is>
      </c>
      <c r="H73" s="15" t="inlineStr">
        <is>
          <t>C</t>
        </is>
      </c>
      <c r="I73" s="17" t="n">
        <v>1</v>
      </c>
      <c r="J73" s="17" t="n"/>
      <c r="K73" s="18">
        <f>I73-IF(J73="",0,J73)</f>
        <v/>
      </c>
      <c r="L73" s="15" t="inlineStr">
        <is>
          <t>Stück</t>
        </is>
      </c>
      <c r="M73" s="15" t="inlineStr">
        <is>
          <t>gut</t>
        </is>
      </c>
      <c r="N73" s="19" t="n"/>
      <c r="O73" s="19" t="inlineStr">
        <is>
          <t>entfällt</t>
        </is>
      </c>
      <c r="P73" s="19" t="n"/>
      <c r="Q73" s="20" t="n"/>
      <c r="R73" s="20" t="n">
        <v>70</v>
      </c>
      <c r="S73" s="19" t="inlineStr">
        <is>
          <t>VHB</t>
        </is>
      </c>
      <c r="T73" s="21">
        <f>K73*R73</f>
        <v/>
      </c>
      <c r="U73" s="15" t="inlineStr">
        <is>
          <t>nur Abholung</t>
        </is>
      </c>
      <c r="V73" s="15" t="inlineStr">
        <is>
          <t>F-092</t>
        </is>
      </c>
      <c r="W73" s="19" t="inlineStr">
        <is>
          <t>ja</t>
        </is>
      </c>
      <c r="X73" s="19" t="n"/>
      <c r="Y73" s="19" t="inlineStr">
        <is>
          <t>verfügbar</t>
        </is>
      </c>
      <c r="Z73" s="19" t="n"/>
      <c r="AA73" s="19" t="n"/>
      <c r="AB73" s="19" t="n"/>
      <c r="AC73" s="20" t="n"/>
      <c r="AD73" s="21">
        <f>IF(J73="","",J73*AC73)</f>
        <v/>
      </c>
      <c r="AE73" s="19" t="n"/>
      <c r="AF73" s="19" t="n"/>
      <c r="AG73" s="19" t="n"/>
      <c r="AH73" s="19" t="n"/>
      <c r="AI73" s="19" t="n"/>
      <c r="AJ73" s="19" t="n"/>
      <c r="AK73" s="16" t="inlineStr">
        <is>
          <t>1 Stück im Bild</t>
        </is>
      </c>
      <c r="AL73" s="22" t="n"/>
    </row>
    <row r="74" ht="30" customHeight="1">
      <c r="A74" s="15" t="inlineStr">
        <is>
          <t>K-074</t>
        </is>
      </c>
      <c r="B74" s="15" t="n"/>
      <c r="C74" s="15" t="inlineStr">
        <is>
          <t>NU01</t>
        </is>
      </c>
      <c r="D74" s="15" t="inlineStr">
        <is>
          <t>Gemälde abstrakt schwarz-weiß</t>
        </is>
      </c>
      <c r="E74" s="16" t="inlineStr">
        <is>
          <t>Acryl auf Leinwand, Querformat - Eigenarbeit einer Privatperson</t>
        </is>
      </c>
      <c r="F74" s="15" t="inlineStr">
        <is>
          <t>Kunst</t>
        </is>
      </c>
      <c r="G74" s="15" t="inlineStr">
        <is>
          <t>Flur</t>
        </is>
      </c>
      <c r="H74" s="15" t="inlineStr">
        <is>
          <t>B</t>
        </is>
      </c>
      <c r="I74" s="17" t="n">
        <v>1</v>
      </c>
      <c r="J74" s="17" t="n"/>
      <c r="K74" s="18">
        <f>I74-IF(J74="",0,J74)</f>
        <v/>
      </c>
      <c r="L74" s="15" t="inlineStr">
        <is>
          <t>Stück</t>
        </is>
      </c>
      <c r="M74" s="15" t="inlineStr">
        <is>
          <t>gut</t>
        </is>
      </c>
      <c r="N74" s="19" t="n"/>
      <c r="O74" s="19" t="inlineStr">
        <is>
          <t>entfällt</t>
        </is>
      </c>
      <c r="P74" s="19" t="n"/>
      <c r="Q74" s="20" t="n"/>
      <c r="R74" s="20" t="n">
        <v>150</v>
      </c>
      <c r="S74" s="19" t="inlineStr">
        <is>
          <t>VHB</t>
        </is>
      </c>
      <c r="T74" s="21">
        <f>K74*R74</f>
        <v/>
      </c>
      <c r="U74" s="15" t="inlineStr">
        <is>
          <t>nur Abholung</t>
        </is>
      </c>
      <c r="V74" s="15" t="inlineStr">
        <is>
          <t>F-092</t>
        </is>
      </c>
      <c r="W74" s="19" t="inlineStr">
        <is>
          <t>ja</t>
        </is>
      </c>
      <c r="X74" s="19" t="n"/>
      <c r="Y74" s="19" t="inlineStr">
        <is>
          <t>verfügbar</t>
        </is>
      </c>
      <c r="Z74" s="19" t="n"/>
      <c r="AA74" s="19" t="n"/>
      <c r="AB74" s="19" t="n"/>
      <c r="AC74" s="20" t="n"/>
      <c r="AD74" s="21">
        <f>IF(J74="","",J74*AC74)</f>
        <v/>
      </c>
      <c r="AE74" s="19" t="n"/>
      <c r="AF74" s="19" t="n"/>
      <c r="AG74" s="19" t="n"/>
      <c r="AH74" s="19" t="n"/>
      <c r="AI74" s="19" t="n"/>
      <c r="AJ74" s="19" t="n"/>
      <c r="AK74" s="16" t="inlineStr">
        <is>
          <t>1 Bild im Bild</t>
        </is>
      </c>
      <c r="AL74" s="22" t="n"/>
    </row>
    <row r="75" ht="30" customHeight="1">
      <c r="A75" s="15" t="inlineStr">
        <is>
          <t>K-076</t>
        </is>
      </c>
      <c r="B75" s="15" t="n"/>
      <c r="C75" s="15" t="inlineStr">
        <is>
          <t>NU01</t>
        </is>
      </c>
      <c r="D75" s="15" t="inlineStr">
        <is>
          <t>Tretmülleimer 30 l</t>
        </is>
      </c>
      <c r="E75" s="16" t="inlineStr">
        <is>
          <t>Brabantia, schwarz, 30 Liter</t>
        </is>
      </c>
      <c r="F75" s="15" t="inlineStr">
        <is>
          <t>Sonstiges</t>
        </is>
      </c>
      <c r="G75" s="15" t="inlineStr">
        <is>
          <t>Flur</t>
        </is>
      </c>
      <c r="H75" s="15" t="inlineStr">
        <is>
          <t>C</t>
        </is>
      </c>
      <c r="I75" s="17" t="n">
        <v>1</v>
      </c>
      <c r="J75" s="17" t="n"/>
      <c r="K75" s="18">
        <f>I75-IF(J75="",0,J75)</f>
        <v/>
      </c>
      <c r="L75" s="15" t="inlineStr">
        <is>
          <t>Stück</t>
        </is>
      </c>
      <c r="M75" s="15" t="inlineStr">
        <is>
          <t>gut</t>
        </is>
      </c>
      <c r="N75" s="19" t="n"/>
      <c r="O75" s="19" t="inlineStr">
        <is>
          <t>entfällt</t>
        </is>
      </c>
      <c r="P75" s="19" t="n"/>
      <c r="Q75" s="20" t="n"/>
      <c r="R75" s="20" t="n">
        <v>60</v>
      </c>
      <c r="S75" s="19" t="inlineStr">
        <is>
          <t>VHB</t>
        </is>
      </c>
      <c r="T75" s="21">
        <f>K75*R75</f>
        <v/>
      </c>
      <c r="U75" s="15" t="inlineStr">
        <is>
          <t>Versand möglich</t>
        </is>
      </c>
      <c r="V75" s="15" t="inlineStr">
        <is>
          <t>F-075</t>
        </is>
      </c>
      <c r="W75" s="19" t="inlineStr">
        <is>
          <t>ja</t>
        </is>
      </c>
      <c r="X75" s="19" t="n"/>
      <c r="Y75" s="19" t="inlineStr">
        <is>
          <t>verfügbar</t>
        </is>
      </c>
      <c r="Z75" s="19" t="n"/>
      <c r="AA75" s="19" t="n"/>
      <c r="AB75" s="19" t="n"/>
      <c r="AC75" s="20" t="n"/>
      <c r="AD75" s="21">
        <f>IF(J75="","",J75*AC75)</f>
        <v/>
      </c>
      <c r="AE75" s="19" t="n"/>
      <c r="AF75" s="19" t="n"/>
      <c r="AG75" s="19" t="n"/>
      <c r="AH75" s="19" t="n"/>
      <c r="AI75" s="19" t="n"/>
      <c r="AJ75" s="19" t="n"/>
      <c r="AK75" s="16" t="inlineStr">
        <is>
          <t>1 Stück im Bild</t>
        </is>
      </c>
      <c r="AL75" s="22" t="n"/>
    </row>
    <row r="76" ht="30" customHeight="1">
      <c r="A76" s="15" t="inlineStr">
        <is>
          <t>K-081</t>
        </is>
      </c>
      <c r="B76" s="15" t="n"/>
      <c r="C76" s="15" t="inlineStr">
        <is>
          <t>BA09</t>
        </is>
      </c>
      <c r="D76" s="15" t="inlineStr">
        <is>
          <t>Clivie im Topf</t>
        </is>
      </c>
      <c r="E76" s="16" t="inlineStr">
        <is>
          <t>Klivie, Zimmerpflanze</t>
        </is>
      </c>
      <c r="F76" s="15" t="inlineStr">
        <is>
          <t>Pflanzen</t>
        </is>
      </c>
      <c r="G76" s="15" t="inlineStr">
        <is>
          <t>Personal</t>
        </is>
      </c>
      <c r="H76" s="15" t="inlineStr">
        <is>
          <t>C</t>
        </is>
      </c>
      <c r="I76" s="17" t="n">
        <v>1</v>
      </c>
      <c r="J76" s="17" t="n"/>
      <c r="K76" s="18">
        <f>I76-IF(J76="",0,J76)</f>
        <v/>
      </c>
      <c r="L76" s="15" t="inlineStr">
        <is>
          <t>Stück</t>
        </is>
      </c>
      <c r="M76" s="15" t="inlineStr">
        <is>
          <t>gut</t>
        </is>
      </c>
      <c r="N76" s="19" t="n"/>
      <c r="O76" s="19" t="inlineStr">
        <is>
          <t>entfällt</t>
        </is>
      </c>
      <c r="P76" s="19" t="n"/>
      <c r="Q76" s="20" t="n"/>
      <c r="R76" s="20" t="n">
        <v>30</v>
      </c>
      <c r="S76" s="19" t="inlineStr">
        <is>
          <t>VHB</t>
        </is>
      </c>
      <c r="T76" s="21">
        <f>K76*R76</f>
        <v/>
      </c>
      <c r="U76" s="15" t="inlineStr">
        <is>
          <t>nur Abholung</t>
        </is>
      </c>
      <c r="V76" s="15" t="inlineStr">
        <is>
          <t>F-045</t>
        </is>
      </c>
      <c r="W76" s="19" t="inlineStr">
        <is>
          <t>ja</t>
        </is>
      </c>
      <c r="X76" s="19" t="n"/>
      <c r="Y76" s="19" t="inlineStr">
        <is>
          <t>verfügbar</t>
        </is>
      </c>
      <c r="Z76" s="19" t="n"/>
      <c r="AA76" s="19" t="n"/>
      <c r="AB76" s="19" t="n"/>
      <c r="AC76" s="20" t="n"/>
      <c r="AD76" s="21">
        <f>IF(J76="","",J76*AC76)</f>
        <v/>
      </c>
      <c r="AE76" s="19" t="n"/>
      <c r="AF76" s="19" t="n"/>
      <c r="AG76" s="19" t="n"/>
      <c r="AH76" s="19" t="n"/>
      <c r="AI76" s="19" t="n"/>
      <c r="AJ76" s="19" t="n"/>
      <c r="AK76" s="16" t="inlineStr">
        <is>
          <t>1 Pflanze im Bild</t>
        </is>
      </c>
      <c r="AL76" s="22" t="n"/>
    </row>
    <row r="77" ht="30" customHeight="1">
      <c r="A77" s="15" t="inlineStr">
        <is>
          <t>K-088</t>
        </is>
      </c>
      <c r="B77" s="15" t="n"/>
      <c r="C77" s="15" t="inlineStr">
        <is>
          <t>BA10</t>
        </is>
      </c>
      <c r="D77" s="15" t="inlineStr">
        <is>
          <t>Bogenlampe Chrom</t>
        </is>
      </c>
      <c r="E77" s="16" t="inlineStr">
        <is>
          <t>Bogenleuchte, Chromgestell, weißer Kunststoffschirm</t>
        </is>
      </c>
      <c r="F77" s="15" t="inlineStr">
        <is>
          <t>Leuchten</t>
        </is>
      </c>
      <c r="G77" s="15" t="inlineStr">
        <is>
          <t>Ruhe- / Schlafraum</t>
        </is>
      </c>
      <c r="H77" s="15" t="inlineStr">
        <is>
          <t>B</t>
        </is>
      </c>
      <c r="I77" s="17" t="n">
        <v>1</v>
      </c>
      <c r="J77" s="17" t="n"/>
      <c r="K77" s="18">
        <f>I77-IF(J77="",0,J77)</f>
        <v/>
      </c>
      <c r="L77" s="15" t="inlineStr">
        <is>
          <t>Stück</t>
        </is>
      </c>
      <c r="M77" s="15" t="inlineStr">
        <is>
          <t>gut</t>
        </is>
      </c>
      <c r="N77" s="19" t="n"/>
      <c r="O77" s="19" t="inlineStr">
        <is>
          <t>entfällt</t>
        </is>
      </c>
      <c r="P77" s="19" t="n"/>
      <c r="Q77" s="20" t="n"/>
      <c r="R77" s="20" t="n">
        <v>130</v>
      </c>
      <c r="S77" s="19" t="inlineStr">
        <is>
          <t>VHB</t>
        </is>
      </c>
      <c r="T77" s="21">
        <f>K77*R77</f>
        <v/>
      </c>
      <c r="U77" s="15" t="inlineStr">
        <is>
          <t>nur Abholung</t>
        </is>
      </c>
      <c r="V77" s="15" t="inlineStr">
        <is>
          <t>F-059</t>
        </is>
      </c>
      <c r="W77" s="19" t="inlineStr">
        <is>
          <t>ja</t>
        </is>
      </c>
      <c r="X77" s="19" t="n"/>
      <c r="Y77" s="19" t="inlineStr">
        <is>
          <t>verfügbar</t>
        </is>
      </c>
      <c r="Z77" s="19" t="n"/>
      <c r="AA77" s="19" t="n"/>
      <c r="AB77" s="19" t="n"/>
      <c r="AC77" s="20" t="n"/>
      <c r="AD77" s="21">
        <f>IF(J77="","",J77*AC77)</f>
        <v/>
      </c>
      <c r="AE77" s="19" t="n"/>
      <c r="AF77" s="19" t="n"/>
      <c r="AG77" s="19" t="n"/>
      <c r="AH77" s="19" t="n"/>
      <c r="AI77" s="19" t="n"/>
      <c r="AJ77" s="19" t="n"/>
      <c r="AK77" s="16" t="inlineStr">
        <is>
          <t>1 Leuchte im Bild</t>
        </is>
      </c>
      <c r="AL77" s="22" t="n"/>
    </row>
    <row r="78" ht="30" customHeight="1">
      <c r="A78" s="15" t="inlineStr">
        <is>
          <t>K-095</t>
        </is>
      </c>
      <c r="B78" s="15" t="n"/>
      <c r="C78" s="15" t="inlineStr">
        <is>
          <t>BA10</t>
        </is>
      </c>
      <c r="D78" s="15" t="inlineStr">
        <is>
          <t>Käfigleuchte mit Holzsockel</t>
        </is>
      </c>
      <c r="E78" s="16" t="inlineStr">
        <is>
          <t>Kleine Tischleuchte, Drahtkäfig auf Holzfuß</t>
        </is>
      </c>
      <c r="F78" s="15" t="inlineStr">
        <is>
          <t>Leuchten</t>
        </is>
      </c>
      <c r="G78" s="15" t="inlineStr">
        <is>
          <t>Ruhe- / Schlafraum</t>
        </is>
      </c>
      <c r="H78" s="15" t="inlineStr">
        <is>
          <t>C</t>
        </is>
      </c>
      <c r="I78" s="17" t="n">
        <v>1</v>
      </c>
      <c r="J78" s="17" t="n"/>
      <c r="K78" s="18">
        <f>I78-IF(J78="",0,J78)</f>
        <v/>
      </c>
      <c r="L78" s="15" t="inlineStr">
        <is>
          <t>Stück</t>
        </is>
      </c>
      <c r="M78" s="15" t="inlineStr">
        <is>
          <t>gut</t>
        </is>
      </c>
      <c r="N78" s="19" t="n"/>
      <c r="O78" s="19" t="inlineStr">
        <is>
          <t>entfällt</t>
        </is>
      </c>
      <c r="P78" s="19" t="n"/>
      <c r="Q78" s="20" t="n"/>
      <c r="R78" s="20" t="n">
        <v>30</v>
      </c>
      <c r="S78" s="19" t="inlineStr">
        <is>
          <t>VHB</t>
        </is>
      </c>
      <c r="T78" s="21">
        <f>K78*R78</f>
        <v/>
      </c>
      <c r="U78" s="15" t="inlineStr">
        <is>
          <t>Versand möglich</t>
        </is>
      </c>
      <c r="V78" s="15" t="inlineStr">
        <is>
          <t>F-061</t>
        </is>
      </c>
      <c r="W78" s="19" t="inlineStr">
        <is>
          <t>ja</t>
        </is>
      </c>
      <c r="X78" s="19" t="n"/>
      <c r="Y78" s="19" t="inlineStr">
        <is>
          <t>verfügbar</t>
        </is>
      </c>
      <c r="Z78" s="19" t="n"/>
      <c r="AA78" s="19" t="n"/>
      <c r="AB78" s="19" t="n"/>
      <c r="AC78" s="20" t="n"/>
      <c r="AD78" s="21">
        <f>IF(J78="","",J78*AC78)</f>
        <v/>
      </c>
      <c r="AE78" s="19" t="n"/>
      <c r="AF78" s="19" t="n"/>
      <c r="AG78" s="19" t="n"/>
      <c r="AH78" s="19" t="n"/>
      <c r="AI78" s="19" t="n"/>
      <c r="AJ78" s="19" t="n"/>
      <c r="AK78" s="16" t="inlineStr">
        <is>
          <t>1 Stück im Bild</t>
        </is>
      </c>
      <c r="AL78" s="22" t="n"/>
    </row>
    <row r="79" ht="30" customHeight="1">
      <c r="A79" s="15" t="inlineStr">
        <is>
          <t>K-098</t>
        </is>
      </c>
      <c r="B79" s="15" t="n"/>
      <c r="C79" s="15" t="inlineStr">
        <is>
          <t>BA04</t>
        </is>
      </c>
      <c r="D79" s="15" t="inlineStr">
        <is>
          <t>Sessel Birke mit Bezug</t>
        </is>
      </c>
      <c r="E79" s="16" t="inlineStr">
        <is>
          <t>IKEA Poäng, Birke, heller Bezug</t>
        </is>
      </c>
      <c r="F79" s="15" t="inlineStr">
        <is>
          <t>Möbel</t>
        </is>
      </c>
      <c r="G79" s="15" t="inlineStr">
        <is>
          <t>Gruppenraum 4</t>
        </is>
      </c>
      <c r="H79" s="15" t="inlineStr">
        <is>
          <t>C</t>
        </is>
      </c>
      <c r="I79" s="17" t="n">
        <v>1</v>
      </c>
      <c r="J79" s="17" t="n"/>
      <c r="K79" s="18">
        <f>I79-IF(J79="",0,J79)</f>
        <v/>
      </c>
      <c r="L79" s="15" t="inlineStr">
        <is>
          <t>Stück</t>
        </is>
      </c>
      <c r="M79" s="15" t="inlineStr">
        <is>
          <t>gebraucht</t>
        </is>
      </c>
      <c r="N79" s="19" t="n"/>
      <c r="O79" s="19" t="inlineStr">
        <is>
          <t>entfällt</t>
        </is>
      </c>
      <c r="P79" s="19" t="n"/>
      <c r="Q79" s="20" t="n"/>
      <c r="R79" s="20" t="n">
        <v>45</v>
      </c>
      <c r="S79" s="19" t="inlineStr">
        <is>
          <t>VHB</t>
        </is>
      </c>
      <c r="T79" s="21">
        <f>K79*R79</f>
        <v/>
      </c>
      <c r="U79" s="15" t="inlineStr">
        <is>
          <t>nur Abholung</t>
        </is>
      </c>
      <c r="V79" s="15" t="inlineStr">
        <is>
          <t>F-063</t>
        </is>
      </c>
      <c r="W79" s="19" t="inlineStr">
        <is>
          <t>ja</t>
        </is>
      </c>
      <c r="X79" s="19" t="n"/>
      <c r="Y79" s="19" t="inlineStr">
        <is>
          <t>verfügbar</t>
        </is>
      </c>
      <c r="Z79" s="19" t="n"/>
      <c r="AA79" s="19" t="n"/>
      <c r="AB79" s="19" t="n"/>
      <c r="AC79" s="20" t="n"/>
      <c r="AD79" s="21">
        <f>IF(J79="","",J79*AC79)</f>
        <v/>
      </c>
      <c r="AE79" s="19" t="n"/>
      <c r="AF79" s="19" t="n"/>
      <c r="AG79" s="19" t="n"/>
      <c r="AH79" s="19" t="n"/>
      <c r="AI79" s="19" t="n"/>
      <c r="AJ79" s="19" t="n"/>
      <c r="AK79" s="16" t="inlineStr">
        <is>
          <t>1 Sessel im Bild</t>
        </is>
      </c>
      <c r="AL79" s="22" t="n"/>
    </row>
    <row r="80" ht="30" customHeight="1">
      <c r="A80" s="15" t="inlineStr">
        <is>
          <t>K-104</t>
        </is>
      </c>
      <c r="B80" s="15" t="n"/>
      <c r="C80" s="15" t="inlineStr">
        <is>
          <t>NU01</t>
        </is>
      </c>
      <c r="D80" s="15" t="inlineStr">
        <is>
          <t>Deko-Pilze Beton auf Holzfuß</t>
        </is>
      </c>
      <c r="E80" s="16" t="inlineStr">
        <is>
          <t>Dekopilze, Betonkopf auf Holzstiel, zwei Größen</t>
        </is>
      </c>
      <c r="F80" s="15" t="inlineStr">
        <is>
          <t>Deko</t>
        </is>
      </c>
      <c r="G80" s="15" t="inlineStr">
        <is>
          <t>Flur</t>
        </is>
      </c>
      <c r="H80" s="15" t="inlineStr">
        <is>
          <t>C</t>
        </is>
      </c>
      <c r="I80" s="17" t="n">
        <v>2</v>
      </c>
      <c r="J80" s="17" t="n"/>
      <c r="K80" s="18">
        <f>I80-IF(J80="",0,J80)</f>
        <v/>
      </c>
      <c r="L80" s="15" t="inlineStr">
        <is>
          <t>Stück</t>
        </is>
      </c>
      <c r="M80" s="15" t="inlineStr">
        <is>
          <t>gut</t>
        </is>
      </c>
      <c r="N80" s="19" t="n"/>
      <c r="O80" s="19" t="inlineStr">
        <is>
          <t>entfällt</t>
        </is>
      </c>
      <c r="P80" s="19" t="n"/>
      <c r="Q80" s="20" t="n"/>
      <c r="R80" s="20" t="n">
        <v>15</v>
      </c>
      <c r="S80" s="19" t="inlineStr">
        <is>
          <t>VHB</t>
        </is>
      </c>
      <c r="T80" s="21">
        <f>K80*R80</f>
        <v/>
      </c>
      <c r="U80" s="15" t="inlineStr">
        <is>
          <t>Versand möglich</t>
        </is>
      </c>
      <c r="V80" s="15" t="inlineStr">
        <is>
          <t>F-074</t>
        </is>
      </c>
      <c r="W80" s="19" t="inlineStr">
        <is>
          <t>ja</t>
        </is>
      </c>
      <c r="X80" s="19" t="n"/>
      <c r="Y80" s="19" t="inlineStr">
        <is>
          <t>verfügbar</t>
        </is>
      </c>
      <c r="Z80" s="19" t="n"/>
      <c r="AA80" s="19" t="n"/>
      <c r="AB80" s="19" t="n"/>
      <c r="AC80" s="20" t="n"/>
      <c r="AD80" s="21">
        <f>IF(J80="","",J80*AC80)</f>
        <v/>
      </c>
      <c r="AE80" s="19" t="n"/>
      <c r="AF80" s="19" t="n"/>
      <c r="AG80" s="19" t="n"/>
      <c r="AH80" s="19" t="n"/>
      <c r="AI80" s="19" t="n"/>
      <c r="AJ80" s="19" t="n"/>
      <c r="AK80" s="16" t="inlineStr">
        <is>
          <t>2 Stück im Bild</t>
        </is>
      </c>
      <c r="AL80" s="22" t="n"/>
    </row>
    <row r="81" ht="30" customHeight="1">
      <c r="A81" s="15" t="inlineStr">
        <is>
          <t>K-105</t>
        </is>
      </c>
      <c r="B81" s="15" t="n"/>
      <c r="C81" s="15" t="inlineStr">
        <is>
          <t>NU01</t>
        </is>
      </c>
      <c r="D81" s="15" t="inlineStr">
        <is>
          <t>Leuchtkasten mit Steckbuchstaben</t>
        </is>
      </c>
      <c r="E81" s="16" t="inlineStr">
        <is>
          <t>Lightbox A4 mit Buchstabensatz</t>
        </is>
      </c>
      <c r="F81" s="15" t="inlineStr">
        <is>
          <t>Deko</t>
        </is>
      </c>
      <c r="G81" s="15" t="inlineStr">
        <is>
          <t>Flur</t>
        </is>
      </c>
      <c r="H81" s="15" t="inlineStr">
        <is>
          <t>C</t>
        </is>
      </c>
      <c r="I81" s="17" t="n">
        <v>1</v>
      </c>
      <c r="J81" s="17" t="n"/>
      <c r="K81" s="18">
        <f>I81-IF(J81="",0,J81)</f>
        <v/>
      </c>
      <c r="L81" s="15" t="inlineStr">
        <is>
          <t>Stück</t>
        </is>
      </c>
      <c r="M81" s="15" t="inlineStr">
        <is>
          <t>gut</t>
        </is>
      </c>
      <c r="N81" s="19" t="n"/>
      <c r="O81" s="19" t="inlineStr">
        <is>
          <t>entfällt</t>
        </is>
      </c>
      <c r="P81" s="19" t="n"/>
      <c r="Q81" s="20" t="n"/>
      <c r="R81" s="20" t="n">
        <v>25</v>
      </c>
      <c r="S81" s="19" t="inlineStr">
        <is>
          <t>VHB</t>
        </is>
      </c>
      <c r="T81" s="21">
        <f>K81*R81</f>
        <v/>
      </c>
      <c r="U81" s="15" t="inlineStr">
        <is>
          <t>Versand möglich</t>
        </is>
      </c>
      <c r="V81" s="15" t="inlineStr">
        <is>
          <t>F-074</t>
        </is>
      </c>
      <c r="W81" s="19" t="inlineStr">
        <is>
          <t>ja</t>
        </is>
      </c>
      <c r="X81" s="19" t="n"/>
      <c r="Y81" s="19" t="inlineStr">
        <is>
          <t>verfügbar</t>
        </is>
      </c>
      <c r="Z81" s="19" t="n"/>
      <c r="AA81" s="19" t="n"/>
      <c r="AB81" s="19" t="n"/>
      <c r="AC81" s="20" t="n"/>
      <c r="AD81" s="21">
        <f>IF(J81="","",J81*AC81)</f>
        <v/>
      </c>
      <c r="AE81" s="19" t="n"/>
      <c r="AF81" s="19" t="n"/>
      <c r="AG81" s="19" t="n"/>
      <c r="AH81" s="19" t="n"/>
      <c r="AI81" s="19" t="n"/>
      <c r="AJ81" s="19" t="n"/>
      <c r="AK81" s="16" t="inlineStr">
        <is>
          <t>1 Stück im Bild</t>
        </is>
      </c>
      <c r="AL81" s="22" t="n"/>
    </row>
    <row r="82" ht="30" customHeight="1">
      <c r="A82" s="15" t="inlineStr">
        <is>
          <t>K-109</t>
        </is>
      </c>
      <c r="B82" s="15" t="n"/>
      <c r="C82" s="15" t="inlineStr">
        <is>
          <t>BU04</t>
        </is>
      </c>
      <c r="D82" s="15" t="inlineStr">
        <is>
          <t>Vase Keramik gestreift</t>
        </is>
      </c>
      <c r="E82" s="16" t="inlineStr">
        <is>
          <t>Vase schwarz-weiß gestreift, hoch</t>
        </is>
      </c>
      <c r="F82" s="15" t="inlineStr">
        <is>
          <t>Deko</t>
        </is>
      </c>
      <c r="G82" s="15" t="inlineStr">
        <is>
          <t>Gruppenraum</t>
        </is>
      </c>
      <c r="H82" s="15" t="inlineStr">
        <is>
          <t>C</t>
        </is>
      </c>
      <c r="I82" s="17" t="n">
        <v>1</v>
      </c>
      <c r="J82" s="17" t="n"/>
      <c r="K82" s="18">
        <f>I82-IF(J82="",0,J82)</f>
        <v/>
      </c>
      <c r="L82" s="15" t="inlineStr">
        <is>
          <t>Stück</t>
        </is>
      </c>
      <c r="M82" s="15" t="inlineStr">
        <is>
          <t>gut</t>
        </is>
      </c>
      <c r="N82" s="19" t="n"/>
      <c r="O82" s="19" t="inlineStr">
        <is>
          <t>entfällt</t>
        </is>
      </c>
      <c r="P82" s="19" t="n"/>
      <c r="Q82" s="20" t="n"/>
      <c r="R82" s="20" t="n">
        <v>20</v>
      </c>
      <c r="S82" s="19" t="inlineStr">
        <is>
          <t>VHB</t>
        </is>
      </c>
      <c r="T82" s="21">
        <f>K82*R82</f>
        <v/>
      </c>
      <c r="U82" s="15" t="inlineStr">
        <is>
          <t>Versand möglich</t>
        </is>
      </c>
      <c r="V82" s="15" t="inlineStr">
        <is>
          <t>F-078</t>
        </is>
      </c>
      <c r="W82" s="19" t="inlineStr">
        <is>
          <t>ja</t>
        </is>
      </c>
      <c r="X82" s="19" t="n"/>
      <c r="Y82" s="19" t="inlineStr">
        <is>
          <t>verfügbar</t>
        </is>
      </c>
      <c r="Z82" s="19" t="n"/>
      <c r="AA82" s="19" t="n"/>
      <c r="AB82" s="19" t="n"/>
      <c r="AC82" s="20" t="n"/>
      <c r="AD82" s="21">
        <f>IF(J82="","",J82*AC82)</f>
        <v/>
      </c>
      <c r="AE82" s="19" t="n"/>
      <c r="AF82" s="19" t="n"/>
      <c r="AG82" s="19" t="n"/>
      <c r="AH82" s="19" t="n"/>
      <c r="AI82" s="19" t="n"/>
      <c r="AJ82" s="19" t="n"/>
      <c r="AK82" s="16" t="inlineStr">
        <is>
          <t>1 Stück im Bild</t>
        </is>
      </c>
      <c r="AL82" s="22" t="n"/>
    </row>
    <row r="83" ht="30" customHeight="1">
      <c r="A83" s="15" t="inlineStr">
        <is>
          <t>K-111</t>
        </is>
      </c>
      <c r="B83" s="15" t="n"/>
      <c r="C83" s="15" t="inlineStr">
        <is>
          <t>BU04</t>
        </is>
      </c>
      <c r="D83" s="15" t="inlineStr">
        <is>
          <t>Holz-LKW Spielzeug</t>
        </is>
      </c>
      <c r="E83" s="16" t="inlineStr">
        <is>
          <t>Großer Spielzeug-LKW aus Holz, Kipper</t>
        </is>
      </c>
      <c r="F83" s="15" t="inlineStr">
        <is>
          <t>Kita-Ausstattung</t>
        </is>
      </c>
      <c r="G83" s="15" t="inlineStr">
        <is>
          <t>Gruppenraum</t>
        </is>
      </c>
      <c r="H83" s="15" t="inlineStr">
        <is>
          <t>C</t>
        </is>
      </c>
      <c r="I83" s="17" t="n">
        <v>1</v>
      </c>
      <c r="J83" s="17" t="n"/>
      <c r="K83" s="18">
        <f>I83-IF(J83="",0,J83)</f>
        <v/>
      </c>
      <c r="L83" s="15" t="inlineStr">
        <is>
          <t>Stück</t>
        </is>
      </c>
      <c r="M83" s="15" t="inlineStr">
        <is>
          <t>gut</t>
        </is>
      </c>
      <c r="N83" s="19" t="n"/>
      <c r="O83" s="19" t="inlineStr">
        <is>
          <t>entfällt</t>
        </is>
      </c>
      <c r="P83" s="19" t="n"/>
      <c r="Q83" s="20" t="n"/>
      <c r="R83" s="20" t="n">
        <v>25</v>
      </c>
      <c r="S83" s="19" t="inlineStr">
        <is>
          <t>VHB</t>
        </is>
      </c>
      <c r="T83" s="21">
        <f>K83*R83</f>
        <v/>
      </c>
      <c r="U83" s="15" t="inlineStr">
        <is>
          <t>Versand möglich</t>
        </is>
      </c>
      <c r="V83" s="15" t="inlineStr">
        <is>
          <t>F-078</t>
        </is>
      </c>
      <c r="W83" s="19" t="inlineStr">
        <is>
          <t>ja</t>
        </is>
      </c>
      <c r="X83" s="19" t="n"/>
      <c r="Y83" s="19" t="inlineStr">
        <is>
          <t>verfügbar</t>
        </is>
      </c>
      <c r="Z83" s="19" t="n"/>
      <c r="AA83" s="19" t="n"/>
      <c r="AB83" s="19" t="n"/>
      <c r="AC83" s="20" t="n"/>
      <c r="AD83" s="21">
        <f>IF(J83="","",J83*AC83)</f>
        <v/>
      </c>
      <c r="AE83" s="19" t="n"/>
      <c r="AF83" s="19" t="n"/>
      <c r="AG83" s="19" t="n"/>
      <c r="AH83" s="19" t="n"/>
      <c r="AI83" s="19" t="n"/>
      <c r="AJ83" s="19" t="n"/>
      <c r="AK83" s="16" t="inlineStr">
        <is>
          <t>1 Stück im Bild</t>
        </is>
      </c>
      <c r="AL83" s="22" t="n"/>
    </row>
    <row r="84" ht="30" customHeight="1">
      <c r="A84" s="15" t="inlineStr">
        <is>
          <t>K-112</t>
        </is>
      </c>
      <c r="B84" s="15" t="n"/>
      <c r="C84" s="15" t="inlineStr">
        <is>
          <t>BU04</t>
        </is>
      </c>
      <c r="D84" s="15" t="inlineStr">
        <is>
          <t>Deko-Haus Metall mit Pompons</t>
        </is>
      </c>
      <c r="E84" s="16" t="inlineStr">
        <is>
          <t>Hausform aus Metalldraht mit roten Wollbommeln</t>
        </is>
      </c>
      <c r="F84" s="15" t="inlineStr">
        <is>
          <t>Deko</t>
        </is>
      </c>
      <c r="G84" s="15" t="inlineStr">
        <is>
          <t>Gruppenraum</t>
        </is>
      </c>
      <c r="H84" s="15" t="inlineStr">
        <is>
          <t>C</t>
        </is>
      </c>
      <c r="I84" s="17" t="n">
        <v>1</v>
      </c>
      <c r="J84" s="17" t="n"/>
      <c r="K84" s="18">
        <f>I84-IF(J84="",0,J84)</f>
        <v/>
      </c>
      <c r="L84" s="15" t="inlineStr">
        <is>
          <t>Stück</t>
        </is>
      </c>
      <c r="M84" s="15" t="inlineStr">
        <is>
          <t>gut</t>
        </is>
      </c>
      <c r="N84" s="19" t="n"/>
      <c r="O84" s="19" t="inlineStr">
        <is>
          <t>entfällt</t>
        </is>
      </c>
      <c r="P84" s="19" t="n"/>
      <c r="Q84" s="20" t="n"/>
      <c r="R84" s="20" t="n">
        <v>20</v>
      </c>
      <c r="S84" s="19" t="inlineStr">
        <is>
          <t>VHB</t>
        </is>
      </c>
      <c r="T84" s="21">
        <f>K84*R84</f>
        <v/>
      </c>
      <c r="U84" s="15" t="inlineStr">
        <is>
          <t>Versand möglich</t>
        </is>
      </c>
      <c r="V84" s="15" t="inlineStr">
        <is>
          <t>F-078</t>
        </is>
      </c>
      <c r="W84" s="19" t="inlineStr">
        <is>
          <t>ja</t>
        </is>
      </c>
      <c r="X84" s="19" t="n"/>
      <c r="Y84" s="19" t="inlineStr">
        <is>
          <t>verfügbar</t>
        </is>
      </c>
      <c r="Z84" s="19" t="n"/>
      <c r="AA84" s="19" t="n"/>
      <c r="AB84" s="19" t="n"/>
      <c r="AC84" s="20" t="n"/>
      <c r="AD84" s="21">
        <f>IF(J84="","",J84*AC84)</f>
        <v/>
      </c>
      <c r="AE84" s="19" t="n"/>
      <c r="AF84" s="19" t="n"/>
      <c r="AG84" s="19" t="n"/>
      <c r="AH84" s="19" t="n"/>
      <c r="AI84" s="19" t="n"/>
      <c r="AJ84" s="19" t="n"/>
      <c r="AK84" s="16" t="inlineStr">
        <is>
          <t>1 Stück im Bild</t>
        </is>
      </c>
      <c r="AL84" s="22" t="n"/>
    </row>
    <row r="85" ht="30" customHeight="1">
      <c r="A85" s="15" t="inlineStr">
        <is>
          <t>K-114</t>
        </is>
      </c>
      <c r="B85" s="15" t="n"/>
      <c r="C85" s="15" t="inlineStr">
        <is>
          <t>BU04</t>
        </is>
      </c>
      <c r="D85" s="15" t="inlineStr">
        <is>
          <t>Schülerstuhl grau</t>
        </is>
      </c>
      <c r="E85" s="16" t="inlineStr">
        <is>
          <t>Kunststoffschale grau, Metallgestell, höhenverstellbar</t>
        </is>
      </c>
      <c r="F85" s="15" t="inlineStr">
        <is>
          <t>Kita-Ausstattung</t>
        </is>
      </c>
      <c r="G85" s="15" t="inlineStr">
        <is>
          <t>Gruppenraum</t>
        </is>
      </c>
      <c r="H85" s="15" t="inlineStr">
        <is>
          <t>C</t>
        </is>
      </c>
      <c r="I85" s="17" t="n">
        <v>1</v>
      </c>
      <c r="J85" s="17" t="n"/>
      <c r="K85" s="18">
        <f>I85-IF(J85="",0,J85)</f>
        <v/>
      </c>
      <c r="L85" s="15" t="inlineStr">
        <is>
          <t>Stück</t>
        </is>
      </c>
      <c r="M85" s="15" t="inlineStr">
        <is>
          <t>gebraucht</t>
        </is>
      </c>
      <c r="N85" s="19" t="n"/>
      <c r="O85" s="19" t="inlineStr">
        <is>
          <t>entfällt</t>
        </is>
      </c>
      <c r="P85" s="19" t="n"/>
      <c r="Q85" s="20" t="n"/>
      <c r="R85" s="20" t="n">
        <v>25</v>
      </c>
      <c r="S85" s="19" t="inlineStr">
        <is>
          <t>VHB</t>
        </is>
      </c>
      <c r="T85" s="21">
        <f>K85*R85</f>
        <v/>
      </c>
      <c r="U85" s="15" t="inlineStr">
        <is>
          <t>Versand möglich</t>
        </is>
      </c>
      <c r="V85" s="15" t="inlineStr">
        <is>
          <t>F-079</t>
        </is>
      </c>
      <c r="W85" s="19" t="inlineStr">
        <is>
          <t>ja</t>
        </is>
      </c>
      <c r="X85" s="19" t="n"/>
      <c r="Y85" s="19" t="inlineStr">
        <is>
          <t>verfügbar</t>
        </is>
      </c>
      <c r="Z85" s="19" t="n"/>
      <c r="AA85" s="19" t="n"/>
      <c r="AB85" s="19" t="n"/>
      <c r="AC85" s="20" t="n"/>
      <c r="AD85" s="21">
        <f>IF(J85="","",J85*AC85)</f>
        <v/>
      </c>
      <c r="AE85" s="19" t="n"/>
      <c r="AF85" s="19" t="n"/>
      <c r="AG85" s="19" t="n"/>
      <c r="AH85" s="19" t="n"/>
      <c r="AI85" s="19" t="n"/>
      <c r="AJ85" s="19" t="n"/>
      <c r="AK85" s="16" t="inlineStr">
        <is>
          <t>1 Stuhl im Bild - vermutlich mehrere vorhanden</t>
        </is>
      </c>
      <c r="AL85" s="22" t="n"/>
    </row>
    <row r="86" ht="30" customHeight="1">
      <c r="A86" s="15" t="inlineStr">
        <is>
          <t>K-122</t>
        </is>
      </c>
      <c r="B86" s="15" t="n"/>
      <c r="C86" s="15" t="inlineStr">
        <is>
          <t>TE02</t>
        </is>
      </c>
      <c r="D86" s="15" t="inlineStr">
        <is>
          <t>Biohort Freizeitbox weiß (Dachterrasse)</t>
        </is>
      </c>
      <c r="E86" s="16" t="inlineStr">
        <is>
          <t>Metall-Auflagenbox, weiß, abschließbar, wetterfest, Made in Austria</t>
        </is>
      </c>
      <c r="F86" s="15" t="inlineStr">
        <is>
          <t>Garten</t>
        </is>
      </c>
      <c r="G86" s="15" t="inlineStr">
        <is>
          <t>Dachterrasse</t>
        </is>
      </c>
      <c r="H86" s="15" t="inlineStr">
        <is>
          <t>A</t>
        </is>
      </c>
      <c r="I86" s="17" t="n">
        <v>1</v>
      </c>
      <c r="J86" s="17" t="n"/>
      <c r="K86" s="18">
        <f>I86-IF(J86="",0,J86)</f>
        <v/>
      </c>
      <c r="L86" s="15" t="inlineStr">
        <is>
          <t>Stück</t>
        </is>
      </c>
      <c r="M86" s="15" t="inlineStr">
        <is>
          <t>gut</t>
        </is>
      </c>
      <c r="N86" s="19" t="n"/>
      <c r="O86" s="19" t="inlineStr">
        <is>
          <t>entfällt</t>
        </is>
      </c>
      <c r="P86" s="19" t="n"/>
      <c r="Q86" s="20" t="n"/>
      <c r="R86" s="20" t="n">
        <v>220</v>
      </c>
      <c r="S86" s="19" t="inlineStr">
        <is>
          <t>VHB</t>
        </is>
      </c>
      <c r="T86" s="21">
        <f>K86*R86</f>
        <v/>
      </c>
      <c r="U86" s="15" t="inlineStr">
        <is>
          <t>nur Abholung</t>
        </is>
      </c>
      <c r="V86" s="15" t="inlineStr">
        <is>
          <t>F-108</t>
        </is>
      </c>
      <c r="W86" s="19" t="inlineStr">
        <is>
          <t>ja</t>
        </is>
      </c>
      <c r="X86" s="19" t="n"/>
      <c r="Y86" s="19" t="inlineStr">
        <is>
          <t>verfügbar</t>
        </is>
      </c>
      <c r="Z86" s="19" t="n"/>
      <c r="AA86" s="19" t="n"/>
      <c r="AB86" s="19" t="n"/>
      <c r="AC86" s="20" t="n"/>
      <c r="AD86" s="21">
        <f>IF(J86="","",J86*AC86)</f>
        <v/>
      </c>
      <c r="AE86" s="19" t="n"/>
      <c r="AF86" s="19" t="n"/>
      <c r="AG86" s="19" t="n"/>
      <c r="AH86" s="19" t="n"/>
      <c r="AI86" s="19" t="n"/>
      <c r="AJ86" s="19" t="n"/>
      <c r="AK86" s="16" t="inlineStr">
        <is>
          <t>1 Box im Bild - bitte prüfen ob 2 oder 3 Boxen gesamt</t>
        </is>
      </c>
      <c r="AL86" s="22" t="n"/>
    </row>
    <row r="87" ht="30" customHeight="1">
      <c r="A87" s="15" t="inlineStr">
        <is>
          <t>K-124</t>
        </is>
      </c>
      <c r="B87" s="15" t="n"/>
      <c r="C87" s="15" t="inlineStr">
        <is>
          <t>TE01</t>
        </is>
      </c>
      <c r="D87" s="15" t="inlineStr">
        <is>
          <t>Schutzhülle für Gartentisch</t>
        </is>
      </c>
      <c r="E87" s="16" t="inlineStr">
        <is>
          <t>Abdeckhaube schwarz, wetterfest</t>
        </is>
      </c>
      <c r="F87" s="15" t="inlineStr">
        <is>
          <t>Garten</t>
        </is>
      </c>
      <c r="G87" s="15" t="inlineStr">
        <is>
          <t>Terrasse</t>
        </is>
      </c>
      <c r="H87" s="15" t="inlineStr">
        <is>
          <t>C</t>
        </is>
      </c>
      <c r="I87" s="17" t="n">
        <v>1</v>
      </c>
      <c r="J87" s="17" t="n"/>
      <c r="K87" s="18">
        <f>I87-IF(J87="",0,J87)</f>
        <v/>
      </c>
      <c r="L87" s="15" t="inlineStr">
        <is>
          <t>Stück</t>
        </is>
      </c>
      <c r="M87" s="15" t="inlineStr">
        <is>
          <t>gebraucht</t>
        </is>
      </c>
      <c r="N87" s="19" t="n"/>
      <c r="O87" s="19" t="inlineStr">
        <is>
          <t>entfällt</t>
        </is>
      </c>
      <c r="P87" s="19" t="n"/>
      <c r="Q87" s="20" t="n"/>
      <c r="R87" s="20" t="n">
        <v>20</v>
      </c>
      <c r="S87" s="19" t="inlineStr">
        <is>
          <t>VHB</t>
        </is>
      </c>
      <c r="T87" s="21">
        <f>K87*R87</f>
        <v/>
      </c>
      <c r="U87" s="15" t="inlineStr">
        <is>
          <t>Versand möglich</t>
        </is>
      </c>
      <c r="V87" s="15" t="inlineStr">
        <is>
          <t>F-095</t>
        </is>
      </c>
      <c r="W87" s="19" t="inlineStr">
        <is>
          <t>ja</t>
        </is>
      </c>
      <c r="X87" s="19" t="n"/>
      <c r="Y87" s="19" t="inlineStr">
        <is>
          <t>verfügbar</t>
        </is>
      </c>
      <c r="Z87" s="19" t="n"/>
      <c r="AA87" s="19" t="n"/>
      <c r="AB87" s="19" t="n"/>
      <c r="AC87" s="20" t="n"/>
      <c r="AD87" s="21">
        <f>IF(J87="","",J87*AC87)</f>
        <v/>
      </c>
      <c r="AE87" s="19" t="n"/>
      <c r="AF87" s="19" t="n"/>
      <c r="AG87" s="19" t="n"/>
      <c r="AH87" s="19" t="n"/>
      <c r="AI87" s="19" t="n"/>
      <c r="AJ87" s="19" t="n"/>
      <c r="AK87" s="16" t="inlineStr">
        <is>
          <t>1 Stück im Bild</t>
        </is>
      </c>
      <c r="AL87" s="22" t="n"/>
    </row>
    <row r="88" ht="30" customHeight="1">
      <c r="A88" s="15" t="inlineStr">
        <is>
          <t>K-126</t>
        </is>
      </c>
      <c r="B88" s="15" t="n"/>
      <c r="C88" s="15" t="inlineStr">
        <is>
          <t>TE01</t>
        </is>
      </c>
      <c r="D88" s="15" t="inlineStr">
        <is>
          <t>Auflagenbox Rattanoptik</t>
        </is>
      </c>
      <c r="E88" s="16" t="inlineStr">
        <is>
          <t>Kunststoff-Auflagenbox in Rattanoptik, braun</t>
        </is>
      </c>
      <c r="F88" s="15" t="inlineStr">
        <is>
          <t>Garten</t>
        </is>
      </c>
      <c r="G88" s="15" t="inlineStr">
        <is>
          <t>Terrasse</t>
        </is>
      </c>
      <c r="H88" s="15" t="inlineStr">
        <is>
          <t>C</t>
        </is>
      </c>
      <c r="I88" s="17" t="n">
        <v>1</v>
      </c>
      <c r="J88" s="17" t="n"/>
      <c r="K88" s="18">
        <f>I88-IF(J88="",0,J88)</f>
        <v/>
      </c>
      <c r="L88" s="15" t="inlineStr">
        <is>
          <t>Stück</t>
        </is>
      </c>
      <c r="M88" s="15" t="inlineStr">
        <is>
          <t>gebraucht</t>
        </is>
      </c>
      <c r="N88" s="19" t="n"/>
      <c r="O88" s="19" t="inlineStr">
        <is>
          <t>entfällt</t>
        </is>
      </c>
      <c r="P88" s="19" t="n"/>
      <c r="Q88" s="20" t="n"/>
      <c r="R88" s="20" t="n">
        <v>60</v>
      </c>
      <c r="S88" s="19" t="inlineStr">
        <is>
          <t>VHB</t>
        </is>
      </c>
      <c r="T88" s="21">
        <f>K88*R88</f>
        <v/>
      </c>
      <c r="U88" s="15" t="inlineStr">
        <is>
          <t>nur Abholung</t>
        </is>
      </c>
      <c r="V88" s="15" t="inlineStr">
        <is>
          <t>F-096</t>
        </is>
      </c>
      <c r="W88" s="19" t="inlineStr">
        <is>
          <t>ja</t>
        </is>
      </c>
      <c r="X88" s="19" t="n"/>
      <c r="Y88" s="19" t="inlineStr">
        <is>
          <t>verfügbar</t>
        </is>
      </c>
      <c r="Z88" s="19" t="n"/>
      <c r="AA88" s="19" t="n"/>
      <c r="AB88" s="19" t="n"/>
      <c r="AC88" s="20" t="n"/>
      <c r="AD88" s="21">
        <f>IF(J88="","",J88*AC88)</f>
        <v/>
      </c>
      <c r="AE88" s="19" t="n"/>
      <c r="AF88" s="19" t="n"/>
      <c r="AG88" s="19" t="n"/>
      <c r="AH88" s="19" t="n"/>
      <c r="AI88" s="19" t="n"/>
      <c r="AJ88" s="19" t="n"/>
      <c r="AK88" s="16" t="inlineStr">
        <is>
          <t>1 Box im Bild</t>
        </is>
      </c>
      <c r="AL88" s="22" t="n"/>
    </row>
    <row r="89" ht="30" customHeight="1">
      <c r="A89" s="15" t="inlineStr">
        <is>
          <t>K-129</t>
        </is>
      </c>
      <c r="B89" s="15" t="n"/>
      <c r="C89" s="15" t="inlineStr">
        <is>
          <t>GA01</t>
        </is>
      </c>
      <c r="D89" s="15" t="inlineStr">
        <is>
          <t>Gardena Schlauchbox</t>
        </is>
      </c>
      <c r="E89" s="16" t="inlineStr">
        <is>
          <t>Wandschlauchbox mit automatischem Aufroller</t>
        </is>
      </c>
      <c r="F89" s="15" t="inlineStr">
        <is>
          <t>Garten</t>
        </is>
      </c>
      <c r="G89" s="15" t="inlineStr">
        <is>
          <t>Gartenanlage</t>
        </is>
      </c>
      <c r="H89" s="15" t="inlineStr">
        <is>
          <t>C</t>
        </is>
      </c>
      <c r="I89" s="17" t="n">
        <v>1</v>
      </c>
      <c r="J89" s="17" t="n"/>
      <c r="K89" s="18">
        <f>I89-IF(J89="",0,J89)</f>
        <v/>
      </c>
      <c r="L89" s="15" t="inlineStr">
        <is>
          <t>Stück</t>
        </is>
      </c>
      <c r="M89" s="15" t="inlineStr">
        <is>
          <t>gut</t>
        </is>
      </c>
      <c r="N89" s="19" t="n"/>
      <c r="O89" s="19" t="inlineStr">
        <is>
          <t>entfällt</t>
        </is>
      </c>
      <c r="P89" s="19" t="n"/>
      <c r="Q89" s="20" t="n"/>
      <c r="R89" s="20" t="n">
        <v>60</v>
      </c>
      <c r="S89" s="19" t="inlineStr">
        <is>
          <t>VHB</t>
        </is>
      </c>
      <c r="T89" s="21">
        <f>K89*R89</f>
        <v/>
      </c>
      <c r="U89" s="15" t="inlineStr">
        <is>
          <t>nur Abholung</t>
        </is>
      </c>
      <c r="V89" s="15" t="inlineStr">
        <is>
          <t>F-100</t>
        </is>
      </c>
      <c r="W89" s="19" t="inlineStr">
        <is>
          <t>ja</t>
        </is>
      </c>
      <c r="X89" s="19" t="n"/>
      <c r="Y89" s="19" t="inlineStr">
        <is>
          <t>verfügbar</t>
        </is>
      </c>
      <c r="Z89" s="19" t="n"/>
      <c r="AA89" s="19" t="n"/>
      <c r="AB89" s="19" t="n"/>
      <c r="AC89" s="20" t="n"/>
      <c r="AD89" s="21">
        <f>IF(J89="","",J89*AC89)</f>
        <v/>
      </c>
      <c r="AE89" s="19" t="n"/>
      <c r="AF89" s="19" t="n"/>
      <c r="AG89" s="19" t="n"/>
      <c r="AH89" s="19" t="n"/>
      <c r="AI89" s="19" t="n"/>
      <c r="AJ89" s="19" t="n"/>
      <c r="AK89" s="16" t="inlineStr">
        <is>
          <t>1 Stück im Bild</t>
        </is>
      </c>
      <c r="AL89" s="22" t="n"/>
    </row>
    <row r="90" ht="30" customHeight="1">
      <c r="A90" s="15" t="inlineStr">
        <is>
          <t>K-131</t>
        </is>
      </c>
      <c r="B90" s="15" t="n"/>
      <c r="C90" s="15" t="inlineStr">
        <is>
          <t>TE02</t>
        </is>
      </c>
      <c r="D90" s="15" t="inlineStr">
        <is>
          <t>Stapelstuhl anthrazit, Designform</t>
        </is>
      </c>
      <c r="E90" s="16" t="inlineStr">
        <is>
          <t>Kunststoff-Schalenstuhl mit Armlehnen, anthrazit, stapelbar</t>
        </is>
      </c>
      <c r="F90" s="15" t="inlineStr">
        <is>
          <t>Garten</t>
        </is>
      </c>
      <c r="G90" s="15" t="inlineStr">
        <is>
          <t>Dachterrasse</t>
        </is>
      </c>
      <c r="H90" s="15" t="inlineStr">
        <is>
          <t>B</t>
        </is>
      </c>
      <c r="I90" s="17" t="n">
        <v>4</v>
      </c>
      <c r="J90" s="17" t="n"/>
      <c r="K90" s="18">
        <f>I90-IF(J90="",0,J90)</f>
        <v/>
      </c>
      <c r="L90" s="15" t="inlineStr">
        <is>
          <t>Stück</t>
        </is>
      </c>
      <c r="M90" s="15" t="inlineStr">
        <is>
          <t>gut</t>
        </is>
      </c>
      <c r="N90" s="19" t="n"/>
      <c r="O90" s="19" t="inlineStr">
        <is>
          <t>entfällt</t>
        </is>
      </c>
      <c r="P90" s="19" t="n"/>
      <c r="Q90" s="20" t="n"/>
      <c r="R90" s="20" t="n">
        <v>35</v>
      </c>
      <c r="S90" s="19" t="inlineStr">
        <is>
          <t>VHB</t>
        </is>
      </c>
      <c r="T90" s="21">
        <f>K90*R90</f>
        <v/>
      </c>
      <c r="U90" s="15" t="inlineStr">
        <is>
          <t>nur Abholung</t>
        </is>
      </c>
      <c r="V90" s="15" t="inlineStr">
        <is>
          <t>F-101</t>
        </is>
      </c>
      <c r="W90" s="19" t="inlineStr">
        <is>
          <t>ja</t>
        </is>
      </c>
      <c r="X90" s="19" t="n"/>
      <c r="Y90" s="19" t="inlineStr">
        <is>
          <t>verfügbar</t>
        </is>
      </c>
      <c r="Z90" s="19" t="n"/>
      <c r="AA90" s="19" t="n"/>
      <c r="AB90" s="19" t="n"/>
      <c r="AC90" s="20" t="n"/>
      <c r="AD90" s="21">
        <f>IF(J90="","",J90*AC90)</f>
        <v/>
      </c>
      <c r="AE90" s="19" t="n"/>
      <c r="AF90" s="19" t="n"/>
      <c r="AG90" s="19" t="n"/>
      <c r="AH90" s="19" t="n"/>
      <c r="AI90" s="19" t="n"/>
      <c r="AJ90" s="19" t="n"/>
      <c r="AK90" s="16" t="inlineStr">
        <is>
          <t>4 Stück im Bild</t>
        </is>
      </c>
      <c r="AL90" s="22" t="n"/>
    </row>
    <row r="91" ht="30" customHeight="1">
      <c r="A91" s="15" t="inlineStr">
        <is>
          <t>K-134</t>
        </is>
      </c>
      <c r="B91" s="15" t="n"/>
      <c r="C91" s="15" t="inlineStr">
        <is>
          <t>TE02</t>
        </is>
      </c>
      <c r="D91" s="15" t="inlineStr">
        <is>
          <t>Loungesessel Kunststoff weiß</t>
        </is>
      </c>
      <c r="E91" s="16" t="inlineStr">
        <is>
          <t>Stapelbarer Loungesessel aus Kunststoff, weiß</t>
        </is>
      </c>
      <c r="F91" s="15" t="inlineStr">
        <is>
          <t>Garten</t>
        </is>
      </c>
      <c r="G91" s="15" t="inlineStr">
        <is>
          <t>Dachterrasse</t>
        </is>
      </c>
      <c r="H91" s="15" t="inlineStr">
        <is>
          <t>C</t>
        </is>
      </c>
      <c r="I91" s="17" t="n">
        <v>2</v>
      </c>
      <c r="J91" s="17" t="n"/>
      <c r="K91" s="18">
        <f>I91-IF(J91="",0,J91)</f>
        <v/>
      </c>
      <c r="L91" s="15" t="inlineStr">
        <is>
          <t>Stück</t>
        </is>
      </c>
      <c r="M91" s="15" t="inlineStr">
        <is>
          <t>gebraucht</t>
        </is>
      </c>
      <c r="N91" s="19" t="n"/>
      <c r="O91" s="19" t="inlineStr">
        <is>
          <t>entfällt</t>
        </is>
      </c>
      <c r="P91" s="19" t="n"/>
      <c r="Q91" s="20" t="n"/>
      <c r="R91" s="20" t="n">
        <v>60</v>
      </c>
      <c r="S91" s="19" t="inlineStr">
        <is>
          <t>VHB</t>
        </is>
      </c>
      <c r="T91" s="21">
        <f>K91*R91</f>
        <v/>
      </c>
      <c r="U91" s="15" t="inlineStr">
        <is>
          <t>nur Abholung</t>
        </is>
      </c>
      <c r="V91" s="15" t="inlineStr">
        <is>
          <t>F-104</t>
        </is>
      </c>
      <c r="W91" s="19" t="inlineStr">
        <is>
          <t>ja</t>
        </is>
      </c>
      <c r="X91" s="19" t="n"/>
      <c r="Y91" s="19" t="inlineStr">
        <is>
          <t>verfügbar</t>
        </is>
      </c>
      <c r="Z91" s="19" t="n"/>
      <c r="AA91" s="19" t="n"/>
      <c r="AB91" s="19" t="n"/>
      <c r="AC91" s="20" t="n"/>
      <c r="AD91" s="21">
        <f>IF(J91="","",J91*AC91)</f>
        <v/>
      </c>
      <c r="AE91" s="19" t="n"/>
      <c r="AF91" s="19" t="n"/>
      <c r="AG91" s="19" t="n"/>
      <c r="AH91" s="19" t="n"/>
      <c r="AI91" s="19" t="n"/>
      <c r="AJ91" s="19" t="n"/>
      <c r="AK91" s="16" t="inlineStr">
        <is>
          <t>2 Stück gestapelt im Bild</t>
        </is>
      </c>
      <c r="AL91" s="22" t="n"/>
    </row>
    <row r="92" ht="30" customHeight="1">
      <c r="A92" s="15" t="inlineStr">
        <is>
          <t>K-135</t>
        </is>
      </c>
      <c r="B92" s="15" t="n"/>
      <c r="C92" s="15" t="inlineStr">
        <is>
          <t>TE02</t>
        </is>
      </c>
      <c r="D92" s="15" t="inlineStr">
        <is>
          <t>Rattansessel schwarz-weiß</t>
        </is>
      </c>
      <c r="E92" s="16" t="inlineStr">
        <is>
          <t>Polyrattan-Sessel, schwarz-weiß gestreift</t>
        </is>
      </c>
      <c r="F92" s="15" t="inlineStr">
        <is>
          <t>Garten</t>
        </is>
      </c>
      <c r="G92" s="15" t="inlineStr">
        <is>
          <t>Dachterrasse</t>
        </is>
      </c>
      <c r="H92" s="15" t="inlineStr">
        <is>
          <t>C</t>
        </is>
      </c>
      <c r="I92" s="17" t="n">
        <v>1</v>
      </c>
      <c r="J92" s="17" t="n"/>
      <c r="K92" s="18">
        <f>I92-IF(J92="",0,J92)</f>
        <v/>
      </c>
      <c r="L92" s="15" t="inlineStr">
        <is>
          <t>Stück</t>
        </is>
      </c>
      <c r="M92" s="15" t="inlineStr">
        <is>
          <t>gebraucht</t>
        </is>
      </c>
      <c r="N92" s="19" t="n"/>
      <c r="O92" s="19" t="inlineStr">
        <is>
          <t>entfällt</t>
        </is>
      </c>
      <c r="P92" s="19" t="n"/>
      <c r="Q92" s="20" t="n"/>
      <c r="R92" s="20" t="n">
        <v>70</v>
      </c>
      <c r="S92" s="19" t="inlineStr">
        <is>
          <t>VHB</t>
        </is>
      </c>
      <c r="T92" s="21">
        <f>K92*R92</f>
        <v/>
      </c>
      <c r="U92" s="15" t="inlineStr">
        <is>
          <t>nur Abholung</t>
        </is>
      </c>
      <c r="V92" s="15" t="inlineStr">
        <is>
          <t>F-104</t>
        </is>
      </c>
      <c r="W92" s="19" t="inlineStr">
        <is>
          <t>ja</t>
        </is>
      </c>
      <c r="X92" s="19" t="n"/>
      <c r="Y92" s="19" t="inlineStr">
        <is>
          <t>verfügbar</t>
        </is>
      </c>
      <c r="Z92" s="19" t="n"/>
      <c r="AA92" s="19" t="n"/>
      <c r="AB92" s="19" t="n"/>
      <c r="AC92" s="20" t="n"/>
      <c r="AD92" s="21">
        <f>IF(J92="","",J92*AC92)</f>
        <v/>
      </c>
      <c r="AE92" s="19" t="n"/>
      <c r="AF92" s="19" t="n"/>
      <c r="AG92" s="19" t="n"/>
      <c r="AH92" s="19" t="n"/>
      <c r="AI92" s="19" t="n"/>
      <c r="AJ92" s="19" t="n"/>
      <c r="AK92" s="16" t="inlineStr">
        <is>
          <t>1 Sessel im Bild</t>
        </is>
      </c>
      <c r="AL92" s="22" t="n"/>
    </row>
    <row r="93" ht="30" customHeight="1">
      <c r="A93" s="15" t="inlineStr">
        <is>
          <t>K-136</t>
        </is>
      </c>
      <c r="B93" s="15" t="n"/>
      <c r="C93" s="15" t="inlineStr">
        <is>
          <t>TE02</t>
        </is>
      </c>
      <c r="D93" s="15" t="inlineStr">
        <is>
          <t>Kinder-Gartenstuhl rot</t>
        </is>
      </c>
      <c r="E93" s="16" t="inlineStr">
        <is>
          <t>Kunststoff-Gartenstuhl in Kindergröße, rot</t>
        </is>
      </c>
      <c r="F93" s="15" t="inlineStr">
        <is>
          <t>Garten</t>
        </is>
      </c>
      <c r="G93" s="15" t="inlineStr">
        <is>
          <t>Dachterrasse</t>
        </is>
      </c>
      <c r="H93" s="15" t="inlineStr">
        <is>
          <t>C</t>
        </is>
      </c>
      <c r="I93" s="17" t="n">
        <v>3</v>
      </c>
      <c r="J93" s="17" t="n"/>
      <c r="K93" s="18">
        <f>I93-IF(J93="",0,J93)</f>
        <v/>
      </c>
      <c r="L93" s="15" t="inlineStr">
        <is>
          <t>Stück</t>
        </is>
      </c>
      <c r="M93" s="15" t="inlineStr">
        <is>
          <t>gebraucht</t>
        </is>
      </c>
      <c r="N93" s="19" t="n"/>
      <c r="O93" s="19" t="inlineStr">
        <is>
          <t>entfällt</t>
        </is>
      </c>
      <c r="P93" s="19" t="n"/>
      <c r="Q93" s="20" t="n"/>
      <c r="R93" s="20" t="n">
        <v>15</v>
      </c>
      <c r="S93" s="19" t="inlineStr">
        <is>
          <t>VHB</t>
        </is>
      </c>
      <c r="T93" s="21">
        <f>K93*R93</f>
        <v/>
      </c>
      <c r="U93" s="15" t="inlineStr">
        <is>
          <t>Versand möglich</t>
        </is>
      </c>
      <c r="V93" s="15" t="inlineStr">
        <is>
          <t>F-104</t>
        </is>
      </c>
      <c r="W93" s="19" t="inlineStr">
        <is>
          <t>ja</t>
        </is>
      </c>
      <c r="X93" s="19" t="n"/>
      <c r="Y93" s="19" t="inlineStr">
        <is>
          <t>verfügbar</t>
        </is>
      </c>
      <c r="Z93" s="19" t="n"/>
      <c r="AA93" s="19" t="n"/>
      <c r="AB93" s="19" t="n"/>
      <c r="AC93" s="20" t="n"/>
      <c r="AD93" s="21">
        <f>IF(J93="","",J93*AC93)</f>
        <v/>
      </c>
      <c r="AE93" s="19" t="n"/>
      <c r="AF93" s="19" t="n"/>
      <c r="AG93" s="19" t="n"/>
      <c r="AH93" s="19" t="n"/>
      <c r="AI93" s="19" t="n"/>
      <c r="AJ93" s="19" t="n"/>
      <c r="AK93" s="16" t="inlineStr">
        <is>
          <t>ca. 3 Stück im Bild - bitte nachzählen</t>
        </is>
      </c>
      <c r="AL93" s="22" t="n"/>
    </row>
    <row r="94" ht="30" customHeight="1">
      <c r="A94" s="15" t="inlineStr">
        <is>
          <t>K-137</t>
        </is>
      </c>
      <c r="B94" s="15" t="n"/>
      <c r="C94" s="15" t="inlineStr">
        <is>
          <t>TE02</t>
        </is>
      </c>
      <c r="D94" s="15" t="inlineStr">
        <is>
          <t>Teak-Klappstuhl</t>
        </is>
      </c>
      <c r="E94" s="16" t="inlineStr">
        <is>
          <t>Gartenklappstuhl aus Hartholz/Teak</t>
        </is>
      </c>
      <c r="F94" s="15" t="inlineStr">
        <is>
          <t>Garten</t>
        </is>
      </c>
      <c r="G94" s="15" t="inlineStr">
        <is>
          <t>Dachterrasse</t>
        </is>
      </c>
      <c r="H94" s="15" t="inlineStr">
        <is>
          <t>A</t>
        </is>
      </c>
      <c r="I94" s="17" t="n">
        <v>6</v>
      </c>
      <c r="J94" s="17" t="n"/>
      <c r="K94" s="18">
        <f>I94-IF(J94="",0,J94)</f>
        <v/>
      </c>
      <c r="L94" s="15" t="inlineStr">
        <is>
          <t>Stück</t>
        </is>
      </c>
      <c r="M94" s="15" t="inlineStr">
        <is>
          <t>gebraucht</t>
        </is>
      </c>
      <c r="N94" s="19" t="n"/>
      <c r="O94" s="19" t="inlineStr">
        <is>
          <t>entfällt</t>
        </is>
      </c>
      <c r="P94" s="19" t="n"/>
      <c r="Q94" s="20" t="n"/>
      <c r="R94" s="20" t="n">
        <v>55</v>
      </c>
      <c r="S94" s="19" t="inlineStr">
        <is>
          <t>VHB</t>
        </is>
      </c>
      <c r="T94" s="21">
        <f>K94*R94</f>
        <v/>
      </c>
      <c r="U94" s="15" t="inlineStr">
        <is>
          <t>nur Abholung</t>
        </is>
      </c>
      <c r="V94" s="15" t="inlineStr">
        <is>
          <t>F-105</t>
        </is>
      </c>
      <c r="W94" s="19" t="inlineStr">
        <is>
          <t>ja</t>
        </is>
      </c>
      <c r="X94" s="19" t="n"/>
      <c r="Y94" s="19" t="inlineStr">
        <is>
          <t>verfügbar</t>
        </is>
      </c>
      <c r="Z94" s="19" t="n"/>
      <c r="AA94" s="19" t="n"/>
      <c r="AB94" s="19" t="n"/>
      <c r="AC94" s="20" t="n"/>
      <c r="AD94" s="21">
        <f>IF(J94="","",J94*AC94)</f>
        <v/>
      </c>
      <c r="AE94" s="19" t="n"/>
      <c r="AF94" s="19" t="n"/>
      <c r="AG94" s="19" t="n"/>
      <c r="AH94" s="19" t="n"/>
      <c r="AI94" s="19" t="n"/>
      <c r="AJ94" s="19" t="n"/>
      <c r="AK94" s="16" t="inlineStr">
        <is>
          <t>ca. 6 Stück im Bild - bitte nachzählen</t>
        </is>
      </c>
      <c r="AL94" s="22" t="n"/>
    </row>
    <row r="95" ht="30" customHeight="1">
      <c r="A95" s="15" t="inlineStr">
        <is>
          <t>K-141</t>
        </is>
      </c>
      <c r="B95" s="15" t="n"/>
      <c r="C95" s="15" t="inlineStr">
        <is>
          <t>TE02</t>
        </is>
      </c>
      <c r="D95" s="15" t="inlineStr">
        <is>
          <t>Bistro-Set schwarz Metall</t>
        </is>
      </c>
      <c r="E95" s="16" t="inlineStr">
        <is>
          <t>Gartentisch mit 2 Stühlen, schwarzes Metall, klappbar</t>
        </is>
      </c>
      <c r="F95" s="15" t="inlineStr">
        <is>
          <t>Garten</t>
        </is>
      </c>
      <c r="G95" s="15" t="inlineStr">
        <is>
          <t>Dachterrasse</t>
        </is>
      </c>
      <c r="H95" s="15" t="inlineStr">
        <is>
          <t>C</t>
        </is>
      </c>
      <c r="I95" s="17" t="n">
        <v>1</v>
      </c>
      <c r="J95" s="17" t="n"/>
      <c r="K95" s="18">
        <f>I95-IF(J95="",0,J95)</f>
        <v/>
      </c>
      <c r="L95" s="15" t="inlineStr">
        <is>
          <t>Set</t>
        </is>
      </c>
      <c r="M95" s="15" t="inlineStr">
        <is>
          <t>gebraucht</t>
        </is>
      </c>
      <c r="N95" s="19" t="n"/>
      <c r="O95" s="19" t="inlineStr">
        <is>
          <t>entfällt</t>
        </is>
      </c>
      <c r="P95" s="19" t="n"/>
      <c r="Q95" s="20" t="n"/>
      <c r="R95" s="20" t="n">
        <v>90</v>
      </c>
      <c r="S95" s="19" t="inlineStr">
        <is>
          <t>VHB</t>
        </is>
      </c>
      <c r="T95" s="21">
        <f>K95*R95</f>
        <v/>
      </c>
      <c r="U95" s="15" t="inlineStr">
        <is>
          <t>nur Abholung</t>
        </is>
      </c>
      <c r="V95" s="15" t="inlineStr">
        <is>
          <t>F-107</t>
        </is>
      </c>
      <c r="W95" s="19" t="inlineStr">
        <is>
          <t>ja</t>
        </is>
      </c>
      <c r="X95" s="19" t="n"/>
      <c r="Y95" s="19" t="inlineStr">
        <is>
          <t>verfügbar</t>
        </is>
      </c>
      <c r="Z95" s="19" t="n"/>
      <c r="AA95" s="19" t="n"/>
      <c r="AB95" s="19" t="n"/>
      <c r="AC95" s="20" t="n"/>
      <c r="AD95" s="21">
        <f>IF(J95="","",J95*AC95)</f>
        <v/>
      </c>
      <c r="AE95" s="19" t="n"/>
      <c r="AF95" s="19" t="n"/>
      <c r="AG95" s="19" t="n"/>
      <c r="AH95" s="19" t="n"/>
      <c r="AI95" s="19" t="n"/>
      <c r="AJ95" s="19" t="n"/>
      <c r="AK95" s="16" t="inlineStr">
        <is>
          <t>1 Tisch mit 2 Stühlen im Bild</t>
        </is>
      </c>
      <c r="AL95" s="22" t="n"/>
    </row>
    <row r="96" ht="30" customHeight="1">
      <c r="A96" s="15" t="inlineStr">
        <is>
          <t>NE01-01</t>
        </is>
      </c>
      <c r="B96" s="15" t="inlineStr">
        <is>
          <t>K-001</t>
        </is>
      </c>
      <c r="C96" s="15" t="inlineStr">
        <is>
          <t>NE01</t>
        </is>
      </c>
      <c r="D96" s="15" t="inlineStr">
        <is>
          <t>Deko-Hirschkopf weiß</t>
        </is>
      </c>
      <c r="E96" s="16" t="inlineStr">
        <is>
          <t>Kunstharz, weiß, mit schwarzem Geweih, auf Holzschild, Wandmontage</t>
        </is>
      </c>
      <c r="F96" s="15" t="inlineStr">
        <is>
          <t>Deko</t>
        </is>
      </c>
      <c r="G96" s="15" t="inlineStr">
        <is>
          <t>Flur</t>
        </is>
      </c>
      <c r="H96" s="15" t="inlineStr">
        <is>
          <t>C</t>
        </is>
      </c>
      <c r="I96" s="17" t="n">
        <v>1</v>
      </c>
      <c r="J96" s="17" t="n"/>
      <c r="K96" s="18">
        <f>I96-IF(J96="",0,J96)</f>
        <v/>
      </c>
      <c r="L96" s="15" t="inlineStr">
        <is>
          <t>Stück</t>
        </is>
      </c>
      <c r="M96" s="15" t="inlineStr">
        <is>
          <t>gut</t>
        </is>
      </c>
      <c r="N96" s="19" t="n"/>
      <c r="O96" s="19" t="inlineStr">
        <is>
          <t>ja</t>
        </is>
      </c>
      <c r="P96" s="19" t="n"/>
      <c r="Q96" s="20" t="n"/>
      <c r="R96" s="20" t="n">
        <v>45</v>
      </c>
      <c r="S96" s="19" t="inlineStr">
        <is>
          <t>VHB</t>
        </is>
      </c>
      <c r="T96" s="21">
        <f>K96*R96</f>
        <v/>
      </c>
      <c r="U96" s="15" t="inlineStr">
        <is>
          <t>Versand möglich</t>
        </is>
      </c>
      <c r="V96" s="15" t="inlineStr">
        <is>
          <t>F-001</t>
        </is>
      </c>
      <c r="W96" s="19" t="inlineStr">
        <is>
          <t>ja</t>
        </is>
      </c>
      <c r="X96" s="19" t="n"/>
      <c r="Y96" s="19" t="inlineStr">
        <is>
          <t>verfügbar</t>
        </is>
      </c>
      <c r="Z96" s="19" t="n"/>
      <c r="AA96" s="19" t="n"/>
      <c r="AB96" s="19" t="n"/>
      <c r="AC96" s="20" t="n"/>
      <c r="AD96" s="21">
        <f>IF(J96="","",J96*AC96)</f>
        <v/>
      </c>
      <c r="AE96" s="19" t="n"/>
      <c r="AF96" s="19" t="n"/>
      <c r="AG96" s="19" t="n"/>
      <c r="AH96" s="19" t="n"/>
      <c r="AI96" s="19" t="n"/>
      <c r="AJ96" s="19" t="n"/>
      <c r="AK96" s="16" t="inlineStr">
        <is>
          <t>1 Stück im Bild</t>
        </is>
      </c>
      <c r="AL96" s="22" t="n"/>
    </row>
    <row r="97" ht="30" customHeight="1">
      <c r="A97" s="15" t="inlineStr">
        <is>
          <t>NE01-02</t>
        </is>
      </c>
      <c r="B97" s="15" t="inlineStr">
        <is>
          <t>K-020</t>
        </is>
      </c>
      <c r="C97" s="15" t="inlineStr">
        <is>
          <t>NE01</t>
        </is>
      </c>
      <c r="D97" s="15" t="inlineStr">
        <is>
          <t>Trachtenfotografie gerahmt, schwarz</t>
        </is>
      </c>
      <c r="E97" s="16" t="inlineStr">
        <is>
          <t>Fotodruck im schwarzen Rahmen mit Passepartout, ca. 30 x 40 cm - Kaufware</t>
        </is>
      </c>
      <c r="F97" s="15" t="inlineStr">
        <is>
          <t>Kunst</t>
        </is>
      </c>
      <c r="G97" s="15" t="inlineStr">
        <is>
          <t>Flur</t>
        </is>
      </c>
      <c r="H97" s="15" t="inlineStr">
        <is>
          <t>B</t>
        </is>
      </c>
      <c r="I97" s="17" t="n">
        <v>5</v>
      </c>
      <c r="J97" s="17" t="n"/>
      <c r="K97" s="18">
        <f>I97-IF(J97="",0,J97)</f>
        <v/>
      </c>
      <c r="L97" s="15" t="inlineStr">
        <is>
          <t>Stück</t>
        </is>
      </c>
      <c r="M97" s="15" t="inlineStr">
        <is>
          <t>gut</t>
        </is>
      </c>
      <c r="N97" s="19" t="n"/>
      <c r="O97" s="19" t="inlineStr">
        <is>
          <t>ja</t>
        </is>
      </c>
      <c r="P97" s="19" t="n"/>
      <c r="Q97" s="20" t="n"/>
      <c r="R97" s="20" t="n">
        <v>45</v>
      </c>
      <c r="S97" s="19" t="inlineStr">
        <is>
          <t>VHB</t>
        </is>
      </c>
      <c r="T97" s="21">
        <f>K97*R97</f>
        <v/>
      </c>
      <c r="U97" s="15" t="inlineStr">
        <is>
          <t>Versand möglich</t>
        </is>
      </c>
      <c r="V97" s="15" t="inlineStr">
        <is>
          <t>F-014</t>
        </is>
      </c>
      <c r="W97" s="19" t="inlineStr">
        <is>
          <t>ja</t>
        </is>
      </c>
      <c r="X97" s="19" t="inlineStr">
        <is>
          <t>ja</t>
        </is>
      </c>
      <c r="Y97" s="19" t="inlineStr">
        <is>
          <t>verfügbar</t>
        </is>
      </c>
      <c r="Z97" s="19" t="n"/>
      <c r="AA97" s="19" t="n"/>
      <c r="AB97" s="19" t="n"/>
      <c r="AC97" s="20" t="n"/>
      <c r="AD97" s="21">
        <f>IF(J97="","",J97*AC97)</f>
        <v/>
      </c>
      <c r="AE97" s="19" t="n"/>
      <c r="AF97" s="19" t="n"/>
      <c r="AG97" s="19" t="n"/>
      <c r="AH97" s="19" t="n"/>
      <c r="AI97" s="19" t="n"/>
      <c r="AJ97" s="19" t="n"/>
      <c r="AK97" s="16" t="inlineStr">
        <is>
          <t>5 Rahmen im Bild</t>
        </is>
      </c>
      <c r="AL97" s="22" t="n"/>
    </row>
    <row r="98" ht="30" customHeight="1">
      <c r="A98" s="15" t="inlineStr">
        <is>
          <t>NE01-03</t>
        </is>
      </c>
      <c r="B98" s="15" t="inlineStr">
        <is>
          <t>K-047</t>
        </is>
      </c>
      <c r="C98" s="15" t="inlineStr">
        <is>
          <t>NE01</t>
        </is>
      </c>
      <c r="D98" s="15" t="inlineStr">
        <is>
          <t>Trachtenportrait gerahmt, klein</t>
        </is>
      </c>
      <c r="E98" s="16" t="inlineStr">
        <is>
          <t>Fotodruck gerahmt, kleinformatig - Kaufware</t>
        </is>
      </c>
      <c r="F98" s="15" t="inlineStr">
        <is>
          <t>Kunst</t>
        </is>
      </c>
      <c r="G98" s="15" t="inlineStr">
        <is>
          <t>Flur</t>
        </is>
      </c>
      <c r="H98" s="15" t="inlineStr">
        <is>
          <t>C</t>
        </is>
      </c>
      <c r="I98" s="17" t="n">
        <v>3</v>
      </c>
      <c r="J98" s="17" t="n"/>
      <c r="K98" s="18">
        <f>I98-IF(J98="",0,J98)</f>
        <v/>
      </c>
      <c r="L98" s="15" t="inlineStr">
        <is>
          <t>Stück</t>
        </is>
      </c>
      <c r="M98" s="15" t="inlineStr">
        <is>
          <t>gut</t>
        </is>
      </c>
      <c r="N98" s="19" t="n"/>
      <c r="O98" s="19" t="inlineStr">
        <is>
          <t>ja</t>
        </is>
      </c>
      <c r="P98" s="19" t="n"/>
      <c r="Q98" s="20" t="n"/>
      <c r="R98" s="20" t="n">
        <v>35</v>
      </c>
      <c r="S98" s="19" t="inlineStr">
        <is>
          <t>VHB</t>
        </is>
      </c>
      <c r="T98" s="21">
        <f>K98*R98</f>
        <v/>
      </c>
      <c r="U98" s="15" t="inlineStr">
        <is>
          <t>Versand möglich</t>
        </is>
      </c>
      <c r="V98" s="15" t="inlineStr">
        <is>
          <t>F-029</t>
        </is>
      </c>
      <c r="W98" s="19" t="inlineStr">
        <is>
          <t>ja</t>
        </is>
      </c>
      <c r="X98" s="19" t="inlineStr">
        <is>
          <t>ja</t>
        </is>
      </c>
      <c r="Y98" s="19" t="inlineStr">
        <is>
          <t>verfügbar</t>
        </is>
      </c>
      <c r="Z98" s="19" t="n"/>
      <c r="AA98" s="19" t="n"/>
      <c r="AB98" s="19" t="n"/>
      <c r="AC98" s="20" t="n"/>
      <c r="AD98" s="21">
        <f>IF(J98="","",J98*AC98)</f>
        <v/>
      </c>
      <c r="AE98" s="19" t="n"/>
      <c r="AF98" s="19" t="n"/>
      <c r="AG98" s="19" t="n"/>
      <c r="AH98" s="19" t="n"/>
      <c r="AI98" s="19" t="n"/>
      <c r="AJ98" s="19" t="n"/>
      <c r="AK98" s="16" t="inlineStr">
        <is>
          <t>3 Rahmen im Bild</t>
        </is>
      </c>
      <c r="AL98" s="22" t="n"/>
    </row>
    <row r="99" ht="30" customHeight="1">
      <c r="A99" s="15" t="inlineStr">
        <is>
          <t>NE01-04</t>
        </is>
      </c>
      <c r="B99" s="15" t="inlineStr">
        <is>
          <t>K-049</t>
        </is>
      </c>
      <c r="C99" s="15" t="inlineStr">
        <is>
          <t>NE01</t>
        </is>
      </c>
      <c r="D99" s="15" t="inlineStr">
        <is>
          <t>Gemälde Bollenhut abstrakt, schwarz-weiß</t>
        </is>
      </c>
      <c r="E99" s="16" t="inlineStr">
        <is>
          <t>Acryl auf Leinwand, ca. 90 x 90 cm - Eigenarbeit einer Privatperson</t>
        </is>
      </c>
      <c r="F99" s="15" t="inlineStr">
        <is>
          <t>Kunst</t>
        </is>
      </c>
      <c r="G99" s="15" t="inlineStr">
        <is>
          <t>Flur</t>
        </is>
      </c>
      <c r="H99" s="15" t="inlineStr">
        <is>
          <t>B</t>
        </is>
      </c>
      <c r="I99" s="17" t="n">
        <v>1</v>
      </c>
      <c r="J99" s="17" t="n"/>
      <c r="K99" s="18">
        <f>I99-IF(J99="",0,J99)</f>
        <v/>
      </c>
      <c r="L99" s="15" t="inlineStr">
        <is>
          <t>Stück</t>
        </is>
      </c>
      <c r="M99" s="15" t="inlineStr">
        <is>
          <t>gut</t>
        </is>
      </c>
      <c r="N99" s="19" t="n"/>
      <c r="O99" s="19" t="inlineStr">
        <is>
          <t>ja</t>
        </is>
      </c>
      <c r="P99" s="19" t="n"/>
      <c r="Q99" s="20" t="n"/>
      <c r="R99" s="20" t="n">
        <v>150</v>
      </c>
      <c r="S99" s="19" t="inlineStr">
        <is>
          <t>VHB</t>
        </is>
      </c>
      <c r="T99" s="21">
        <f>K99*R99</f>
        <v/>
      </c>
      <c r="U99" s="15" t="inlineStr">
        <is>
          <t>nur Abholung</t>
        </is>
      </c>
      <c r="V99" s="15" t="inlineStr">
        <is>
          <t>F-030</t>
        </is>
      </c>
      <c r="W99" s="19" t="inlineStr">
        <is>
          <t>ja</t>
        </is>
      </c>
      <c r="X99" s="19" t="n"/>
      <c r="Y99" s="19" t="inlineStr">
        <is>
          <t>verfügbar</t>
        </is>
      </c>
      <c r="Z99" s="19" t="n"/>
      <c r="AA99" s="19" t="n"/>
      <c r="AB99" s="19" t="n"/>
      <c r="AC99" s="20" t="n"/>
      <c r="AD99" s="21">
        <f>IF(J99="","",J99*AC99)</f>
        <v/>
      </c>
      <c r="AE99" s="19" t="n"/>
      <c r="AF99" s="19" t="n"/>
      <c r="AG99" s="19" t="n"/>
      <c r="AH99" s="19" t="n"/>
      <c r="AI99" s="19" t="n"/>
      <c r="AJ99" s="19" t="n"/>
      <c r="AK99" s="16" t="inlineStr">
        <is>
          <t>1 Bild im Bild</t>
        </is>
      </c>
      <c r="AL99" s="22" t="n"/>
    </row>
    <row r="100" ht="30" customHeight="1">
      <c r="A100" s="15" t="inlineStr">
        <is>
          <t>NE01-05</t>
        </is>
      </c>
      <c r="B100" s="15" t="inlineStr">
        <is>
          <t>K-050</t>
        </is>
      </c>
      <c r="C100" s="15" t="inlineStr">
        <is>
          <t>NE01</t>
        </is>
      </c>
      <c r="D100" s="15" t="inlineStr">
        <is>
          <t>Sansevieria groß im Übertopf</t>
        </is>
      </c>
      <c r="E100" s="16" t="inlineStr">
        <is>
          <t>Bogenhanf, große Pflanze, weißer Übertopf</t>
        </is>
      </c>
      <c r="F100" s="15" t="inlineStr">
        <is>
          <t>Pflanzen</t>
        </is>
      </c>
      <c r="G100" s="15" t="inlineStr">
        <is>
          <t>Flur</t>
        </is>
      </c>
      <c r="H100" s="15" t="inlineStr">
        <is>
          <t>C</t>
        </is>
      </c>
      <c r="I100" s="17" t="n">
        <v>1</v>
      </c>
      <c r="J100" s="17" t="n"/>
      <c r="K100" s="18">
        <f>I100-IF(J100="",0,J100)</f>
        <v/>
      </c>
      <c r="L100" s="15" t="inlineStr">
        <is>
          <t>Stück</t>
        </is>
      </c>
      <c r="M100" s="15" t="inlineStr">
        <is>
          <t>gut</t>
        </is>
      </c>
      <c r="N100" s="19" t="n"/>
      <c r="O100" s="19" t="inlineStr">
        <is>
          <t>ja</t>
        </is>
      </c>
      <c r="P100" s="19" t="n"/>
      <c r="Q100" s="20" t="n"/>
      <c r="R100" s="20" t="n">
        <v>60</v>
      </c>
      <c r="S100" s="19" t="inlineStr">
        <is>
          <t>VHB</t>
        </is>
      </c>
      <c r="T100" s="21">
        <f>K100*R100</f>
        <v/>
      </c>
      <c r="U100" s="15" t="inlineStr">
        <is>
          <t>nur Abholung</t>
        </is>
      </c>
      <c r="V100" s="15" t="inlineStr">
        <is>
          <t>F-031</t>
        </is>
      </c>
      <c r="W100" s="19" t="inlineStr">
        <is>
          <t>ja</t>
        </is>
      </c>
      <c r="X100" s="19" t="n"/>
      <c r="Y100" s="19" t="inlineStr">
        <is>
          <t>verfügbar</t>
        </is>
      </c>
      <c r="Z100" s="19" t="n"/>
      <c r="AA100" s="19" t="n"/>
      <c r="AB100" s="19" t="n"/>
      <c r="AC100" s="20" t="n"/>
      <c r="AD100" s="21">
        <f>IF(J100="","",J100*AC100)</f>
        <v/>
      </c>
      <c r="AE100" s="19" t="n"/>
      <c r="AF100" s="19" t="n"/>
      <c r="AG100" s="19" t="n"/>
      <c r="AH100" s="19" t="n"/>
      <c r="AI100" s="19" t="n"/>
      <c r="AJ100" s="19" t="n"/>
      <c r="AK100" s="16" t="inlineStr">
        <is>
          <t>1 Pflanze im Bild</t>
        </is>
      </c>
      <c r="AL100" s="22" t="n"/>
    </row>
    <row r="101" ht="30" customHeight="1">
      <c r="A101" s="15" t="inlineStr">
        <is>
          <t>NE01-06</t>
        </is>
      </c>
      <c r="B101" s="15" t="inlineStr">
        <is>
          <t>K-051</t>
        </is>
      </c>
      <c r="C101" s="15" t="inlineStr">
        <is>
          <t>NE01</t>
        </is>
      </c>
      <c r="D101" s="15" t="inlineStr">
        <is>
          <t>Gemälde Bollenhut rot-weiß</t>
        </is>
      </c>
      <c r="E101" s="16" t="inlineStr">
        <is>
          <t>Acryl auf Leinwand, ca. 50 x 60 cm - Eigenarbeit einer Privatperson</t>
        </is>
      </c>
      <c r="F101" s="15" t="inlineStr">
        <is>
          <t>Kunst</t>
        </is>
      </c>
      <c r="G101" s="15" t="inlineStr">
        <is>
          <t>Flur</t>
        </is>
      </c>
      <c r="H101" s="15" t="inlineStr">
        <is>
          <t>B</t>
        </is>
      </c>
      <c r="I101" s="17" t="n">
        <v>1</v>
      </c>
      <c r="J101" s="17" t="n"/>
      <c r="K101" s="18">
        <f>I101-IF(J101="",0,J101)</f>
        <v/>
      </c>
      <c r="L101" s="15" t="inlineStr">
        <is>
          <t>Stück</t>
        </is>
      </c>
      <c r="M101" s="15" t="inlineStr">
        <is>
          <t>gut</t>
        </is>
      </c>
      <c r="N101" s="19" t="n"/>
      <c r="O101" s="19" t="inlineStr">
        <is>
          <t>ja</t>
        </is>
      </c>
      <c r="P101" s="19" t="n"/>
      <c r="Q101" s="20" t="n"/>
      <c r="R101" s="20" t="n">
        <v>140</v>
      </c>
      <c r="S101" s="19" t="inlineStr">
        <is>
          <t>VHB</t>
        </is>
      </c>
      <c r="T101" s="21">
        <f>K101*R101</f>
        <v/>
      </c>
      <c r="U101" s="15" t="inlineStr">
        <is>
          <t>Versand möglich</t>
        </is>
      </c>
      <c r="V101" s="15" t="inlineStr">
        <is>
          <t>F-032</t>
        </is>
      </c>
      <c r="W101" s="19" t="inlineStr">
        <is>
          <t>ja</t>
        </is>
      </c>
      <c r="X101" s="19" t="n"/>
      <c r="Y101" s="19" t="inlineStr">
        <is>
          <t>verfügbar</t>
        </is>
      </c>
      <c r="Z101" s="19" t="n"/>
      <c r="AA101" s="19" t="n"/>
      <c r="AB101" s="19" t="n"/>
      <c r="AC101" s="20" t="n"/>
      <c r="AD101" s="21">
        <f>IF(J101="","",J101*AC101)</f>
        <v/>
      </c>
      <c r="AE101" s="19" t="n"/>
      <c r="AF101" s="19" t="n"/>
      <c r="AG101" s="19" t="n"/>
      <c r="AH101" s="19" t="n"/>
      <c r="AI101" s="19" t="n"/>
      <c r="AJ101" s="19" t="n"/>
      <c r="AK101" s="16" t="inlineStr">
        <is>
          <t>1 Bild im Bild</t>
        </is>
      </c>
      <c r="AL101" s="22" t="n"/>
    </row>
    <row r="102" ht="30" customHeight="1">
      <c r="A102" s="15" t="inlineStr">
        <is>
          <t>NE01-07</t>
        </is>
      </c>
      <c r="B102" s="15" t="inlineStr">
        <is>
          <t>K-052</t>
        </is>
      </c>
      <c r="C102" s="15" t="inlineStr">
        <is>
          <t>NE01</t>
        </is>
      </c>
      <c r="D102" s="15" t="inlineStr">
        <is>
          <t>Holz-Schriftzug Heimat</t>
        </is>
      </c>
      <c r="E102" s="16" t="inlineStr">
        <is>
          <t>Dekoschriftzug aus Holz</t>
        </is>
      </c>
      <c r="F102" s="15" t="inlineStr">
        <is>
          <t>Deko</t>
        </is>
      </c>
      <c r="G102" s="15" t="inlineStr">
        <is>
          <t>Flur</t>
        </is>
      </c>
      <c r="H102" s="15" t="inlineStr">
        <is>
          <t>C</t>
        </is>
      </c>
      <c r="I102" s="17" t="n">
        <v>1</v>
      </c>
      <c r="J102" s="17" t="n"/>
      <c r="K102" s="18">
        <f>I102-IF(J102="",0,J102)</f>
        <v/>
      </c>
      <c r="L102" s="15" t="inlineStr">
        <is>
          <t>Stück</t>
        </is>
      </c>
      <c r="M102" s="15" t="inlineStr">
        <is>
          <t>gut</t>
        </is>
      </c>
      <c r="N102" s="19" t="n"/>
      <c r="O102" s="19" t="inlineStr">
        <is>
          <t>ja</t>
        </is>
      </c>
      <c r="P102" s="19" t="n"/>
      <c r="Q102" s="20" t="n"/>
      <c r="R102" s="20" t="n">
        <v>25</v>
      </c>
      <c r="S102" s="19" t="inlineStr">
        <is>
          <t>VHB</t>
        </is>
      </c>
      <c r="T102" s="21">
        <f>K102*R102</f>
        <v/>
      </c>
      <c r="U102" s="15" t="inlineStr">
        <is>
          <t>Versand möglich</t>
        </is>
      </c>
      <c r="V102" s="15" t="inlineStr">
        <is>
          <t>F-032</t>
        </is>
      </c>
      <c r="W102" s="19" t="inlineStr">
        <is>
          <t>ja</t>
        </is>
      </c>
      <c r="X102" s="19" t="n"/>
      <c r="Y102" s="19" t="inlineStr">
        <is>
          <t>verfügbar</t>
        </is>
      </c>
      <c r="Z102" s="19" t="n"/>
      <c r="AA102" s="19" t="n"/>
      <c r="AB102" s="19" t="n"/>
      <c r="AC102" s="20" t="n"/>
      <c r="AD102" s="21">
        <f>IF(J102="","",J102*AC102)</f>
        <v/>
      </c>
      <c r="AE102" s="19" t="n"/>
      <c r="AF102" s="19" t="n"/>
      <c r="AG102" s="19" t="n"/>
      <c r="AH102" s="19" t="n"/>
      <c r="AI102" s="19" t="n"/>
      <c r="AJ102" s="19" t="n"/>
      <c r="AK102" s="16" t="inlineStr">
        <is>
          <t>1 Stück im Bild</t>
        </is>
      </c>
      <c r="AL102" s="22" t="n"/>
    </row>
    <row r="103" ht="30" customHeight="1">
      <c r="A103" s="15" t="inlineStr">
        <is>
          <t>NE01-08</t>
        </is>
      </c>
      <c r="B103" s="15" t="inlineStr">
        <is>
          <t>K-053</t>
        </is>
      </c>
      <c r="C103" s="15" t="inlineStr">
        <is>
          <t>NE01</t>
        </is>
      </c>
      <c r="D103" s="15" t="inlineStr">
        <is>
          <t>Zamioculcas im Übertopf</t>
        </is>
      </c>
      <c r="E103" s="16" t="inlineStr">
        <is>
          <t>Glücksfeder, weißer Übertopf</t>
        </is>
      </c>
      <c r="F103" s="15" t="inlineStr">
        <is>
          <t>Pflanzen</t>
        </is>
      </c>
      <c r="G103" s="15" t="inlineStr">
        <is>
          <t>Flur</t>
        </is>
      </c>
      <c r="H103" s="15" t="inlineStr">
        <is>
          <t>C</t>
        </is>
      </c>
      <c r="I103" s="17" t="n">
        <v>1</v>
      </c>
      <c r="J103" s="17" t="n"/>
      <c r="K103" s="18">
        <f>I103-IF(J103="",0,J103)</f>
        <v/>
      </c>
      <c r="L103" s="15" t="inlineStr">
        <is>
          <t>Stück</t>
        </is>
      </c>
      <c r="M103" s="15" t="inlineStr">
        <is>
          <t>gut</t>
        </is>
      </c>
      <c r="N103" s="19" t="n"/>
      <c r="O103" s="19" t="inlineStr">
        <is>
          <t>ja</t>
        </is>
      </c>
      <c r="P103" s="19" t="n"/>
      <c r="Q103" s="20" t="n"/>
      <c r="R103" s="20" t="n">
        <v>60</v>
      </c>
      <c r="S103" s="19" t="inlineStr">
        <is>
          <t>VHB</t>
        </is>
      </c>
      <c r="T103" s="21">
        <f>K103*R103</f>
        <v/>
      </c>
      <c r="U103" s="15" t="inlineStr">
        <is>
          <t>nur Abholung</t>
        </is>
      </c>
      <c r="V103" s="15" t="inlineStr">
        <is>
          <t>F-033</t>
        </is>
      </c>
      <c r="W103" s="19" t="inlineStr">
        <is>
          <t>ja</t>
        </is>
      </c>
      <c r="X103" s="19" t="n"/>
      <c r="Y103" s="19" t="inlineStr">
        <is>
          <t>verfügbar</t>
        </is>
      </c>
      <c r="Z103" s="19" t="n"/>
      <c r="AA103" s="19" t="n"/>
      <c r="AB103" s="19" t="n"/>
      <c r="AC103" s="20" t="n"/>
      <c r="AD103" s="21">
        <f>IF(J103="","",J103*AC103)</f>
        <v/>
      </c>
      <c r="AE103" s="19" t="n"/>
      <c r="AF103" s="19" t="n"/>
      <c r="AG103" s="19" t="n"/>
      <c r="AH103" s="19" t="n"/>
      <c r="AI103" s="19" t="n"/>
      <c r="AJ103" s="19" t="n"/>
      <c r="AK103" s="16" t="inlineStr">
        <is>
          <t>1 Pflanze im Bild</t>
        </is>
      </c>
      <c r="AL103" s="22" t="n"/>
    </row>
    <row r="104" ht="30" customHeight="1">
      <c r="A104" s="15" t="inlineStr">
        <is>
          <t>NE01-09</t>
        </is>
      </c>
      <c r="B104" s="15" t="inlineStr">
        <is>
          <t>K-054</t>
        </is>
      </c>
      <c r="C104" s="15" t="inlineStr">
        <is>
          <t>NE01</t>
        </is>
      </c>
      <c r="D104" s="15" t="inlineStr">
        <is>
          <t>Wanddeko Fadenbild schwarz</t>
        </is>
      </c>
      <c r="E104" s="16" t="inlineStr">
        <is>
          <t>Schwarzes Fadenbild auf rundem Holzreif, zwei Größen</t>
        </is>
      </c>
      <c r="F104" s="15" t="inlineStr">
        <is>
          <t>Deko</t>
        </is>
      </c>
      <c r="G104" s="15" t="inlineStr">
        <is>
          <t>Flur</t>
        </is>
      </c>
      <c r="H104" s="15" t="inlineStr">
        <is>
          <t>C</t>
        </is>
      </c>
      <c r="I104" s="17" t="n">
        <v>2</v>
      </c>
      <c r="J104" s="17" t="n"/>
      <c r="K104" s="18">
        <f>I104-IF(J104="",0,J104)</f>
        <v/>
      </c>
      <c r="L104" s="15" t="inlineStr">
        <is>
          <t>Stück</t>
        </is>
      </c>
      <c r="M104" s="15" t="inlineStr">
        <is>
          <t>gut</t>
        </is>
      </c>
      <c r="N104" s="19" t="n"/>
      <c r="O104" s="19" t="inlineStr">
        <is>
          <t>ja</t>
        </is>
      </c>
      <c r="P104" s="19" t="n"/>
      <c r="Q104" s="20" t="n"/>
      <c r="R104" s="20" t="n">
        <v>35</v>
      </c>
      <c r="S104" s="19" t="inlineStr">
        <is>
          <t>VHB</t>
        </is>
      </c>
      <c r="T104" s="21">
        <f>K104*R104</f>
        <v/>
      </c>
      <c r="U104" s="15" t="inlineStr">
        <is>
          <t>Versand möglich</t>
        </is>
      </c>
      <c r="V104" s="15" t="inlineStr">
        <is>
          <t>F-034</t>
        </is>
      </c>
      <c r="W104" s="19" t="inlineStr">
        <is>
          <t>ja</t>
        </is>
      </c>
      <c r="X104" s="19" t="n"/>
      <c r="Y104" s="19" t="inlineStr">
        <is>
          <t>verfügbar</t>
        </is>
      </c>
      <c r="Z104" s="19" t="n"/>
      <c r="AA104" s="19" t="n"/>
      <c r="AB104" s="19" t="n"/>
      <c r="AC104" s="20" t="n"/>
      <c r="AD104" s="21">
        <f>IF(J104="","",J104*AC104)</f>
        <v/>
      </c>
      <c r="AE104" s="19" t="n"/>
      <c r="AF104" s="19" t="n"/>
      <c r="AG104" s="19" t="n"/>
      <c r="AH104" s="19" t="n"/>
      <c r="AI104" s="19" t="n"/>
      <c r="AJ104" s="19" t="n"/>
      <c r="AK104" s="16" t="inlineStr">
        <is>
          <t>2 Stück (klein und groß)</t>
        </is>
      </c>
      <c r="AL104" s="22" t="n"/>
    </row>
    <row r="105" ht="30" customHeight="1">
      <c r="A105" s="15" t="inlineStr">
        <is>
          <t>NE01-10</t>
        </is>
      </c>
      <c r="B105" s="15" t="inlineStr">
        <is>
          <t>K-055</t>
        </is>
      </c>
      <c r="C105" s="15" t="inlineStr">
        <is>
          <t>NE01</t>
        </is>
      </c>
      <c r="D105" s="15" t="inlineStr">
        <is>
          <t>Deckenleuchte Pusteblume</t>
        </is>
      </c>
      <c r="E105" s="16" t="inlineStr">
        <is>
          <t>IKEA Maskros, weiß, zwei Größen</t>
        </is>
      </c>
      <c r="F105" s="15" t="inlineStr">
        <is>
          <t>Leuchten</t>
        </is>
      </c>
      <c r="G105" s="15" t="inlineStr">
        <is>
          <t>Flur</t>
        </is>
      </c>
      <c r="H105" s="15" t="inlineStr">
        <is>
          <t>C</t>
        </is>
      </c>
      <c r="I105" s="17" t="n">
        <v>2</v>
      </c>
      <c r="J105" s="17" t="n"/>
      <c r="K105" s="18">
        <f>I105-IF(J105="",0,J105)</f>
        <v/>
      </c>
      <c r="L105" s="15" t="inlineStr">
        <is>
          <t>Stück</t>
        </is>
      </c>
      <c r="M105" s="15" t="inlineStr">
        <is>
          <t>gut</t>
        </is>
      </c>
      <c r="N105" s="19" t="n"/>
      <c r="O105" s="19" t="inlineStr">
        <is>
          <t>ja</t>
        </is>
      </c>
      <c r="P105" s="19" t="n"/>
      <c r="Q105" s="20" t="n"/>
      <c r="R105" s="20" t="n">
        <v>35</v>
      </c>
      <c r="S105" s="19" t="inlineStr">
        <is>
          <t>VHB</t>
        </is>
      </c>
      <c r="T105" s="21">
        <f>K105*R105</f>
        <v/>
      </c>
      <c r="U105" s="15" t="inlineStr">
        <is>
          <t>nur Abholung</t>
        </is>
      </c>
      <c r="V105" s="15" t="inlineStr">
        <is>
          <t>F-036</t>
        </is>
      </c>
      <c r="W105" s="19" t="inlineStr">
        <is>
          <t>ja</t>
        </is>
      </c>
      <c r="X105" s="19" t="n"/>
      <c r="Y105" s="19" t="inlineStr">
        <is>
          <t>verfügbar</t>
        </is>
      </c>
      <c r="Z105" s="19" t="n"/>
      <c r="AA105" s="19" t="n"/>
      <c r="AB105" s="19" t="n"/>
      <c r="AC105" s="20" t="n"/>
      <c r="AD105" s="21">
        <f>IF(J105="","",J105*AC105)</f>
        <v/>
      </c>
      <c r="AE105" s="19" t="n"/>
      <c r="AF105" s="19" t="n"/>
      <c r="AG105" s="19" t="n"/>
      <c r="AH105" s="19" t="n"/>
      <c r="AI105" s="19" t="n"/>
      <c r="AJ105" s="19" t="n"/>
      <c r="AK105" s="16" t="inlineStr">
        <is>
          <t>2 Stück (zwei Fotos, klein und groß)</t>
        </is>
      </c>
      <c r="AL105" s="22" t="n"/>
    </row>
    <row r="106" ht="30" customHeight="1">
      <c r="A106" s="15" t="inlineStr">
        <is>
          <t>NE01-11</t>
        </is>
      </c>
      <c r="B106" s="15" t="inlineStr">
        <is>
          <t>K-056</t>
        </is>
      </c>
      <c r="C106" s="15" t="inlineStr">
        <is>
          <t>NE01</t>
        </is>
      </c>
      <c r="D106" s="15" t="inlineStr">
        <is>
          <t>Gemälde Bollenhut-Mädchen</t>
        </is>
      </c>
      <c r="E106" s="16" t="inlineStr">
        <is>
          <t>Acryl auf Leinwand, ca. 60 x 80 cm - Eigenarbeit einer Privatperson</t>
        </is>
      </c>
      <c r="F106" s="15" t="inlineStr">
        <is>
          <t>Kunst</t>
        </is>
      </c>
      <c r="G106" s="15" t="inlineStr">
        <is>
          <t>Flur</t>
        </is>
      </c>
      <c r="H106" s="15" t="inlineStr">
        <is>
          <t>B</t>
        </is>
      </c>
      <c r="I106" s="17" t="n">
        <v>1</v>
      </c>
      <c r="J106" s="17" t="n"/>
      <c r="K106" s="18">
        <f>I106-IF(J106="",0,J106)</f>
        <v/>
      </c>
      <c r="L106" s="15" t="inlineStr">
        <is>
          <t>Stück</t>
        </is>
      </c>
      <c r="M106" s="15" t="inlineStr">
        <is>
          <t>gut</t>
        </is>
      </c>
      <c r="N106" s="19" t="n"/>
      <c r="O106" s="19" t="inlineStr">
        <is>
          <t>ja</t>
        </is>
      </c>
      <c r="P106" s="19" t="n"/>
      <c r="Q106" s="20" t="n"/>
      <c r="R106" s="20" t="n">
        <v>360</v>
      </c>
      <c r="S106" s="19" t="inlineStr">
        <is>
          <t>VHB</t>
        </is>
      </c>
      <c r="T106" s="21">
        <f>K106*R106</f>
        <v/>
      </c>
      <c r="U106" s="15" t="inlineStr">
        <is>
          <t>nur Abholung</t>
        </is>
      </c>
      <c r="V106" s="15" t="inlineStr">
        <is>
          <t>F-037</t>
        </is>
      </c>
      <c r="W106" s="19" t="inlineStr">
        <is>
          <t>ja</t>
        </is>
      </c>
      <c r="X106" s="19" t="n"/>
      <c r="Y106" s="19" t="inlineStr">
        <is>
          <t>verfügbar</t>
        </is>
      </c>
      <c r="Z106" s="19" t="n"/>
      <c r="AA106" s="19" t="n"/>
      <c r="AB106" s="19" t="n"/>
      <c r="AC106" s="20" t="n"/>
      <c r="AD106" s="21">
        <f>IF(J106="","",J106*AC106)</f>
        <v/>
      </c>
      <c r="AE106" s="19" t="n"/>
      <c r="AF106" s="19" t="n"/>
      <c r="AG106" s="19" t="n"/>
      <c r="AH106" s="19" t="n"/>
      <c r="AI106" s="19" t="n"/>
      <c r="AJ106" s="19" t="n"/>
      <c r="AK106" s="16" t="inlineStr">
        <is>
          <t>1 Bild im Bild</t>
        </is>
      </c>
      <c r="AL106" s="22" t="n"/>
    </row>
    <row r="107" ht="30" customHeight="1">
      <c r="A107" s="15" t="inlineStr">
        <is>
          <t>NE01-12</t>
        </is>
      </c>
      <c r="B107" s="15" t="inlineStr">
        <is>
          <t>K-057</t>
        </is>
      </c>
      <c r="C107" s="15" t="inlineStr">
        <is>
          <t>NE01</t>
        </is>
      </c>
      <c r="D107" s="15" t="inlineStr">
        <is>
          <t>Gemälde Fuchs mit Bollenhut</t>
        </is>
      </c>
      <c r="E107" s="16" t="inlineStr">
        <is>
          <t>Acryl auf Leinwand, ca. 80 x 100 cm - Eigenarbeit einer Privatperson</t>
        </is>
      </c>
      <c r="F107" s="15" t="inlineStr">
        <is>
          <t>Kunst</t>
        </is>
      </c>
      <c r="G107" s="15" t="inlineStr">
        <is>
          <t>Flur</t>
        </is>
      </c>
      <c r="H107" s="15" t="inlineStr">
        <is>
          <t>B</t>
        </is>
      </c>
      <c r="I107" s="17" t="n">
        <v>1</v>
      </c>
      <c r="J107" s="17" t="n"/>
      <c r="K107" s="18">
        <f>I107-IF(J107="",0,J107)</f>
        <v/>
      </c>
      <c r="L107" s="15" t="inlineStr">
        <is>
          <t>Stück</t>
        </is>
      </c>
      <c r="M107" s="15" t="inlineStr">
        <is>
          <t>gut</t>
        </is>
      </c>
      <c r="N107" s="19" t="n"/>
      <c r="O107" s="19" t="inlineStr">
        <is>
          <t>ja</t>
        </is>
      </c>
      <c r="P107" s="19" t="n"/>
      <c r="Q107" s="20" t="n"/>
      <c r="R107" s="20" t="n">
        <v>180</v>
      </c>
      <c r="S107" s="19" t="inlineStr">
        <is>
          <t>VHB</t>
        </is>
      </c>
      <c r="T107" s="21">
        <f>K107*R107</f>
        <v/>
      </c>
      <c r="U107" s="15" t="inlineStr">
        <is>
          <t>nur Abholung</t>
        </is>
      </c>
      <c r="V107" s="15" t="inlineStr">
        <is>
          <t>F-038</t>
        </is>
      </c>
      <c r="W107" s="19" t="inlineStr">
        <is>
          <t>ja</t>
        </is>
      </c>
      <c r="X107" s="19" t="n"/>
      <c r="Y107" s="19" t="inlineStr">
        <is>
          <t>verfügbar</t>
        </is>
      </c>
      <c r="Z107" s="19" t="n"/>
      <c r="AA107" s="19" t="n"/>
      <c r="AB107" s="19" t="n"/>
      <c r="AC107" s="20" t="n"/>
      <c r="AD107" s="21">
        <f>IF(J107="","",J107*AC107)</f>
        <v/>
      </c>
      <c r="AE107" s="19" t="n"/>
      <c r="AF107" s="19" t="n"/>
      <c r="AG107" s="19" t="n"/>
      <c r="AH107" s="19" t="n"/>
      <c r="AI107" s="19" t="n"/>
      <c r="AJ107" s="19" t="n"/>
      <c r="AK107" s="16" t="inlineStr">
        <is>
          <t>1 Bild im Bild</t>
        </is>
      </c>
      <c r="AL107" s="22" t="n"/>
    </row>
    <row r="108" ht="30" customHeight="1">
      <c r="A108" s="15" t="inlineStr">
        <is>
          <t>NE01-13</t>
        </is>
      </c>
      <c r="B108" s="15" t="inlineStr">
        <is>
          <t>K-058</t>
        </is>
      </c>
      <c r="C108" s="15" t="inlineStr">
        <is>
          <t>NE01</t>
        </is>
      </c>
      <c r="D108" s="15" t="inlineStr">
        <is>
          <t>Gemälde Panorama, 3 Figuren</t>
        </is>
      </c>
      <c r="E108" s="16" t="inlineStr">
        <is>
          <t>Acryl auf Leinwand, Querformat ca. 120 x 40 cm - Eigenarbeit einer Privatperson</t>
        </is>
      </c>
      <c r="F108" s="15" t="inlineStr">
        <is>
          <t>Kunst</t>
        </is>
      </c>
      <c r="G108" s="15" t="inlineStr">
        <is>
          <t>Flur</t>
        </is>
      </c>
      <c r="H108" s="15" t="inlineStr">
        <is>
          <t>B</t>
        </is>
      </c>
      <c r="I108" s="17" t="n">
        <v>1</v>
      </c>
      <c r="J108" s="17" t="n"/>
      <c r="K108" s="18">
        <f>I108-IF(J108="",0,J108)</f>
        <v/>
      </c>
      <c r="L108" s="15" t="inlineStr">
        <is>
          <t>Stück</t>
        </is>
      </c>
      <c r="M108" s="15" t="inlineStr">
        <is>
          <t>gut</t>
        </is>
      </c>
      <c r="N108" s="19" t="n"/>
      <c r="O108" s="19" t="inlineStr">
        <is>
          <t>ja</t>
        </is>
      </c>
      <c r="P108" s="19" t="n"/>
      <c r="Q108" s="20" t="n"/>
      <c r="R108" s="20" t="n">
        <v>120</v>
      </c>
      <c r="S108" s="19" t="inlineStr">
        <is>
          <t>VHB</t>
        </is>
      </c>
      <c r="T108" s="21">
        <f>K108*R108</f>
        <v/>
      </c>
      <c r="U108" s="15" t="inlineStr">
        <is>
          <t>nur Abholung</t>
        </is>
      </c>
      <c r="V108" s="15" t="inlineStr">
        <is>
          <t>F-040</t>
        </is>
      </c>
      <c r="W108" s="19" t="inlineStr">
        <is>
          <t>ja</t>
        </is>
      </c>
      <c r="X108" s="19" t="n"/>
      <c r="Y108" s="19" t="inlineStr">
        <is>
          <t>verfügbar</t>
        </is>
      </c>
      <c r="Z108" s="19" t="n"/>
      <c r="AA108" s="19" t="n"/>
      <c r="AB108" s="19" t="n"/>
      <c r="AC108" s="20" t="n"/>
      <c r="AD108" s="21">
        <f>IF(J108="","",J108*AC108)</f>
        <v/>
      </c>
      <c r="AE108" s="19" t="n"/>
      <c r="AF108" s="19" t="n"/>
      <c r="AG108" s="19" t="n"/>
      <c r="AH108" s="19" t="n"/>
      <c r="AI108" s="19" t="n"/>
      <c r="AJ108" s="19" t="n"/>
      <c r="AK108" s="16" t="inlineStr">
        <is>
          <t>1 Bild im Bild</t>
        </is>
      </c>
      <c r="AL108" s="22" t="n"/>
    </row>
    <row r="109" ht="30" customHeight="1">
      <c r="A109" s="15" t="inlineStr">
        <is>
          <t>NE01-14</t>
        </is>
      </c>
      <c r="B109" s="15" t="inlineStr">
        <is>
          <t>K-059</t>
        </is>
      </c>
      <c r="C109" s="15" t="inlineStr">
        <is>
          <t>NE01</t>
        </is>
      </c>
      <c r="D109" s="15" t="inlineStr">
        <is>
          <t>Gemälde Panorama, 5 Figuren</t>
        </is>
      </c>
      <c r="E109" s="16" t="inlineStr">
        <is>
          <t>Acryl auf Leinwand, Querformat - Eigenarbeit einer Privatperson</t>
        </is>
      </c>
      <c r="F109" s="15" t="inlineStr">
        <is>
          <t>Kunst</t>
        </is>
      </c>
      <c r="G109" s="15" t="inlineStr">
        <is>
          <t>Flur</t>
        </is>
      </c>
      <c r="H109" s="15" t="inlineStr">
        <is>
          <t>B</t>
        </is>
      </c>
      <c r="I109" s="17" t="n">
        <v>1</v>
      </c>
      <c r="J109" s="17" t="n"/>
      <c r="K109" s="18">
        <f>I109-IF(J109="",0,J109)</f>
        <v/>
      </c>
      <c r="L109" s="15" t="inlineStr">
        <is>
          <t>Stück</t>
        </is>
      </c>
      <c r="M109" s="15" t="inlineStr">
        <is>
          <t>gut</t>
        </is>
      </c>
      <c r="N109" s="19" t="n"/>
      <c r="O109" s="19" t="inlineStr">
        <is>
          <t>ja</t>
        </is>
      </c>
      <c r="P109" s="19" t="n"/>
      <c r="Q109" s="20" t="n"/>
      <c r="R109" s="20" t="n">
        <v>120</v>
      </c>
      <c r="S109" s="19" t="inlineStr">
        <is>
          <t>VHB</t>
        </is>
      </c>
      <c r="T109" s="21">
        <f>K109*R109</f>
        <v/>
      </c>
      <c r="U109" s="15" t="inlineStr">
        <is>
          <t>nur Abholung</t>
        </is>
      </c>
      <c r="V109" s="15" t="inlineStr">
        <is>
          <t>F-041</t>
        </is>
      </c>
      <c r="W109" s="19" t="inlineStr">
        <is>
          <t>ja</t>
        </is>
      </c>
      <c r="X109" s="19" t="n"/>
      <c r="Y109" s="19" t="inlineStr">
        <is>
          <t>verfügbar</t>
        </is>
      </c>
      <c r="Z109" s="19" t="n"/>
      <c r="AA109" s="19" t="n"/>
      <c r="AB109" s="19" t="n"/>
      <c r="AC109" s="20" t="n"/>
      <c r="AD109" s="21">
        <f>IF(J109="","",J109*AC109)</f>
        <v/>
      </c>
      <c r="AE109" s="19" t="n"/>
      <c r="AF109" s="19" t="n"/>
      <c r="AG109" s="19" t="n"/>
      <c r="AH109" s="19" t="n"/>
      <c r="AI109" s="19" t="n"/>
      <c r="AJ109" s="19" t="n"/>
      <c r="AK109" s="16" t="inlineStr">
        <is>
          <t>1 Bild im Bild</t>
        </is>
      </c>
      <c r="AL109" s="22" t="n"/>
    </row>
    <row r="110" ht="30" customHeight="1">
      <c r="A110" s="15" t="inlineStr">
        <is>
          <t>NE01-15</t>
        </is>
      </c>
      <c r="B110" s="15" t="inlineStr">
        <is>
          <t>K-066</t>
        </is>
      </c>
      <c r="C110" s="15" t="inlineStr">
        <is>
          <t>NE01</t>
        </is>
      </c>
      <c r="D110" s="15" t="inlineStr">
        <is>
          <t>Deko-Tannenbaum schwarz</t>
        </is>
      </c>
      <c r="E110" s="16" t="inlineStr">
        <is>
          <t>Metall-Tannenbaum auf Holzsockel, schwarz, verschiedene Größen</t>
        </is>
      </c>
      <c r="F110" s="15" t="inlineStr">
        <is>
          <t>Deko</t>
        </is>
      </c>
      <c r="G110" s="15" t="inlineStr">
        <is>
          <t>Flur</t>
        </is>
      </c>
      <c r="H110" s="15" t="inlineStr">
        <is>
          <t>C</t>
        </is>
      </c>
      <c r="I110" s="17" t="n">
        <v>3</v>
      </c>
      <c r="J110" s="17" t="n"/>
      <c r="K110" s="18">
        <f>I110-IF(J110="",0,J110)</f>
        <v/>
      </c>
      <c r="L110" s="15" t="inlineStr">
        <is>
          <t>Stück</t>
        </is>
      </c>
      <c r="M110" s="15" t="inlineStr">
        <is>
          <t>gut</t>
        </is>
      </c>
      <c r="N110" s="19" t="n"/>
      <c r="O110" s="19" t="inlineStr">
        <is>
          <t>ja</t>
        </is>
      </c>
      <c r="P110" s="19" t="n"/>
      <c r="Q110" s="20" t="n"/>
      <c r="R110" s="20" t="n">
        <v>25</v>
      </c>
      <c r="S110" s="19" t="inlineStr">
        <is>
          <t>VHB</t>
        </is>
      </c>
      <c r="T110" s="21">
        <f>K110*R110</f>
        <v/>
      </c>
      <c r="U110" s="15" t="inlineStr">
        <is>
          <t>Versand möglich</t>
        </is>
      </c>
      <c r="V110" s="15" t="inlineStr">
        <is>
          <t>F-072</t>
        </is>
      </c>
      <c r="W110" s="19" t="inlineStr">
        <is>
          <t>ja</t>
        </is>
      </c>
      <c r="X110" s="19" t="n"/>
      <c r="Y110" s="19" t="inlineStr">
        <is>
          <t>verfügbar</t>
        </is>
      </c>
      <c r="Z110" s="19" t="n"/>
      <c r="AA110" s="19" t="n"/>
      <c r="AB110" s="19" t="n"/>
      <c r="AC110" s="20" t="n"/>
      <c r="AD110" s="21">
        <f>IF(J110="","",J110*AC110)</f>
        <v/>
      </c>
      <c r="AE110" s="19" t="n"/>
      <c r="AF110" s="19" t="n"/>
      <c r="AG110" s="19" t="n"/>
      <c r="AH110" s="19" t="n"/>
      <c r="AI110" s="19" t="n"/>
      <c r="AJ110" s="19" t="n"/>
      <c r="AK110" s="16" t="inlineStr">
        <is>
          <t>3 Stück im Bild</t>
        </is>
      </c>
      <c r="AL110" s="22" t="n"/>
    </row>
    <row r="111" ht="30" customHeight="1">
      <c r="A111" s="15" t="inlineStr">
        <is>
          <t>NE01-16</t>
        </is>
      </c>
      <c r="B111" s="15" t="inlineStr">
        <is>
          <t>K-068</t>
        </is>
      </c>
      <c r="C111" s="15" t="inlineStr">
        <is>
          <t>NE01</t>
        </is>
      </c>
      <c r="D111" s="15" t="inlineStr">
        <is>
          <t>Pflanze mit Topf</t>
        </is>
      </c>
      <c r="E111" s="16" t="inlineStr">
        <is>
          <t>Stoffschirm schwarz-weiß gemustert mit Fransenbesatz</t>
        </is>
      </c>
      <c r="F111" s="15" t="inlineStr">
        <is>
          <t>Pflanzen</t>
        </is>
      </c>
      <c r="G111" s="15" t="inlineStr">
        <is>
          <t>Flur</t>
        </is>
      </c>
      <c r="H111" s="15" t="inlineStr">
        <is>
          <t>C</t>
        </is>
      </c>
      <c r="I111" s="17" t="n">
        <v>1</v>
      </c>
      <c r="J111" s="17" t="n"/>
      <c r="K111" s="18">
        <f>I111-IF(J111="",0,J111)</f>
        <v/>
      </c>
      <c r="L111" s="15" t="inlineStr">
        <is>
          <t>Stück</t>
        </is>
      </c>
      <c r="M111" s="15" t="inlineStr">
        <is>
          <t>gut</t>
        </is>
      </c>
      <c r="N111" s="19" t="n"/>
      <c r="O111" s="19" t="inlineStr">
        <is>
          <t>ja</t>
        </is>
      </c>
      <c r="P111" s="19" t="n"/>
      <c r="Q111" s="20" t="n"/>
      <c r="R111" s="20" t="n">
        <v>20</v>
      </c>
      <c r="S111" s="19" t="inlineStr">
        <is>
          <t>VHB</t>
        </is>
      </c>
      <c r="T111" s="21">
        <f>K111*R111</f>
        <v/>
      </c>
      <c r="U111" s="15" t="inlineStr">
        <is>
          <t>nur Abholung</t>
        </is>
      </c>
      <c r="V111" s="15" t="inlineStr">
        <is>
          <t>F-073</t>
        </is>
      </c>
      <c r="W111" s="19" t="inlineStr">
        <is>
          <t>ja</t>
        </is>
      </c>
      <c r="X111" s="19" t="n"/>
      <c r="Y111" s="19" t="inlineStr">
        <is>
          <t>verfügbar</t>
        </is>
      </c>
      <c r="Z111" s="19" t="n"/>
      <c r="AA111" s="19" t="n"/>
      <c r="AB111" s="19" t="n"/>
      <c r="AC111" s="20" t="n"/>
      <c r="AD111" s="21">
        <f>IF(J111="","",J111*AC111)</f>
        <v/>
      </c>
      <c r="AE111" s="19" t="n"/>
      <c r="AF111" s="19" t="n"/>
      <c r="AG111" s="19" t="n"/>
      <c r="AH111" s="19" t="n"/>
      <c r="AI111" s="19" t="n"/>
      <c r="AJ111" s="19" t="n"/>
      <c r="AK111" s="16" t="inlineStr">
        <is>
          <t>2 Stück im Bild</t>
        </is>
      </c>
      <c r="AL111" s="22" t="n"/>
    </row>
    <row r="112" ht="30" customHeight="1">
      <c r="A112" s="15" t="inlineStr">
        <is>
          <t>NE05-01</t>
        </is>
      </c>
      <c r="B112" s="15" t="inlineStr">
        <is>
          <t>K-023</t>
        </is>
      </c>
      <c r="C112" s="15" t="inlineStr">
        <is>
          <t>NE05</t>
        </is>
      </c>
      <c r="D112" s="15" t="inlineStr">
        <is>
          <t>Massivholztisch mit Baumkante, Essbereich</t>
        </is>
      </c>
      <c r="E112" s="16" t="inlineStr">
        <is>
          <t>Massivholzplatte mit Baumkante, schwarzes Metallgestell mit Messingfüßen</t>
        </is>
      </c>
      <c r="F112" s="15" t="inlineStr">
        <is>
          <t>Möbel</t>
        </is>
      </c>
      <c r="G112" s="15" t="inlineStr">
        <is>
          <t>Speisesaal</t>
        </is>
      </c>
      <c r="H112" s="15" t="inlineStr">
        <is>
          <t>A</t>
        </is>
      </c>
      <c r="I112" s="17" t="n">
        <v>4</v>
      </c>
      <c r="J112" s="17" t="n"/>
      <c r="K112" s="18">
        <f>I112-IF(J112="",0,J112)</f>
        <v/>
      </c>
      <c r="L112" s="15" t="inlineStr">
        <is>
          <t>Stück</t>
        </is>
      </c>
      <c r="M112" s="15" t="inlineStr">
        <is>
          <t>gut</t>
        </is>
      </c>
      <c r="N112" s="19" t="n"/>
      <c r="O112" s="19" t="inlineStr">
        <is>
          <t>ja</t>
        </is>
      </c>
      <c r="P112" s="19" t="n"/>
      <c r="Q112" s="20" t="n"/>
      <c r="R112" s="20" t="n">
        <v>450</v>
      </c>
      <c r="S112" s="19" t="inlineStr">
        <is>
          <t>VHB</t>
        </is>
      </c>
      <c r="T112" s="21">
        <f>K112*R112</f>
        <v/>
      </c>
      <c r="U112" s="15" t="inlineStr">
        <is>
          <t>nur Abholung</t>
        </is>
      </c>
      <c r="V112" s="15" t="inlineStr">
        <is>
          <t>F-016</t>
        </is>
      </c>
      <c r="W112" s="19" t="inlineStr">
        <is>
          <t>ja</t>
        </is>
      </c>
      <c r="X112" s="19" t="n"/>
      <c r="Y112" s="19" t="inlineStr">
        <is>
          <t>verfügbar</t>
        </is>
      </c>
      <c r="Z112" s="19" t="n"/>
      <c r="AA112" s="19" t="n"/>
      <c r="AB112" s="19" t="n"/>
      <c r="AC112" s="20" t="n"/>
      <c r="AD112" s="21">
        <f>IF(J112="","",J112*AC112)</f>
        <v/>
      </c>
      <c r="AE112" s="19" t="n"/>
      <c r="AF112" s="19" t="n"/>
      <c r="AG112" s="19" t="n"/>
      <c r="AH112" s="19" t="n"/>
      <c r="AI112" s="19" t="n"/>
      <c r="AJ112" s="19" t="n"/>
      <c r="AK112" s="16" t="inlineStr">
        <is>
          <t>mindestens 4 Tische im Bild - bitte nachzählen</t>
        </is>
      </c>
      <c r="AL112" s="22" t="n"/>
    </row>
    <row r="113" ht="30" customHeight="1">
      <c r="A113" s="15" t="inlineStr">
        <is>
          <t>NE05-02</t>
        </is>
      </c>
      <c r="B113" s="15" t="inlineStr">
        <is>
          <t>K-024</t>
        </is>
      </c>
      <c r="C113" s="15" t="inlineStr">
        <is>
          <t>NE05</t>
        </is>
      </c>
      <c r="D113" s="15" t="inlineStr">
        <is>
          <t>Sitzbank Massivholz</t>
        </is>
      </c>
      <c r="E113" s="16" t="inlineStr">
        <is>
          <t>Passend zu den Baumkantentischen, Massivholz mit Metallgestell</t>
        </is>
      </c>
      <c r="F113" s="15" t="inlineStr">
        <is>
          <t>Möbel</t>
        </is>
      </c>
      <c r="G113" s="15" t="inlineStr">
        <is>
          <t>Speisesaal</t>
        </is>
      </c>
      <c r="H113" s="15" t="inlineStr">
        <is>
          <t>B</t>
        </is>
      </c>
      <c r="I113" s="17" t="n">
        <v>2</v>
      </c>
      <c r="J113" s="17" t="n"/>
      <c r="K113" s="18">
        <f>I113-IF(J113="",0,J113)</f>
        <v/>
      </c>
      <c r="L113" s="15" t="inlineStr">
        <is>
          <t>Stück</t>
        </is>
      </c>
      <c r="M113" s="15" t="inlineStr">
        <is>
          <t>gut</t>
        </is>
      </c>
      <c r="N113" s="19" t="n"/>
      <c r="O113" s="19" t="inlineStr">
        <is>
          <t>ja</t>
        </is>
      </c>
      <c r="P113" s="19" t="n"/>
      <c r="Q113" s="20" t="n"/>
      <c r="R113" s="20" t="n">
        <v>250</v>
      </c>
      <c r="S113" s="19" t="inlineStr">
        <is>
          <t>VHB</t>
        </is>
      </c>
      <c r="T113" s="21">
        <f>K113*R113</f>
        <v/>
      </c>
      <c r="U113" s="15" t="inlineStr">
        <is>
          <t>nur Abholung</t>
        </is>
      </c>
      <c r="V113" s="15" t="inlineStr">
        <is>
          <t>F-016</t>
        </is>
      </c>
      <c r="W113" s="19" t="inlineStr">
        <is>
          <t>ja</t>
        </is>
      </c>
      <c r="X113" s="19" t="n"/>
      <c r="Y113" s="19" t="inlineStr">
        <is>
          <t>verfügbar</t>
        </is>
      </c>
      <c r="Z113" s="19" t="n"/>
      <c r="AA113" s="19" t="n"/>
      <c r="AB113" s="19" t="n"/>
      <c r="AC113" s="20" t="n"/>
      <c r="AD113" s="21">
        <f>IF(J113="","",J113*AC113)</f>
        <v/>
      </c>
      <c r="AE113" s="19" t="n"/>
      <c r="AF113" s="19" t="n"/>
      <c r="AG113" s="19" t="n"/>
      <c r="AH113" s="19" t="n"/>
      <c r="AI113" s="19" t="n"/>
      <c r="AJ113" s="19" t="n"/>
      <c r="AK113" s="16" t="inlineStr">
        <is>
          <t>2 Bänke im Bild erkennbar</t>
        </is>
      </c>
      <c r="AL113" s="22" t="n"/>
    </row>
    <row r="114" ht="30" customHeight="1">
      <c r="A114" s="15" t="inlineStr">
        <is>
          <t>NE05-03</t>
        </is>
      </c>
      <c r="B114" s="15" t="inlineStr">
        <is>
          <t>K-028</t>
        </is>
      </c>
      <c r="C114" s="15" t="inlineStr">
        <is>
          <t>NE05</t>
        </is>
      </c>
      <c r="D114" s="15" t="inlineStr">
        <is>
          <t>Kuckucksuhr groß, geschnitzt</t>
        </is>
      </c>
      <c r="E114" s="16" t="inlineStr">
        <is>
          <t>Schwarzwälder Kuckucksuhr, aufwendig geschnitzt mit Hirschkopf, Eulen und Jagdhorn</t>
        </is>
      </c>
      <c r="F114" s="15" t="inlineStr">
        <is>
          <t>Uhren</t>
        </is>
      </c>
      <c r="G114" s="15" t="inlineStr">
        <is>
          <t>Speisesaal</t>
        </is>
      </c>
      <c r="H114" s="15" t="inlineStr">
        <is>
          <t>A</t>
        </is>
      </c>
      <c r="I114" s="17" t="n">
        <v>1</v>
      </c>
      <c r="J114" s="17" t="n"/>
      <c r="K114" s="18">
        <f>I114-IF(J114="",0,J114)</f>
        <v/>
      </c>
      <c r="L114" s="15" t="inlineStr">
        <is>
          <t>Stück</t>
        </is>
      </c>
      <c r="M114" s="15" t="inlineStr">
        <is>
          <t>gut</t>
        </is>
      </c>
      <c r="N114" s="19" t="n"/>
      <c r="O114" s="19" t="inlineStr">
        <is>
          <t>ja</t>
        </is>
      </c>
      <c r="P114" s="19" t="n"/>
      <c r="Q114" s="20" t="n"/>
      <c r="R114" s="20" t="n">
        <v>550</v>
      </c>
      <c r="S114" s="19" t="inlineStr">
        <is>
          <t>VHB</t>
        </is>
      </c>
      <c r="T114" s="21">
        <f>K114*R114</f>
        <v/>
      </c>
      <c r="U114" s="15" t="inlineStr">
        <is>
          <t>nur Abholung</t>
        </is>
      </c>
      <c r="V114" s="15" t="inlineStr">
        <is>
          <t>F-017</t>
        </is>
      </c>
      <c r="W114" s="19" t="inlineStr">
        <is>
          <t>ja</t>
        </is>
      </c>
      <c r="X114" s="19" t="n"/>
      <c r="Y114" s="19" t="inlineStr">
        <is>
          <t>verfügbar</t>
        </is>
      </c>
      <c r="Z114" s="19" t="n"/>
      <c r="AA114" s="19" t="n"/>
      <c r="AB114" s="19" t="n"/>
      <c r="AC114" s="20" t="n"/>
      <c r="AD114" s="21">
        <f>IF(J114="","",J114*AC114)</f>
        <v/>
      </c>
      <c r="AE114" s="19" t="n"/>
      <c r="AF114" s="19" t="n"/>
      <c r="AG114" s="19" t="n"/>
      <c r="AH114" s="19" t="n"/>
      <c r="AI114" s="19" t="n"/>
      <c r="AJ114" s="19" t="n"/>
      <c r="AK114" s="16" t="inlineStr">
        <is>
          <t>1 Stück im Bild</t>
        </is>
      </c>
      <c r="AL114" s="22" t="n"/>
    </row>
    <row r="115" ht="30" customHeight="1">
      <c r="A115" s="15" t="inlineStr">
        <is>
          <t>NU01-01</t>
        </is>
      </c>
      <c r="B115" s="15" t="inlineStr">
        <is>
          <t>K-031</t>
        </is>
      </c>
      <c r="C115" s="15" t="inlineStr">
        <is>
          <t>NU01</t>
        </is>
      </c>
      <c r="D115" s="15" t="inlineStr">
        <is>
          <t>Vitra Alcove Sofa, rot</t>
        </is>
      </c>
      <c r="E115" s="16" t="inlineStr">
        <is>
          <t>Vitra Alcove, Design Ronan &amp; Erwan Bouroullec, rot, hohe Rückenwände, Chrombeine</t>
        </is>
      </c>
      <c r="F115" s="15" t="inlineStr">
        <is>
          <t>Designmöbel</t>
        </is>
      </c>
      <c r="G115" s="15" t="inlineStr">
        <is>
          <t>Flur</t>
        </is>
      </c>
      <c r="H115" s="15" t="inlineStr">
        <is>
          <t>A</t>
        </is>
      </c>
      <c r="I115" s="17" t="n">
        <v>2</v>
      </c>
      <c r="J115" s="17" t="n"/>
      <c r="K115" s="18">
        <f>I115-IF(J115="",0,J115)</f>
        <v/>
      </c>
      <c r="L115" s="15" t="inlineStr">
        <is>
          <t>Stück</t>
        </is>
      </c>
      <c r="M115" s="15" t="inlineStr">
        <is>
          <t>gut</t>
        </is>
      </c>
      <c r="N115" s="19" t="n"/>
      <c r="O115" s="19" t="inlineStr">
        <is>
          <t>ja</t>
        </is>
      </c>
      <c r="P115" s="19" t="n"/>
      <c r="Q115" s="20" t="n"/>
      <c r="R115" s="20" t="n">
        <v>1600</v>
      </c>
      <c r="S115" s="19" t="inlineStr">
        <is>
          <t>VHB</t>
        </is>
      </c>
      <c r="T115" s="21">
        <f>K115*R115</f>
        <v/>
      </c>
      <c r="U115" s="15" t="inlineStr">
        <is>
          <t>nur Abholung</t>
        </is>
      </c>
      <c r="V115" s="15" t="inlineStr">
        <is>
          <t>F-019</t>
        </is>
      </c>
      <c r="W115" s="19" t="inlineStr">
        <is>
          <t>ja</t>
        </is>
      </c>
      <c r="X115" s="19" t="n"/>
      <c r="Y115" s="19" t="inlineStr">
        <is>
          <t>verfügbar</t>
        </is>
      </c>
      <c r="Z115" s="19" t="inlineStr">
        <is>
          <t>Vitra</t>
        </is>
      </c>
      <c r="AA115" s="19" t="n"/>
      <c r="AB115" s="19" t="n"/>
      <c r="AC115" s="20" t="n"/>
      <c r="AD115" s="21">
        <f>IF(J115="","",J115*AC115)</f>
        <v/>
      </c>
      <c r="AE115" s="19" t="n"/>
      <c r="AF115" s="19" t="n"/>
      <c r="AG115" s="19" t="n"/>
      <c r="AH115" s="19" t="n"/>
      <c r="AI115" s="19" t="n"/>
      <c r="AJ115" s="19" t="n"/>
      <c r="AK115" s="16" t="inlineStr">
        <is>
          <t>2 Elemente im Bild - bitte prüfen ob 3</t>
        </is>
      </c>
      <c r="AL115" s="22" t="n"/>
    </row>
    <row r="116" ht="30" customHeight="1">
      <c r="A116" s="15" t="inlineStr">
        <is>
          <t>NU01-02</t>
        </is>
      </c>
      <c r="B116" s="15" t="inlineStr">
        <is>
          <t>K-034</t>
        </is>
      </c>
      <c r="C116" s="15" t="inlineStr">
        <is>
          <t>NU01</t>
        </is>
      </c>
      <c r="D116" s="15" t="inlineStr">
        <is>
          <t>Kuckucksuhr, Wandgruppe</t>
        </is>
      </c>
      <c r="E116" s="16" t="inlineStr">
        <is>
          <t>Schwarzwälder Kuckucksuhren verschiedener Größe und Ausführung</t>
        </is>
      </c>
      <c r="F116" s="15" t="inlineStr">
        <is>
          <t>Uhren</t>
        </is>
      </c>
      <c r="G116" s="15" t="inlineStr">
        <is>
          <t>Flur</t>
        </is>
      </c>
      <c r="H116" s="15" t="inlineStr">
        <is>
          <t>A</t>
        </is>
      </c>
      <c r="I116" s="17" t="n">
        <v>5</v>
      </c>
      <c r="J116" s="17" t="n"/>
      <c r="K116" s="18">
        <f>I116-IF(J116="",0,J116)</f>
        <v/>
      </c>
      <c r="L116" s="15" t="inlineStr">
        <is>
          <t>Stück</t>
        </is>
      </c>
      <c r="M116" s="15" t="inlineStr">
        <is>
          <t>gut</t>
        </is>
      </c>
      <c r="N116" s="19" t="n"/>
      <c r="O116" s="19" t="inlineStr">
        <is>
          <t>ja</t>
        </is>
      </c>
      <c r="P116" s="19" t="n"/>
      <c r="Q116" s="20" t="n"/>
      <c r="R116" s="20" t="n">
        <v>150</v>
      </c>
      <c r="S116" s="19" t="inlineStr">
        <is>
          <t>VHB</t>
        </is>
      </c>
      <c r="T116" s="21">
        <f>K116*R116</f>
        <v/>
      </c>
      <c r="U116" s="15" t="inlineStr">
        <is>
          <t>Versand möglich</t>
        </is>
      </c>
      <c r="V116" s="15" t="inlineStr">
        <is>
          <t>F-109</t>
        </is>
      </c>
      <c r="W116" s="19" t="inlineStr">
        <is>
          <t>ja</t>
        </is>
      </c>
      <c r="X116" s="19" t="n"/>
      <c r="Y116" s="19" t="inlineStr">
        <is>
          <t>verfügbar</t>
        </is>
      </c>
      <c r="Z116" s="19" t="n"/>
      <c r="AA116" s="19" t="n"/>
      <c r="AB116" s="19" t="n"/>
      <c r="AC116" s="20" t="n"/>
      <c r="AD116" s="21">
        <f>IF(J116="","",J116*AC116)</f>
        <v/>
      </c>
      <c r="AE116" s="19" t="n"/>
      <c r="AF116" s="19" t="n"/>
      <c r="AG116" s="19" t="n"/>
      <c r="AH116" s="19" t="n"/>
      <c r="AI116" s="19" t="n"/>
      <c r="AJ116" s="19" t="n"/>
      <c r="AK116" s="16" t="inlineStr">
        <is>
          <t>5 Uhren im Bild - bitte nachzählen</t>
        </is>
      </c>
      <c r="AL116" s="22" t="n"/>
    </row>
    <row r="117" ht="30" customHeight="1">
      <c r="A117" s="15" t="inlineStr">
        <is>
          <t>NU01-03</t>
        </is>
      </c>
      <c r="B117" s="15" t="inlineStr">
        <is>
          <t>K-035</t>
        </is>
      </c>
      <c r="C117" s="15" t="inlineStr">
        <is>
          <t>NU01</t>
        </is>
      </c>
      <c r="D117" s="15" t="inlineStr">
        <is>
          <t>Dekoration in der Vitrine</t>
        </is>
      </c>
      <c r="E117" s="16" t="inlineStr">
        <is>
          <t>Dekoration in der Vitrine</t>
        </is>
      </c>
      <c r="F117" s="15" t="inlineStr">
        <is>
          <t>Deko</t>
        </is>
      </c>
      <c r="G117" s="15" t="inlineStr">
        <is>
          <t>Flur</t>
        </is>
      </c>
      <c r="H117" s="15" t="inlineStr">
        <is>
          <t>B</t>
        </is>
      </c>
      <c r="I117" s="17" t="n">
        <v>1</v>
      </c>
      <c r="J117" s="17" t="n"/>
      <c r="K117" s="18">
        <f>I117-IF(J117="",0,J117)</f>
        <v/>
      </c>
      <c r="L117" s="15" t="inlineStr">
        <is>
          <t>Stück</t>
        </is>
      </c>
      <c r="M117" s="15" t="inlineStr">
        <is>
          <t>gut</t>
        </is>
      </c>
      <c r="N117" s="19" t="n"/>
      <c r="O117" s="19" t="inlineStr">
        <is>
          <t>ja</t>
        </is>
      </c>
      <c r="P117" s="19" t="n"/>
      <c r="Q117" s="20" t="n"/>
      <c r="R117" s="20" t="n">
        <v>50</v>
      </c>
      <c r="S117" s="19" t="inlineStr">
        <is>
          <t>VHB</t>
        </is>
      </c>
      <c r="T117" s="21">
        <f>K117*R117</f>
        <v/>
      </c>
      <c r="U117" s="15" t="inlineStr">
        <is>
          <t>nur Abholung</t>
        </is>
      </c>
      <c r="V117" s="15" t="inlineStr">
        <is>
          <t>F-110</t>
        </is>
      </c>
      <c r="W117" s="19" t="inlineStr">
        <is>
          <t>ja</t>
        </is>
      </c>
      <c r="X117" s="19" t="inlineStr">
        <is>
          <t>ja</t>
        </is>
      </c>
      <c r="Y117" s="19" t="inlineStr">
        <is>
          <t>verfügbar</t>
        </is>
      </c>
      <c r="Z117" s="19" t="n"/>
      <c r="AA117" s="19" t="n"/>
      <c r="AB117" s="19" t="n"/>
      <c r="AC117" s="20" t="n"/>
      <c r="AD117" s="21">
        <f>IF(J117="","",J117*AC117)</f>
        <v/>
      </c>
      <c r="AE117" s="19" t="n"/>
      <c r="AF117" s="19" t="n"/>
      <c r="AG117" s="19" t="n"/>
      <c r="AH117" s="19" t="n"/>
      <c r="AI117" s="19" t="n"/>
      <c r="AJ117" s="19" t="n"/>
      <c r="AK117" s="16" t="inlineStr">
        <is>
          <t>1 Stück im Bild (Inhalt nicht enthalten)</t>
        </is>
      </c>
      <c r="AL117" s="22" t="n"/>
    </row>
    <row r="118" ht="30" customHeight="1">
      <c r="A118" s="15" t="inlineStr">
        <is>
          <t>NU01-04</t>
        </is>
      </c>
      <c r="B118" s="15" t="inlineStr">
        <is>
          <t>K-060</t>
        </is>
      </c>
      <c r="C118" s="15" t="inlineStr">
        <is>
          <t>NU01</t>
        </is>
      </c>
      <c r="D118" s="15" t="inlineStr">
        <is>
          <t>Gemälde Heimweh</t>
        </is>
      </c>
      <c r="E118" s="16" t="inlineStr">
        <is>
          <t>Acryl auf Leinwand, großformatig ca. 100 x 140 cm - Eigenarbeit einer Privatperson</t>
        </is>
      </c>
      <c r="F118" s="15" t="inlineStr">
        <is>
          <t>Kunst</t>
        </is>
      </c>
      <c r="G118" s="15" t="inlineStr">
        <is>
          <t>Flur</t>
        </is>
      </c>
      <c r="H118" s="15" t="inlineStr">
        <is>
          <t>B</t>
        </is>
      </c>
      <c r="I118" s="17" t="n">
        <v>1</v>
      </c>
      <c r="J118" s="17" t="n"/>
      <c r="K118" s="18">
        <f>I118-IF(J118="",0,J118)</f>
        <v/>
      </c>
      <c r="L118" s="15" t="inlineStr">
        <is>
          <t>Stück</t>
        </is>
      </c>
      <c r="M118" s="15" t="inlineStr">
        <is>
          <t>gut</t>
        </is>
      </c>
      <c r="N118" s="19" t="n"/>
      <c r="O118" s="19" t="inlineStr">
        <is>
          <t>ja</t>
        </is>
      </c>
      <c r="P118" s="19" t="n"/>
      <c r="Q118" s="20" t="n"/>
      <c r="R118" s="20" t="n">
        <v>450</v>
      </c>
      <c r="S118" s="19" t="inlineStr">
        <is>
          <t>VHB</t>
        </is>
      </c>
      <c r="T118" s="21">
        <f>K118*R118</f>
        <v/>
      </c>
      <c r="U118" s="15" t="inlineStr">
        <is>
          <t>nur Abholung</t>
        </is>
      </c>
      <c r="V118" s="15" t="inlineStr">
        <is>
          <t>F-049</t>
        </is>
      </c>
      <c r="W118" s="19" t="inlineStr">
        <is>
          <t>ja</t>
        </is>
      </c>
      <c r="X118" s="19" t="n"/>
      <c r="Y118" s="19" t="inlineStr">
        <is>
          <t>verfügbar</t>
        </is>
      </c>
      <c r="Z118" s="19" t="n"/>
      <c r="AA118" s="19" t="n"/>
      <c r="AB118" s="19" t="n"/>
      <c r="AC118" s="20" t="n"/>
      <c r="AD118" s="21">
        <f>IF(J118="","",J118*AC118)</f>
        <v/>
      </c>
      <c r="AE118" s="19" t="n"/>
      <c r="AF118" s="19" t="n"/>
      <c r="AG118" s="19" t="n"/>
      <c r="AH118" s="19" t="n"/>
      <c r="AI118" s="19" t="n"/>
      <c r="AJ118" s="19" t="n"/>
      <c r="AK118" s="16" t="inlineStr">
        <is>
          <t>1 Bild im Bild</t>
        </is>
      </c>
      <c r="AL118" s="22" t="n"/>
    </row>
    <row r="119" ht="30" customHeight="1">
      <c r="A119" s="15" t="inlineStr">
        <is>
          <t>NU01-05</t>
        </is>
      </c>
      <c r="B119" s="15" t="inlineStr">
        <is>
          <t>K-061</t>
        </is>
      </c>
      <c r="C119" s="15" t="inlineStr">
        <is>
          <t>NU01</t>
        </is>
      </c>
      <c r="D119" s="15" t="inlineStr">
        <is>
          <t>Deko-Hirschkopf geometrisch</t>
        </is>
      </c>
      <c r="E119" s="16" t="inlineStr">
        <is>
          <t>Hirschkopf in geometrischer Form, Beton-/Holzoptik</t>
        </is>
      </c>
      <c r="F119" s="15" t="inlineStr">
        <is>
          <t>Deko</t>
        </is>
      </c>
      <c r="G119" s="15" t="inlineStr">
        <is>
          <t>Flur</t>
        </is>
      </c>
      <c r="H119" s="15" t="inlineStr">
        <is>
          <t>C</t>
        </is>
      </c>
      <c r="I119" s="17" t="n">
        <v>2</v>
      </c>
      <c r="J119" s="17" t="n"/>
      <c r="K119" s="18">
        <f>I119-IF(J119="",0,J119)</f>
        <v/>
      </c>
      <c r="L119" s="15" t="inlineStr">
        <is>
          <t>Stück</t>
        </is>
      </c>
      <c r="M119" s="15" t="inlineStr">
        <is>
          <t>gut</t>
        </is>
      </c>
      <c r="N119" s="19" t="n"/>
      <c r="O119" s="19" t="inlineStr">
        <is>
          <t>ja</t>
        </is>
      </c>
      <c r="P119" s="19" t="n"/>
      <c r="Q119" s="20" t="n"/>
      <c r="R119" s="20" t="n">
        <v>40</v>
      </c>
      <c r="S119" s="19" t="inlineStr">
        <is>
          <t>VHB</t>
        </is>
      </c>
      <c r="T119" s="21">
        <f>K119*R119</f>
        <v/>
      </c>
      <c r="U119" s="15" t="inlineStr">
        <is>
          <t>Versand möglich</t>
        </is>
      </c>
      <c r="V119" s="15" t="inlineStr">
        <is>
          <t>F-050</t>
        </is>
      </c>
      <c r="W119" s="19" t="inlineStr">
        <is>
          <t>ja</t>
        </is>
      </c>
      <c r="X119" s="19" t="n"/>
      <c r="Y119" s="19" t="inlineStr">
        <is>
          <t>verfügbar</t>
        </is>
      </c>
      <c r="Z119" s="19" t="n"/>
      <c r="AA119" s="19" t="n"/>
      <c r="AB119" s="19" t="n"/>
      <c r="AC119" s="20" t="n"/>
      <c r="AD119" s="21">
        <f>IF(J119="","",J119*AC119)</f>
        <v/>
      </c>
      <c r="AE119" s="19" t="n"/>
      <c r="AF119" s="19" t="n"/>
      <c r="AG119" s="19" t="n"/>
      <c r="AH119" s="19" t="n"/>
      <c r="AI119" s="19" t="n"/>
      <c r="AJ119" s="19" t="n"/>
      <c r="AK119" s="16" t="inlineStr">
        <is>
          <t>1 Stück im Bild</t>
        </is>
      </c>
      <c r="AL119" s="22" t="n"/>
    </row>
    <row r="120" ht="30" customHeight="1">
      <c r="A120" s="15" t="inlineStr">
        <is>
          <t>NU01-06</t>
        </is>
      </c>
      <c r="B120" s="15" t="inlineStr">
        <is>
          <t>K-072</t>
        </is>
      </c>
      <c r="C120" s="15" t="inlineStr">
        <is>
          <t>NU01</t>
        </is>
      </c>
      <c r="D120" s="15" t="inlineStr">
        <is>
          <t>Gemälde Marilyn mit Bollenhut</t>
        </is>
      </c>
      <c r="E120" s="16" t="inlineStr">
        <is>
          <t>Acryl auf Leinwand, großformatig ca. 120 x 120 cm - Eigenarbeit einer Privatperson</t>
        </is>
      </c>
      <c r="F120" s="15" t="inlineStr">
        <is>
          <t>Kunst</t>
        </is>
      </c>
      <c r="G120" s="15" t="inlineStr">
        <is>
          <t>Flur</t>
        </is>
      </c>
      <c r="H120" s="15" t="inlineStr">
        <is>
          <t>B</t>
        </is>
      </c>
      <c r="I120" s="17" t="n">
        <v>1</v>
      </c>
      <c r="J120" s="17" t="n"/>
      <c r="K120" s="18">
        <f>I120-IF(J120="",0,J120)</f>
        <v/>
      </c>
      <c r="L120" s="15" t="inlineStr">
        <is>
          <t>Stück</t>
        </is>
      </c>
      <c r="M120" s="15" t="inlineStr">
        <is>
          <t>gut</t>
        </is>
      </c>
      <c r="N120" s="19" t="n"/>
      <c r="O120" s="19" t="inlineStr">
        <is>
          <t>ja</t>
        </is>
      </c>
      <c r="P120" s="19" t="n"/>
      <c r="Q120" s="20" t="n"/>
      <c r="R120" s="20" t="n">
        <v>650</v>
      </c>
      <c r="S120" s="19" t="inlineStr">
        <is>
          <t>VHB</t>
        </is>
      </c>
      <c r="T120" s="21">
        <f>K120*R120</f>
        <v/>
      </c>
      <c r="U120" s="15" t="inlineStr">
        <is>
          <t>nur Abholung</t>
        </is>
      </c>
      <c r="V120" s="15" t="inlineStr">
        <is>
          <t>F-091</t>
        </is>
      </c>
      <c r="W120" s="19" t="inlineStr">
        <is>
          <t>ja</t>
        </is>
      </c>
      <c r="X120" s="19" t="n"/>
      <c r="Y120" s="19" t="inlineStr">
        <is>
          <t>verfügbar</t>
        </is>
      </c>
      <c r="Z120" s="19" t="n"/>
      <c r="AA120" s="19" t="n"/>
      <c r="AB120" s="19" t="n"/>
      <c r="AC120" s="20" t="n"/>
      <c r="AD120" s="21">
        <f>IF(J120="","",J120*AC120)</f>
        <v/>
      </c>
      <c r="AE120" s="19" t="n"/>
      <c r="AF120" s="19" t="n"/>
      <c r="AG120" s="19" t="n"/>
      <c r="AH120" s="19" t="n"/>
      <c r="AI120" s="19" t="n"/>
      <c r="AJ120" s="19" t="n"/>
      <c r="AK120" s="16" t="inlineStr">
        <is>
          <t>1 Bild im Bild</t>
        </is>
      </c>
      <c r="AL120" s="22" t="n"/>
    </row>
    <row r="121" ht="30" customHeight="1">
      <c r="A121" s="15" t="inlineStr">
        <is>
          <t>NU01-07</t>
        </is>
      </c>
      <c r="B121" s="15" t="inlineStr">
        <is>
          <t>K-075</t>
        </is>
      </c>
      <c r="C121" s="15" t="inlineStr">
        <is>
          <t>NU01</t>
        </is>
      </c>
      <c r="D121" s="15" t="inlineStr">
        <is>
          <t>Trachtenportrait gerahmt, klein</t>
        </is>
      </c>
      <c r="E121" s="16" t="inlineStr">
        <is>
          <t>Trachtenportrait gerahmt, klein</t>
        </is>
      </c>
      <c r="F121" s="15" t="inlineStr">
        <is>
          <t>Deko</t>
        </is>
      </c>
      <c r="G121" s="15" t="inlineStr">
        <is>
          <t>Flur</t>
        </is>
      </c>
      <c r="H121" s="15" t="inlineStr">
        <is>
          <t>C</t>
        </is>
      </c>
      <c r="I121" s="17" t="n">
        <v>1</v>
      </c>
      <c r="J121" s="17" t="n"/>
      <c r="K121" s="18">
        <f>I121-IF(J121="",0,J121)</f>
        <v/>
      </c>
      <c r="L121" s="15" t="inlineStr">
        <is>
          <t>Set</t>
        </is>
      </c>
      <c r="M121" s="15" t="inlineStr">
        <is>
          <t>gut</t>
        </is>
      </c>
      <c r="N121" s="19" t="n"/>
      <c r="O121" s="19" t="inlineStr">
        <is>
          <t>ja</t>
        </is>
      </c>
      <c r="P121" s="19" t="n"/>
      <c r="Q121" s="20" t="n"/>
      <c r="R121" s="20" t="n">
        <v>45</v>
      </c>
      <c r="S121" s="19" t="inlineStr">
        <is>
          <t>VHB</t>
        </is>
      </c>
      <c r="T121" s="21">
        <f>K121*R121</f>
        <v/>
      </c>
      <c r="U121" s="15" t="inlineStr">
        <is>
          <t>nur Abholung</t>
        </is>
      </c>
      <c r="V121" s="15" t="inlineStr">
        <is>
          <t>F-075</t>
        </is>
      </c>
      <c r="W121" s="19" t="inlineStr">
        <is>
          <t>ja</t>
        </is>
      </c>
      <c r="X121" s="19" t="inlineStr">
        <is>
          <t>ja</t>
        </is>
      </c>
      <c r="Y121" s="19" t="inlineStr">
        <is>
          <t>verfügbar</t>
        </is>
      </c>
      <c r="Z121" s="19" t="n"/>
      <c r="AA121" s="19" t="n"/>
      <c r="AB121" s="19" t="n"/>
      <c r="AC121" s="20" t="n"/>
      <c r="AD121" s="21">
        <f>IF(J121="","",J121*AC121)</f>
        <v/>
      </c>
      <c r="AE121" s="19" t="n"/>
      <c r="AF121" s="19" t="n"/>
      <c r="AG121" s="19" t="n"/>
      <c r="AH121" s="19" t="n"/>
      <c r="AI121" s="19" t="n"/>
      <c r="AJ121" s="19" t="n"/>
      <c r="AK121" s="16" t="inlineStr">
        <is>
          <t>1 Stück im Bild</t>
        </is>
      </c>
      <c r="AL121" s="22" t="n"/>
    </row>
    <row r="122" ht="30" customHeight="1">
      <c r="A122" s="15" t="inlineStr">
        <is>
          <t>NU01-08</t>
        </is>
      </c>
      <c r="B122" s="15" t="inlineStr">
        <is>
          <t>K-103</t>
        </is>
      </c>
      <c r="C122" s="15" t="inlineStr">
        <is>
          <t>NU01</t>
        </is>
      </c>
      <c r="D122" s="15" t="inlineStr">
        <is>
          <t>Trachtenfotografie gerahmt, weiß</t>
        </is>
      </c>
      <c r="E122" s="16" t="inlineStr">
        <is>
          <t>Fotodruck im weißen Rahmen, ca. 20 x 25 cm - Kaufware</t>
        </is>
      </c>
      <c r="F122" s="15" t="inlineStr">
        <is>
          <t>Kunst</t>
        </is>
      </c>
      <c r="G122" s="15" t="inlineStr">
        <is>
          <t>Flur</t>
        </is>
      </c>
      <c r="H122" s="15" t="inlineStr">
        <is>
          <t>C</t>
        </is>
      </c>
      <c r="I122" s="17" t="n">
        <v>5</v>
      </c>
      <c r="J122" s="17" t="n"/>
      <c r="K122" s="18">
        <f>I122-IF(J122="",0,J122)</f>
        <v/>
      </c>
      <c r="L122" s="15" t="inlineStr">
        <is>
          <t>Stück</t>
        </is>
      </c>
      <c r="M122" s="15" t="inlineStr">
        <is>
          <t>gut</t>
        </is>
      </c>
      <c r="N122" s="19" t="n"/>
      <c r="O122" s="19" t="inlineStr">
        <is>
          <t>ja</t>
        </is>
      </c>
      <c r="P122" s="19" t="n"/>
      <c r="Q122" s="20" t="n"/>
      <c r="R122" s="20" t="n">
        <v>35</v>
      </c>
      <c r="S122" s="19" t="inlineStr">
        <is>
          <t>VHB</t>
        </is>
      </c>
      <c r="T122" s="21">
        <f>K122*R122</f>
        <v/>
      </c>
      <c r="U122" s="15" t="inlineStr">
        <is>
          <t>Versand möglich</t>
        </is>
      </c>
      <c r="V122" s="15" t="inlineStr">
        <is>
          <t>F-074</t>
        </is>
      </c>
      <c r="W122" s="19" t="inlineStr">
        <is>
          <t>ja</t>
        </is>
      </c>
      <c r="X122" s="19" t="inlineStr">
        <is>
          <t>ja</t>
        </is>
      </c>
      <c r="Y122" s="19" t="inlineStr">
        <is>
          <t>verfügbar</t>
        </is>
      </c>
      <c r="Z122" s="19" t="n"/>
      <c r="AA122" s="19" t="n"/>
      <c r="AB122" s="19" t="n"/>
      <c r="AC122" s="20" t="n"/>
      <c r="AD122" s="21">
        <f>IF(J122="","",J122*AC122)</f>
        <v/>
      </c>
      <c r="AE122" s="19" t="n"/>
      <c r="AF122" s="19" t="n"/>
      <c r="AG122" s="19" t="n"/>
      <c r="AH122" s="19" t="n"/>
      <c r="AI122" s="19" t="n"/>
      <c r="AJ122" s="19" t="n"/>
      <c r="AK122" s="16" t="inlineStr">
        <is>
          <t>5 Rahmen im Bild</t>
        </is>
      </c>
      <c r="AL122" s="22" t="n"/>
    </row>
    <row r="123" ht="30" customHeight="1">
      <c r="A123" s="15" t="inlineStr">
        <is>
          <t>NU01-09</t>
        </is>
      </c>
      <c r="B123" s="15" t="inlineStr">
        <is>
          <t>K-106</t>
        </is>
      </c>
      <c r="C123" s="15" t="inlineStr">
        <is>
          <t>NU01</t>
        </is>
      </c>
      <c r="D123" s="15" t="inlineStr">
        <is>
          <t>Trachtenfotografie gerahmt, schwarz</t>
        </is>
      </c>
      <c r="E123" s="16" t="inlineStr">
        <is>
          <t>Fotodruck im schwarzen Rahmen mit Passepartout - Kaufware</t>
        </is>
      </c>
      <c r="F123" s="15" t="inlineStr">
        <is>
          <t>Kunst</t>
        </is>
      </c>
      <c r="G123" s="15" t="inlineStr">
        <is>
          <t>Flur</t>
        </is>
      </c>
      <c r="H123" s="15" t="inlineStr">
        <is>
          <t>C</t>
        </is>
      </c>
      <c r="I123" s="17" t="n">
        <v>4</v>
      </c>
      <c r="J123" s="17" t="n"/>
      <c r="K123" s="18">
        <f>I123-IF(J123="",0,J123)</f>
        <v/>
      </c>
      <c r="L123" s="15" t="inlineStr">
        <is>
          <t>Stück</t>
        </is>
      </c>
      <c r="M123" s="15" t="inlineStr">
        <is>
          <t>gut</t>
        </is>
      </c>
      <c r="N123" s="19" t="n"/>
      <c r="O123" s="19" t="inlineStr">
        <is>
          <t>ja</t>
        </is>
      </c>
      <c r="P123" s="19" t="n"/>
      <c r="Q123" s="20" t="n"/>
      <c r="R123" s="20" t="n">
        <v>35</v>
      </c>
      <c r="S123" s="19" t="inlineStr">
        <is>
          <t>VHB</t>
        </is>
      </c>
      <c r="T123" s="21">
        <f>K123*R123</f>
        <v/>
      </c>
      <c r="U123" s="15" t="inlineStr">
        <is>
          <t>Versand möglich</t>
        </is>
      </c>
      <c r="V123" s="15" t="inlineStr">
        <is>
          <t>F-075</t>
        </is>
      </c>
      <c r="W123" s="19" t="inlineStr">
        <is>
          <t>ja</t>
        </is>
      </c>
      <c r="X123" s="19" t="inlineStr">
        <is>
          <t>ja</t>
        </is>
      </c>
      <c r="Y123" s="19" t="inlineStr">
        <is>
          <t>verfügbar</t>
        </is>
      </c>
      <c r="Z123" s="19" t="n"/>
      <c r="AA123" s="19" t="n"/>
      <c r="AB123" s="19" t="n"/>
      <c r="AC123" s="20" t="n"/>
      <c r="AD123" s="21">
        <f>IF(J123="","",J123*AC123)</f>
        <v/>
      </c>
      <c r="AE123" s="19" t="n"/>
      <c r="AF123" s="19" t="n"/>
      <c r="AG123" s="19" t="n"/>
      <c r="AH123" s="19" t="n"/>
      <c r="AI123" s="19" t="n"/>
      <c r="AJ123" s="19" t="n"/>
      <c r="AK123" s="16" t="inlineStr">
        <is>
          <t>4 Rahmen im Bild, ggf. mehr</t>
        </is>
      </c>
      <c r="AL123" s="22" t="n"/>
    </row>
    <row r="124" ht="30" customHeight="1">
      <c r="A124" s="15" t="inlineStr">
        <is>
          <t>NU01-10</t>
        </is>
      </c>
      <c r="B124" s="15" t="inlineStr">
        <is>
          <t>K-107</t>
        </is>
      </c>
      <c r="C124" s="15" t="inlineStr">
        <is>
          <t>NU01</t>
        </is>
      </c>
      <c r="D124" s="15" t="inlineStr">
        <is>
          <t>Gemälde Panorama mit Tanne</t>
        </is>
      </c>
      <c r="E124" s="16" t="inlineStr">
        <is>
          <t>Acryl auf Leinwand, Querformat - Eigenarbeit einer Privatperson</t>
        </is>
      </c>
      <c r="F124" s="15" t="inlineStr">
        <is>
          <t>Kunst</t>
        </is>
      </c>
      <c r="G124" s="15" t="inlineStr">
        <is>
          <t>Flur</t>
        </is>
      </c>
      <c r="H124" s="15" t="inlineStr">
        <is>
          <t>B</t>
        </is>
      </c>
      <c r="I124" s="17" t="n">
        <v>2</v>
      </c>
      <c r="J124" s="17" t="n"/>
      <c r="K124" s="18">
        <f>I124-IF(J124="",0,J124)</f>
        <v/>
      </c>
      <c r="L124" s="15" t="inlineStr">
        <is>
          <t>Stück</t>
        </is>
      </c>
      <c r="M124" s="15" t="inlineStr">
        <is>
          <t>gut</t>
        </is>
      </c>
      <c r="N124" s="19" t="n"/>
      <c r="O124" s="19" t="inlineStr">
        <is>
          <t>ja</t>
        </is>
      </c>
      <c r="P124" s="19" t="n"/>
      <c r="Q124" s="20" t="n"/>
      <c r="R124" s="20" t="n">
        <v>120</v>
      </c>
      <c r="S124" s="19" t="inlineStr">
        <is>
          <t>VHB</t>
        </is>
      </c>
      <c r="T124" s="21">
        <f>K124*R124</f>
        <v/>
      </c>
      <c r="U124" s="15" t="inlineStr">
        <is>
          <t>nur Abholung</t>
        </is>
      </c>
      <c r="V124" s="15" t="inlineStr">
        <is>
          <t>F-076</t>
        </is>
      </c>
      <c r="W124" s="19" t="inlineStr">
        <is>
          <t>ja</t>
        </is>
      </c>
      <c r="X124" s="19" t="n"/>
      <c r="Y124" s="19" t="inlineStr">
        <is>
          <t>verfügbar</t>
        </is>
      </c>
      <c r="Z124" s="19" t="n"/>
      <c r="AA124" s="19" t="n"/>
      <c r="AB124" s="19" t="n"/>
      <c r="AC124" s="20" t="n"/>
      <c r="AD124" s="21">
        <f>IF(J124="","",J124*AC124)</f>
        <v/>
      </c>
      <c r="AE124" s="19" t="n"/>
      <c r="AF124" s="19" t="n"/>
      <c r="AG124" s="19" t="n"/>
      <c r="AH124" s="19" t="n"/>
      <c r="AI124" s="19" t="n"/>
      <c r="AJ124" s="19" t="n"/>
      <c r="AK124" s="16" t="inlineStr">
        <is>
          <t>1 Bild im Bild</t>
        </is>
      </c>
      <c r="AL124" s="22" t="n"/>
    </row>
    <row r="125" ht="30" customHeight="1">
      <c r="A125" s="15" t="inlineStr">
        <is>
          <t>NU01-11</t>
        </is>
      </c>
      <c r="B125" s="15" t="inlineStr">
        <is>
          <t>K-108</t>
        </is>
      </c>
      <c r="C125" s="15" t="inlineStr">
        <is>
          <t>NU01</t>
        </is>
      </c>
      <c r="D125" s="15" t="inlineStr">
        <is>
          <t>Bilderrahmen schwarz mit Strichfigur</t>
        </is>
      </c>
      <c r="E125" s="16" t="inlineStr">
        <is>
          <t>Gerahmte Drucke mit Bollenhut-Strichfiguren, schwarze Rahmen</t>
        </is>
      </c>
      <c r="F125" s="15" t="inlineStr">
        <is>
          <t>Kunst</t>
        </is>
      </c>
      <c r="G125" s="15" t="inlineStr">
        <is>
          <t>Flur</t>
        </is>
      </c>
      <c r="H125" s="15" t="inlineStr">
        <is>
          <t>C</t>
        </is>
      </c>
      <c r="I125" s="17" t="n">
        <v>4</v>
      </c>
      <c r="J125" s="17" t="n"/>
      <c r="K125" s="18">
        <f>I125-IF(J125="",0,J125)</f>
        <v/>
      </c>
      <c r="L125" s="15" t="inlineStr">
        <is>
          <t>Stück</t>
        </is>
      </c>
      <c r="M125" s="15" t="inlineStr">
        <is>
          <t>gut</t>
        </is>
      </c>
      <c r="N125" s="19" t="n"/>
      <c r="O125" s="19" t="inlineStr">
        <is>
          <t>ja</t>
        </is>
      </c>
      <c r="P125" s="19" t="n"/>
      <c r="Q125" s="20" t="n"/>
      <c r="R125" s="20" t="n">
        <v>15</v>
      </c>
      <c r="S125" s="19" t="inlineStr">
        <is>
          <t>VHB</t>
        </is>
      </c>
      <c r="T125" s="21">
        <f>K125*R125</f>
        <v/>
      </c>
      <c r="U125" s="15" t="inlineStr">
        <is>
          <t>Versand möglich</t>
        </is>
      </c>
      <c r="V125" s="15" t="inlineStr">
        <is>
          <t>F-077</t>
        </is>
      </c>
      <c r="W125" s="19" t="inlineStr">
        <is>
          <t>ja</t>
        </is>
      </c>
      <c r="X125" s="19" t="n"/>
      <c r="Y125" s="19" t="inlineStr">
        <is>
          <t>verfügbar</t>
        </is>
      </c>
      <c r="Z125" s="19" t="n"/>
      <c r="AA125" s="19" t="n"/>
      <c r="AB125" s="19" t="n"/>
      <c r="AC125" s="20" t="n"/>
      <c r="AD125" s="21">
        <f>IF(J125="","",J125*AC125)</f>
        <v/>
      </c>
      <c r="AE125" s="19" t="n"/>
      <c r="AF125" s="19" t="n"/>
      <c r="AG125" s="19" t="n"/>
      <c r="AH125" s="19" t="n"/>
      <c r="AI125" s="19" t="n"/>
      <c r="AJ125" s="19" t="n"/>
      <c r="AK125" s="16" t="inlineStr">
        <is>
          <t>4 Rahmen erkennbar</t>
        </is>
      </c>
      <c r="AL125" s="22" t="n"/>
    </row>
    <row r="126" ht="30" customHeight="1">
      <c r="A126" s="15" t="inlineStr">
        <is>
          <t>NU01-12</t>
        </is>
      </c>
      <c r="B126" s="15" t="n"/>
      <c r="C126" s="15" t="inlineStr">
        <is>
          <t>NU01</t>
        </is>
      </c>
      <c r="D126" s="15" t="inlineStr">
        <is>
          <t>Läufer dunkelgrau, IKEA Morum</t>
        </is>
      </c>
      <c r="E126" s="16" t="inlineStr">
        <is>
          <t>Flachgewebter Läufer in Dunkelgrau, IKEA Morum (In-/Outdoor-Qualität), strukturierte Webung. 15 gleiche Läufer aus den Fluren.</t>
        </is>
      </c>
      <c r="F126" s="15" t="inlineStr">
        <is>
          <t>Textilien</t>
        </is>
      </c>
      <c r="G126" s="15" t="inlineStr">
        <is>
          <t>Flur</t>
        </is>
      </c>
      <c r="H126" s="15" t="inlineStr">
        <is>
          <t>C</t>
        </is>
      </c>
      <c r="I126" s="17" t="n">
        <v>15</v>
      </c>
      <c r="J126" s="17" t="n"/>
      <c r="K126" s="18">
        <f>I126-IF(J126="",0,J126)</f>
        <v/>
      </c>
      <c r="L126" s="15" t="inlineStr">
        <is>
          <t>Stück</t>
        </is>
      </c>
      <c r="M126" s="15" t="inlineStr">
        <is>
          <t>gebraucht</t>
        </is>
      </c>
      <c r="N126" s="19" t="n"/>
      <c r="O126" s="19" t="inlineStr">
        <is>
          <t>ja</t>
        </is>
      </c>
      <c r="P126" s="19" t="n"/>
      <c r="Q126" s="20" t="n"/>
      <c r="R126" s="20" t="n">
        <v>20</v>
      </c>
      <c r="S126" s="19" t="inlineStr">
        <is>
          <t>VHB</t>
        </is>
      </c>
      <c r="T126" s="21">
        <f>K126*R126</f>
        <v/>
      </c>
      <c r="U126" s="15" t="inlineStr">
        <is>
          <t>nur Abholung</t>
        </is>
      </c>
      <c r="V126" s="15" t="inlineStr">
        <is>
          <t>F-134</t>
        </is>
      </c>
      <c r="W126" s="19" t="inlineStr">
        <is>
          <t>ja</t>
        </is>
      </c>
      <c r="X126" s="19" t="n"/>
      <c r="Y126" s="19" t="inlineStr">
        <is>
          <t>verfügbar</t>
        </is>
      </c>
      <c r="Z126" s="19" t="inlineStr">
        <is>
          <t>IKEA</t>
        </is>
      </c>
      <c r="AA126" s="19" t="n"/>
      <c r="AB126" s="19" t="n"/>
      <c r="AC126" s="20" t="n"/>
      <c r="AD126" s="21">
        <f>IF(J126="","",J126*AC126)</f>
        <v/>
      </c>
      <c r="AE126" s="19" t="n"/>
      <c r="AF126" s="19" t="n"/>
      <c r="AG126" s="19" t="n"/>
      <c r="AH126" s="19" t="n"/>
      <c r="AI126" s="19" t="n"/>
      <c r="AJ126" s="19" t="n"/>
      <c r="AK126" s="16" t="inlineStr">
        <is>
          <t>15 Läufer laut Angabe im Haus – abgebildet ist einer davon.</t>
        </is>
      </c>
      <c r="AL126" s="22" t="n"/>
    </row>
    <row r="127" ht="30" customHeight="1">
      <c r="A127" s="15" t="inlineStr">
        <is>
          <t>NU02-01</t>
        </is>
      </c>
      <c r="B127" s="15" t="inlineStr">
        <is>
          <t>K-004</t>
        </is>
      </c>
      <c r="C127" s="15" t="inlineStr">
        <is>
          <t>NU02</t>
        </is>
      </c>
      <c r="D127" s="15" t="inlineStr">
        <is>
          <t>Kommode weiß, 6 Schubladen</t>
        </is>
      </c>
      <c r="E127" s="16" t="inlineStr">
        <is>
          <t>IKEA Nordli, weiß, hoch, 6 Schubladen</t>
        </is>
      </c>
      <c r="F127" s="15" t="inlineStr">
        <is>
          <t>Möbel</t>
        </is>
      </c>
      <c r="G127" s="15" t="inlineStr">
        <is>
          <t>Gruppenraum 5</t>
        </is>
      </c>
      <c r="H127" s="15" t="inlineStr">
        <is>
          <t>B</t>
        </is>
      </c>
      <c r="I127" s="17" t="n">
        <v>1</v>
      </c>
      <c r="J127" s="17" t="n"/>
      <c r="K127" s="18">
        <f>I127-IF(J127="",0,J127)</f>
        <v/>
      </c>
      <c r="L127" s="15" t="inlineStr">
        <is>
          <t>Stück</t>
        </is>
      </c>
      <c r="M127" s="15" t="inlineStr">
        <is>
          <t>gut</t>
        </is>
      </c>
      <c r="N127" s="19" t="n"/>
      <c r="O127" s="19" t="inlineStr">
        <is>
          <t>ja</t>
        </is>
      </c>
      <c r="P127" s="19" t="n"/>
      <c r="Q127" s="20" t="n"/>
      <c r="R127" s="20" t="n">
        <v>90</v>
      </c>
      <c r="S127" s="19" t="inlineStr">
        <is>
          <t>VHB</t>
        </is>
      </c>
      <c r="T127" s="21">
        <f>K127*R127</f>
        <v/>
      </c>
      <c r="U127" s="15" t="inlineStr">
        <is>
          <t>nur Abholung</t>
        </is>
      </c>
      <c r="V127" s="15" t="inlineStr">
        <is>
          <t>F-003</t>
        </is>
      </c>
      <c r="W127" s="19" t="inlineStr">
        <is>
          <t>ja</t>
        </is>
      </c>
      <c r="X127" s="19" t="n"/>
      <c r="Y127" s="19" t="inlineStr">
        <is>
          <t>verfügbar</t>
        </is>
      </c>
      <c r="Z127" s="19" t="n"/>
      <c r="AA127" s="19" t="n"/>
      <c r="AB127" s="19" t="n"/>
      <c r="AC127" s="20" t="n"/>
      <c r="AD127" s="21">
        <f>IF(J127="","",J127*AC127)</f>
        <v/>
      </c>
      <c r="AE127" s="19" t="n"/>
      <c r="AF127" s="19" t="n"/>
      <c r="AG127" s="19" t="n"/>
      <c r="AH127" s="19" t="n"/>
      <c r="AI127" s="19" t="n"/>
      <c r="AJ127" s="19" t="n"/>
      <c r="AK127" s="16" t="inlineStr">
        <is>
          <t>1 Stück im Bild</t>
        </is>
      </c>
      <c r="AL127" s="22" t="n"/>
    </row>
    <row r="128" ht="30" customHeight="1">
      <c r="A128" s="15" t="inlineStr">
        <is>
          <t>NU03-01</t>
        </is>
      </c>
      <c r="B128" s="15" t="inlineStr">
        <is>
          <t>K-007</t>
        </is>
      </c>
      <c r="C128" s="15" t="inlineStr">
        <is>
          <t>NU03</t>
        </is>
      </c>
      <c r="D128" s="15" t="inlineStr">
        <is>
          <t>Kommode weiß, hoch, 7 Schubladen</t>
        </is>
      </c>
      <c r="E128" s="16" t="inlineStr">
        <is>
          <t>IKEA Nordli, weiß, hohe Ausführung</t>
        </is>
      </c>
      <c r="F128" s="15" t="inlineStr">
        <is>
          <t>Möbel</t>
        </is>
      </c>
      <c r="G128" s="15" t="inlineStr">
        <is>
          <t>Schlafraum 4</t>
        </is>
      </c>
      <c r="H128" s="15" t="inlineStr">
        <is>
          <t>B</t>
        </is>
      </c>
      <c r="I128" s="17" t="n">
        <v>1</v>
      </c>
      <c r="J128" s="17" t="n"/>
      <c r="K128" s="18">
        <f>I128-IF(J128="",0,J128)</f>
        <v/>
      </c>
      <c r="L128" s="15" t="inlineStr">
        <is>
          <t>Stück</t>
        </is>
      </c>
      <c r="M128" s="15" t="inlineStr">
        <is>
          <t>gut</t>
        </is>
      </c>
      <c r="N128" s="19" t="n"/>
      <c r="O128" s="19" t="inlineStr">
        <is>
          <t>ja</t>
        </is>
      </c>
      <c r="P128" s="19" t="n"/>
      <c r="Q128" s="20" t="n"/>
      <c r="R128" s="20" t="n">
        <v>110</v>
      </c>
      <c r="S128" s="19" t="inlineStr">
        <is>
          <t>VHB</t>
        </is>
      </c>
      <c r="T128" s="21">
        <f>K128*R128</f>
        <v/>
      </c>
      <c r="U128" s="15" t="inlineStr">
        <is>
          <t>nur Abholung</t>
        </is>
      </c>
      <c r="V128" s="15" t="inlineStr">
        <is>
          <t>F-004</t>
        </is>
      </c>
      <c r="W128" s="19" t="inlineStr">
        <is>
          <t>ja</t>
        </is>
      </c>
      <c r="X128" s="19" t="n"/>
      <c r="Y128" s="19" t="inlineStr">
        <is>
          <t>verfügbar</t>
        </is>
      </c>
      <c r="Z128" s="19" t="n"/>
      <c r="AA128" s="19" t="n"/>
      <c r="AB128" s="19" t="n"/>
      <c r="AC128" s="20" t="n"/>
      <c r="AD128" s="21">
        <f>IF(J128="","",J128*AC128)</f>
        <v/>
      </c>
      <c r="AE128" s="19" t="n"/>
      <c r="AF128" s="19" t="n"/>
      <c r="AG128" s="19" t="n"/>
      <c r="AH128" s="19" t="n"/>
      <c r="AI128" s="19" t="n"/>
      <c r="AJ128" s="19" t="n"/>
      <c r="AK128" s="16" t="inlineStr">
        <is>
          <t>1 Stück im Bild</t>
        </is>
      </c>
      <c r="AL128" s="22" t="n"/>
    </row>
    <row r="129" ht="30" customHeight="1">
      <c r="A129" s="15" t="inlineStr">
        <is>
          <t>NU04-01</t>
        </is>
      </c>
      <c r="B129" s="15" t="inlineStr">
        <is>
          <t>K-008</t>
        </is>
      </c>
      <c r="C129" s="15" t="inlineStr">
        <is>
          <t>NU04</t>
        </is>
      </c>
      <c r="D129" s="15" t="inlineStr">
        <is>
          <t>Wanddeko Hirschkopf Sperrholz</t>
        </is>
      </c>
      <c r="E129" s="16" t="inlineStr">
        <is>
          <t>3D-Stecksatz aus Sperrholz, schwarz lackiert, Wandmontage</t>
        </is>
      </c>
      <c r="F129" s="15" t="inlineStr">
        <is>
          <t>Deko</t>
        </is>
      </c>
      <c r="G129" s="15" t="inlineStr">
        <is>
          <t>Schlafraum 5</t>
        </is>
      </c>
      <c r="H129" s="15" t="inlineStr">
        <is>
          <t>C</t>
        </is>
      </c>
      <c r="I129" s="17" t="n">
        <v>3</v>
      </c>
      <c r="J129" s="17" t="n"/>
      <c r="K129" s="18">
        <f>I129-IF(J129="",0,J129)</f>
        <v/>
      </c>
      <c r="L129" s="15" t="inlineStr">
        <is>
          <t>Stück</t>
        </is>
      </c>
      <c r="M129" s="15" t="inlineStr">
        <is>
          <t>gut</t>
        </is>
      </c>
      <c r="N129" s="19" t="n"/>
      <c r="O129" s="19" t="inlineStr">
        <is>
          <t>ja</t>
        </is>
      </c>
      <c r="P129" s="19" t="n"/>
      <c r="Q129" s="20" t="n"/>
      <c r="R129" s="20" t="n">
        <v>20</v>
      </c>
      <c r="S129" s="19" t="inlineStr">
        <is>
          <t>VHB</t>
        </is>
      </c>
      <c r="T129" s="21">
        <f>K129*R129</f>
        <v/>
      </c>
      <c r="U129" s="15" t="inlineStr">
        <is>
          <t>Versand möglich</t>
        </is>
      </c>
      <c r="V129" s="15" t="inlineStr">
        <is>
          <t>F-005</t>
        </is>
      </c>
      <c r="W129" s="19" t="inlineStr">
        <is>
          <t>ja</t>
        </is>
      </c>
      <c r="X129" s="19" t="n"/>
      <c r="Y129" s="19" t="inlineStr">
        <is>
          <t>verfügbar</t>
        </is>
      </c>
      <c r="Z129" s="19" t="n"/>
      <c r="AA129" s="19" t="n"/>
      <c r="AB129" s="19" t="n"/>
      <c r="AC129" s="20" t="n"/>
      <c r="AD129" s="21">
        <f>IF(J129="","",J129*AC129)</f>
        <v/>
      </c>
      <c r="AE129" s="19" t="n"/>
      <c r="AF129" s="19" t="n"/>
      <c r="AG129" s="19" t="n"/>
      <c r="AH129" s="19" t="n"/>
      <c r="AI129" s="19" t="n"/>
      <c r="AJ129" s="19" t="n"/>
      <c r="AK129" s="16" t="inlineStr">
        <is>
          <t>3 Stück im Bild</t>
        </is>
      </c>
      <c r="AL129" s="22" t="n"/>
    </row>
    <row r="130" ht="30" customHeight="1">
      <c r="A130" s="15" t="inlineStr">
        <is>
          <t>NU04-02</t>
        </is>
      </c>
      <c r="B130" s="15" t="inlineStr">
        <is>
          <t>K-009</t>
        </is>
      </c>
      <c r="C130" s="15" t="inlineStr">
        <is>
          <t>NU04</t>
        </is>
      </c>
      <c r="D130" s="15" t="inlineStr">
        <is>
          <t>Kommode anthrazit, groß</t>
        </is>
      </c>
      <c r="E130" s="16" t="inlineStr">
        <is>
          <t>IKEA Nordli, anthrazit, große Kombination, ca. 12-14 Schubladen; 2 Schubladen bereits repariert; funktionsfähig</t>
        </is>
      </c>
      <c r="F130" s="15" t="inlineStr">
        <is>
          <t>Möbel</t>
        </is>
      </c>
      <c r="G130" s="15" t="inlineStr">
        <is>
          <t>Schlafraum 5</t>
        </is>
      </c>
      <c r="H130" s="15" t="inlineStr">
        <is>
          <t>B</t>
        </is>
      </c>
      <c r="I130" s="17" t="n">
        <v>1</v>
      </c>
      <c r="J130" s="17" t="n"/>
      <c r="K130" s="18">
        <f>I130-IF(J130="",0,J130)</f>
        <v/>
      </c>
      <c r="L130" s="15" t="inlineStr">
        <is>
          <t>Stück</t>
        </is>
      </c>
      <c r="M130" s="15" t="inlineStr">
        <is>
          <t>gebraucht</t>
        </is>
      </c>
      <c r="N130" s="19" t="n"/>
      <c r="O130" s="19" t="inlineStr">
        <is>
          <t>ja</t>
        </is>
      </c>
      <c r="P130" s="19" t="n"/>
      <c r="Q130" s="20" t="n"/>
      <c r="R130" s="20" t="n">
        <v>220</v>
      </c>
      <c r="S130" s="19" t="inlineStr">
        <is>
          <t>VHB</t>
        </is>
      </c>
      <c r="T130" s="21">
        <f>K130*R130</f>
        <v/>
      </c>
      <c r="U130" s="15" t="inlineStr">
        <is>
          <t>nur Abholung</t>
        </is>
      </c>
      <c r="V130" s="15" t="inlineStr">
        <is>
          <t>F-006</t>
        </is>
      </c>
      <c r="W130" s="19" t="inlineStr">
        <is>
          <t>ja</t>
        </is>
      </c>
      <c r="X130" s="19" t="n"/>
      <c r="Y130" s="19" t="inlineStr">
        <is>
          <t>verfügbar</t>
        </is>
      </c>
      <c r="Z130" s="19" t="n"/>
      <c r="AA130" s="19" t="n"/>
      <c r="AB130" s="19" t="n"/>
      <c r="AC130" s="20" t="n"/>
      <c r="AD130" s="21">
        <f>IF(J130="","",J130*AC130)</f>
        <v/>
      </c>
      <c r="AE130" s="19" t="n"/>
      <c r="AF130" s="19" t="n"/>
      <c r="AG130" s="19" t="n"/>
      <c r="AH130" s="19" t="n"/>
      <c r="AI130" s="19" t="n"/>
      <c r="AJ130" s="19" t="n"/>
      <c r="AK130" s="16" t="inlineStr">
        <is>
          <t>1 große Einheit im Bild</t>
        </is>
      </c>
      <c r="AL130" s="22" t="n"/>
    </row>
    <row r="131" ht="30" customHeight="1">
      <c r="A131" s="15" t="inlineStr">
        <is>
          <t>NU04-03</t>
        </is>
      </c>
      <c r="B131" s="15" t="inlineStr">
        <is>
          <t>K-011</t>
        </is>
      </c>
      <c r="C131" s="15" t="inlineStr">
        <is>
          <t>NU04</t>
        </is>
      </c>
      <c r="D131" s="15" t="inlineStr">
        <is>
          <t>Massivholztisch mit Baumkante</t>
        </is>
      </c>
      <c r="E131" s="16" t="inlineStr">
        <is>
          <t>Massivholzplatte mit natürlicher Baumkante, schwarzes Metallgestell, ca. 200 x 90 cm</t>
        </is>
      </c>
      <c r="F131" s="15" t="inlineStr">
        <is>
          <t>Möbel</t>
        </is>
      </c>
      <c r="G131" s="15" t="inlineStr">
        <is>
          <t>Schlafraum 5</t>
        </is>
      </c>
      <c r="H131" s="15" t="inlineStr">
        <is>
          <t>A</t>
        </is>
      </c>
      <c r="I131" s="17" t="n">
        <v>1</v>
      </c>
      <c r="J131" s="17" t="n"/>
      <c r="K131" s="18">
        <f>I131-IF(J131="",0,J131)</f>
        <v/>
      </c>
      <c r="L131" s="15" t="inlineStr">
        <is>
          <t>Stück</t>
        </is>
      </c>
      <c r="M131" s="15" t="inlineStr">
        <is>
          <t>gut</t>
        </is>
      </c>
      <c r="N131" s="19" t="n"/>
      <c r="O131" s="19" t="inlineStr">
        <is>
          <t>ja</t>
        </is>
      </c>
      <c r="P131" s="19" t="n"/>
      <c r="Q131" s="20" t="n"/>
      <c r="R131" s="20" t="n">
        <v>450</v>
      </c>
      <c r="S131" s="19" t="inlineStr">
        <is>
          <t>VHB</t>
        </is>
      </c>
      <c r="T131" s="21">
        <f>K131*R131</f>
        <v/>
      </c>
      <c r="U131" s="15" t="inlineStr">
        <is>
          <t>nur Abholung</t>
        </is>
      </c>
      <c r="V131" s="15" t="inlineStr">
        <is>
          <t>F-007</t>
        </is>
      </c>
      <c r="W131" s="19" t="inlineStr">
        <is>
          <t>ja</t>
        </is>
      </c>
      <c r="X131" s="19" t="n"/>
      <c r="Y131" s="19" t="inlineStr">
        <is>
          <t>verfügbar</t>
        </is>
      </c>
      <c r="Z131" s="19" t="n"/>
      <c r="AA131" s="19" t="n"/>
      <c r="AB131" s="19" t="n"/>
      <c r="AC131" s="20" t="n"/>
      <c r="AD131" s="21">
        <f>IF(J131="","",J131*AC131)</f>
        <v/>
      </c>
      <c r="AE131" s="19" t="n"/>
      <c r="AF131" s="19" t="n"/>
      <c r="AG131" s="19" t="n"/>
      <c r="AH131" s="19" t="n"/>
      <c r="AI131" s="19" t="n"/>
      <c r="AJ131" s="19" t="n"/>
      <c r="AK131" s="16" t="inlineStr">
        <is>
          <t>1 Tisch im Vordergrund, weitere im Hintergrund</t>
        </is>
      </c>
      <c r="AL131" s="22" t="n"/>
    </row>
    <row r="132" ht="30" customHeight="1">
      <c r="A132" s="15" t="inlineStr">
        <is>
          <t>NU04-04</t>
        </is>
      </c>
      <c r="B132" s="15" t="inlineStr">
        <is>
          <t>K-012</t>
        </is>
      </c>
      <c r="C132" s="15" t="inlineStr">
        <is>
          <t>NU04</t>
        </is>
      </c>
      <c r="D132" s="15" t="inlineStr">
        <is>
          <t>Magnettafel grau, groß</t>
        </is>
      </c>
      <c r="E132" s="16" t="inlineStr">
        <is>
          <t>Magnet-/Schreibtafel, grau, beschriftet, Wandmontage</t>
        </is>
      </c>
      <c r="F132" s="15" t="inlineStr">
        <is>
          <t>Büro</t>
        </is>
      </c>
      <c r="G132" s="15" t="inlineStr">
        <is>
          <t>Schlafraum 5</t>
        </is>
      </c>
      <c r="H132" s="15" t="inlineStr">
        <is>
          <t>C</t>
        </is>
      </c>
      <c r="I132" s="17" t="n">
        <v>1</v>
      </c>
      <c r="J132" s="17" t="n"/>
      <c r="K132" s="18">
        <f>I132-IF(J132="",0,J132)</f>
        <v/>
      </c>
      <c r="L132" s="15" t="inlineStr">
        <is>
          <t>Stück</t>
        </is>
      </c>
      <c r="M132" s="15" t="inlineStr">
        <is>
          <t>gut</t>
        </is>
      </c>
      <c r="N132" s="19" t="n"/>
      <c r="O132" s="19" t="inlineStr">
        <is>
          <t>ja</t>
        </is>
      </c>
      <c r="P132" s="19" t="n"/>
      <c r="Q132" s="20" t="n"/>
      <c r="R132" s="20" t="n">
        <v>45</v>
      </c>
      <c r="S132" s="19" t="inlineStr">
        <is>
          <t>VHB</t>
        </is>
      </c>
      <c r="T132" s="21">
        <f>K132*R132</f>
        <v/>
      </c>
      <c r="U132" s="15" t="inlineStr">
        <is>
          <t>nur Abholung</t>
        </is>
      </c>
      <c r="V132" s="15" t="inlineStr">
        <is>
          <t>F-008</t>
        </is>
      </c>
      <c r="W132" s="19" t="inlineStr">
        <is>
          <t>ja</t>
        </is>
      </c>
      <c r="X132" s="19" t="n"/>
      <c r="Y132" s="19" t="inlineStr">
        <is>
          <t>verfügbar</t>
        </is>
      </c>
      <c r="Z132" s="19" t="n"/>
      <c r="AA132" s="19" t="n"/>
      <c r="AB132" s="19" t="n"/>
      <c r="AC132" s="20" t="n"/>
      <c r="AD132" s="21">
        <f>IF(J132="","",J132*AC132)</f>
        <v/>
      </c>
      <c r="AE132" s="19" t="n"/>
      <c r="AF132" s="19" t="n"/>
      <c r="AG132" s="19" t="n"/>
      <c r="AH132" s="19" t="n"/>
      <c r="AI132" s="19" t="n"/>
      <c r="AJ132" s="19" t="n"/>
      <c r="AK132" s="16" t="inlineStr">
        <is>
          <t>1 Stück im Bild</t>
        </is>
      </c>
      <c r="AL132" s="22" t="n"/>
    </row>
    <row r="133" ht="30" customHeight="1">
      <c r="A133" s="15" t="inlineStr">
        <is>
          <t>NU04-05</t>
        </is>
      </c>
      <c r="B133" s="15" t="inlineStr">
        <is>
          <t>K-014</t>
        </is>
      </c>
      <c r="C133" s="15" t="inlineStr">
        <is>
          <t>NU04</t>
        </is>
      </c>
      <c r="D133" s="15" t="inlineStr">
        <is>
          <t>Hochflorteppich beige</t>
        </is>
      </c>
      <c r="E133" s="16" t="inlineStr">
        <is>
          <t>Shaggy/Hochflor, beige, ca. 200 x 300 cm, gereinigt</t>
        </is>
      </c>
      <c r="F133" s="15" t="inlineStr">
        <is>
          <t>Textilien</t>
        </is>
      </c>
      <c r="G133" s="15" t="inlineStr">
        <is>
          <t>Schlafraum 5</t>
        </is>
      </c>
      <c r="H133" s="15" t="inlineStr">
        <is>
          <t>C</t>
        </is>
      </c>
      <c r="I133" s="17" t="n">
        <v>2</v>
      </c>
      <c r="J133" s="17" t="n"/>
      <c r="K133" s="18">
        <f>I133-IF(J133="",0,J133)</f>
        <v/>
      </c>
      <c r="L133" s="15" t="inlineStr">
        <is>
          <t>Stück</t>
        </is>
      </c>
      <c r="M133" s="15" t="inlineStr">
        <is>
          <t>gebraucht</t>
        </is>
      </c>
      <c r="N133" s="19" t="n"/>
      <c r="O133" s="19" t="inlineStr">
        <is>
          <t>ja</t>
        </is>
      </c>
      <c r="P133" s="19" t="n"/>
      <c r="Q133" s="20" t="n"/>
      <c r="R133" s="20" t="n">
        <v>35</v>
      </c>
      <c r="S133" s="19" t="inlineStr">
        <is>
          <t>VHB</t>
        </is>
      </c>
      <c r="T133" s="21">
        <f>K133*R133</f>
        <v/>
      </c>
      <c r="U133" s="15" t="inlineStr">
        <is>
          <t>Versand möglich</t>
        </is>
      </c>
      <c r="V133" s="15" t="inlineStr">
        <is>
          <t>F-009</t>
        </is>
      </c>
      <c r="W133" s="19" t="inlineStr">
        <is>
          <t>ja</t>
        </is>
      </c>
      <c r="X133" s="19" t="n"/>
      <c r="Y133" s="19" t="inlineStr">
        <is>
          <t>verfügbar</t>
        </is>
      </c>
      <c r="Z133" s="19" t="n"/>
      <c r="AA133" s="19" t="n"/>
      <c r="AB133" s="19" t="n"/>
      <c r="AC133" s="20" t="n"/>
      <c r="AD133" s="21">
        <f>IF(J133="","",J133*AC133)</f>
        <v/>
      </c>
      <c r="AE133" s="19" t="n"/>
      <c r="AF133" s="19" t="n"/>
      <c r="AG133" s="19" t="n"/>
      <c r="AH133" s="19" t="n"/>
      <c r="AI133" s="19" t="n"/>
      <c r="AJ133" s="19" t="n"/>
      <c r="AK133" s="16" t="inlineStr">
        <is>
          <t>2 Stück (zwei Einzelfotos)</t>
        </is>
      </c>
      <c r="AL133" s="22" t="n"/>
    </row>
    <row r="134" ht="30" customHeight="1">
      <c r="A134" s="15" t="inlineStr">
        <is>
          <t>NU04-06</t>
        </is>
      </c>
      <c r="B134" s="15" t="inlineStr">
        <is>
          <t>K-015</t>
        </is>
      </c>
      <c r="C134" s="15" t="inlineStr">
        <is>
          <t>NU04</t>
        </is>
      </c>
      <c r="D134" s="15" t="inlineStr">
        <is>
          <t>Teppich schwarz-weiß Rautenmuster</t>
        </is>
      </c>
      <c r="E134" s="16" t="inlineStr">
        <is>
          <t>Flachgewebe, Rautenmuster schwarz/weiß, ca. 200 x 300 cm</t>
        </is>
      </c>
      <c r="F134" s="15" t="inlineStr">
        <is>
          <t>Textilien</t>
        </is>
      </c>
      <c r="G134" s="15" t="inlineStr">
        <is>
          <t>Schlafraum 5</t>
        </is>
      </c>
      <c r="H134" s="15" t="inlineStr">
        <is>
          <t>C</t>
        </is>
      </c>
      <c r="I134" s="17" t="n">
        <v>2</v>
      </c>
      <c r="J134" s="17" t="n"/>
      <c r="K134" s="18">
        <f>I134-IF(J134="",0,J134)</f>
        <v/>
      </c>
      <c r="L134" s="15" t="inlineStr">
        <is>
          <t>Stück</t>
        </is>
      </c>
      <c r="M134" s="15" t="inlineStr">
        <is>
          <t>gebraucht</t>
        </is>
      </c>
      <c r="N134" s="19" t="n"/>
      <c r="O134" s="19" t="inlineStr">
        <is>
          <t>ja</t>
        </is>
      </c>
      <c r="P134" s="19" t="n"/>
      <c r="Q134" s="20" t="n"/>
      <c r="R134" s="20" t="n">
        <v>30</v>
      </c>
      <c r="S134" s="19" t="inlineStr">
        <is>
          <t>VHB</t>
        </is>
      </c>
      <c r="T134" s="21">
        <f>K134*R134</f>
        <v/>
      </c>
      <c r="U134" s="15" t="inlineStr">
        <is>
          <t>Versand möglich</t>
        </is>
      </c>
      <c r="V134" s="15" t="inlineStr">
        <is>
          <t>F-011</t>
        </is>
      </c>
      <c r="W134" s="19" t="inlineStr">
        <is>
          <t>ja</t>
        </is>
      </c>
      <c r="X134" s="19" t="n"/>
      <c r="Y134" s="19" t="inlineStr">
        <is>
          <t>verfügbar</t>
        </is>
      </c>
      <c r="Z134" s="19" t="n"/>
      <c r="AA134" s="19" t="n"/>
      <c r="AB134" s="19" t="n"/>
      <c r="AC134" s="20" t="n"/>
      <c r="AD134" s="21">
        <f>IF(J134="","",J134*AC134)</f>
        <v/>
      </c>
      <c r="AE134" s="19" t="n"/>
      <c r="AF134" s="19" t="n"/>
      <c r="AG134" s="19" t="n"/>
      <c r="AH134" s="19" t="n"/>
      <c r="AI134" s="19" t="n"/>
      <c r="AJ134" s="19" t="n"/>
      <c r="AK134" s="16" t="inlineStr">
        <is>
          <t>2 Stück im Bild</t>
        </is>
      </c>
      <c r="AL134" s="22" t="n"/>
    </row>
    <row r="135" ht="30" customHeight="1">
      <c r="A135" s="15" t="inlineStr">
        <is>
          <t>TE01-01</t>
        </is>
      </c>
      <c r="B135" s="15" t="inlineStr">
        <is>
          <t>K-121</t>
        </is>
      </c>
      <c r="C135" s="15" t="inlineStr">
        <is>
          <t>TE01</t>
        </is>
      </c>
      <c r="D135" s="15" t="inlineStr">
        <is>
          <t>Biohort Freizeitbox weiß (Terrasse)</t>
        </is>
      </c>
      <c r="E135" s="16" t="inlineStr">
        <is>
          <t>Biohort Freizeitbox weiß (Terrasse)
Alu-Auflagenbox, weiß, abschließbar, wetterfest</t>
        </is>
      </c>
      <c r="F135" s="15" t="inlineStr">
        <is>
          <t>Garten</t>
        </is>
      </c>
      <c r="G135" s="15" t="inlineStr">
        <is>
          <t>Terrasse</t>
        </is>
      </c>
      <c r="H135" s="15" t="inlineStr">
        <is>
          <t>A</t>
        </is>
      </c>
      <c r="I135" s="17" t="n">
        <v>1</v>
      </c>
      <c r="J135" s="17" t="n"/>
      <c r="K135" s="18">
        <f>I135-IF(J135="",0,J135)</f>
        <v/>
      </c>
      <c r="L135" s="15" t="inlineStr">
        <is>
          <t>Stück</t>
        </is>
      </c>
      <c r="M135" s="15" t="inlineStr">
        <is>
          <t>gut</t>
        </is>
      </c>
      <c r="N135" s="19" t="n"/>
      <c r="O135" s="19" t="inlineStr">
        <is>
          <t>ja</t>
        </is>
      </c>
      <c r="P135" s="19" t="n"/>
      <c r="Q135" s="20" t="n"/>
      <c r="R135" s="20" t="n">
        <v>410</v>
      </c>
      <c r="S135" s="19" t="inlineStr">
        <is>
          <t>VHB</t>
        </is>
      </c>
      <c r="T135" s="21">
        <f>K135*R135</f>
        <v/>
      </c>
      <c r="U135" s="15" t="inlineStr">
        <is>
          <t>nur Abholung</t>
        </is>
      </c>
      <c r="V135" s="15" t="inlineStr">
        <is>
          <t>F-094</t>
        </is>
      </c>
      <c r="W135" s="19" t="inlineStr">
        <is>
          <t>ja</t>
        </is>
      </c>
      <c r="X135" s="19" t="n"/>
      <c r="Y135" s="19" t="inlineStr">
        <is>
          <t>verfügbar</t>
        </is>
      </c>
      <c r="Z135" s="19" t="inlineStr">
        <is>
          <t>Biohort</t>
        </is>
      </c>
      <c r="AA135" s="19" t="n"/>
      <c r="AB135" s="19" t="n"/>
      <c r="AC135" s="20" t="n"/>
      <c r="AD135" s="21">
        <f>IF(J135="","",J135*AC135)</f>
        <v/>
      </c>
      <c r="AE135" s="19" t="n"/>
      <c r="AF135" s="19" t="n"/>
      <c r="AG135" s="19" t="n"/>
      <c r="AH135" s="19" t="n"/>
      <c r="AI135" s="19" t="n"/>
      <c r="AJ135" s="19" t="n"/>
      <c r="AK135" s="16" t="inlineStr">
        <is>
          <t>1 Box im Bild</t>
        </is>
      </c>
      <c r="AL135" s="22" t="n"/>
    </row>
    <row r="136" ht="30" customHeight="1">
      <c r="A136" s="15" t="inlineStr">
        <is>
          <t>TE01-02</t>
        </is>
      </c>
      <c r="B136" s="15" t="inlineStr">
        <is>
          <t>K-123</t>
        </is>
      </c>
      <c r="C136" s="15" t="inlineStr">
        <is>
          <t>TE01</t>
        </is>
      </c>
      <c r="D136" s="15" t="inlineStr">
        <is>
          <t>Gartentisch mit Granitplatte inkl. Stühle und Schutzhülle</t>
        </is>
      </c>
      <c r="E136" s="16" t="inlineStr">
        <is>
          <t>Granitplatte auf Aluminiumgestell, ca. 160 x 90 cm inkl. Stühle und Schutzhülle</t>
        </is>
      </c>
      <c r="F136" s="15" t="inlineStr">
        <is>
          <t>Garten</t>
        </is>
      </c>
      <c r="G136" s="15" t="inlineStr">
        <is>
          <t>Terrasse</t>
        </is>
      </c>
      <c r="H136" s="15" t="inlineStr">
        <is>
          <t>A</t>
        </is>
      </c>
      <c r="I136" s="17" t="n">
        <v>1</v>
      </c>
      <c r="J136" s="17" t="n"/>
      <c r="K136" s="18">
        <f>I136-IF(J136="",0,J136)</f>
        <v/>
      </c>
      <c r="L136" s="15" t="inlineStr">
        <is>
          <t>Stück</t>
        </is>
      </c>
      <c r="M136" s="15" t="inlineStr">
        <is>
          <t>gut</t>
        </is>
      </c>
      <c r="N136" s="19" t="n"/>
      <c r="O136" s="19" t="inlineStr">
        <is>
          <t>ja</t>
        </is>
      </c>
      <c r="P136" s="19" t="n"/>
      <c r="Q136" s="20" t="n"/>
      <c r="R136" s="20" t="n">
        <v>280</v>
      </c>
      <c r="S136" s="19" t="inlineStr">
        <is>
          <t>VHB</t>
        </is>
      </c>
      <c r="T136" s="21">
        <f>K136*R136</f>
        <v/>
      </c>
      <c r="U136" s="15" t="inlineStr">
        <is>
          <t>nur Abholung</t>
        </is>
      </c>
      <c r="V136" s="15" t="inlineStr">
        <is>
          <t>F-095</t>
        </is>
      </c>
      <c r="W136" s="19" t="inlineStr">
        <is>
          <t>ja</t>
        </is>
      </c>
      <c r="X136" s="19" t="n"/>
      <c r="Y136" s="19" t="inlineStr">
        <is>
          <t>verfügbar</t>
        </is>
      </c>
      <c r="Z136" s="19" t="n"/>
      <c r="AA136" s="19" t="n"/>
      <c r="AB136" s="19" t="n"/>
      <c r="AC136" s="20" t="n"/>
      <c r="AD136" s="21">
        <f>IF(J136="","",J136*AC136)</f>
        <v/>
      </c>
      <c r="AE136" s="19" t="n"/>
      <c r="AF136" s="19" t="n"/>
      <c r="AG136" s="19" t="n"/>
      <c r="AH136" s="19" t="n"/>
      <c r="AI136" s="19" t="n"/>
      <c r="AJ136" s="19" t="n"/>
      <c r="AK136" s="16" t="inlineStr">
        <is>
          <t>1 Tisch im Bild</t>
        </is>
      </c>
      <c r="AL136" s="22" t="n"/>
    </row>
    <row r="137" ht="30" customHeight="1">
      <c r="A137" s="15" t="inlineStr">
        <is>
          <t>TE01-03</t>
        </is>
      </c>
      <c r="B137" s="15" t="inlineStr">
        <is>
          <t>K-125</t>
        </is>
      </c>
      <c r="C137" s="15" t="inlineStr">
        <is>
          <t>TE01</t>
        </is>
      </c>
      <c r="D137" s="15" t="inlineStr">
        <is>
          <t>Textilene-Stapelsessel anthrazit</t>
        </is>
      </c>
      <c r="E137" s="16" t="inlineStr">
        <is>
          <t>Hochlehner, Aluminiumrahmen mit Textilenbespannung, stapelbar</t>
        </is>
      </c>
      <c r="F137" s="15" t="inlineStr">
        <is>
          <t>Garten</t>
        </is>
      </c>
      <c r="G137" s="15" t="inlineStr">
        <is>
          <t>Terrasse</t>
        </is>
      </c>
      <c r="H137" s="15" t="inlineStr">
        <is>
          <t>B</t>
        </is>
      </c>
      <c r="I137" s="17" t="n">
        <v>4</v>
      </c>
      <c r="J137" s="17" t="n"/>
      <c r="K137" s="18">
        <f>I137-IF(J137="",0,J137)</f>
        <v/>
      </c>
      <c r="L137" s="15" t="inlineStr">
        <is>
          <t>Stück</t>
        </is>
      </c>
      <c r="M137" s="15" t="inlineStr">
        <is>
          <t>stark gebraucht</t>
        </is>
      </c>
      <c r="N137" s="19" t="n"/>
      <c r="O137" s="19" t="inlineStr">
        <is>
          <t>ja</t>
        </is>
      </c>
      <c r="P137" s="19" t="n"/>
      <c r="Q137" s="20" t="n"/>
      <c r="R137" s="20" t="n">
        <v>10</v>
      </c>
      <c r="S137" s="19" t="inlineStr">
        <is>
          <t>VHB</t>
        </is>
      </c>
      <c r="T137" s="21">
        <f>K137*R137</f>
        <v/>
      </c>
      <c r="U137" s="15" t="inlineStr">
        <is>
          <t>nur Abholung</t>
        </is>
      </c>
      <c r="V137" s="15" t="inlineStr">
        <is>
          <t>F-096</t>
        </is>
      </c>
      <c r="W137" s="19" t="inlineStr">
        <is>
          <t>ja</t>
        </is>
      </c>
      <c r="X137" s="19" t="n"/>
      <c r="Y137" s="19" t="inlineStr">
        <is>
          <t>verfügbar</t>
        </is>
      </c>
      <c r="Z137" s="19" t="n"/>
      <c r="AA137" s="19" t="n"/>
      <c r="AB137" s="19" t="n"/>
      <c r="AC137" s="20" t="n"/>
      <c r="AD137" s="21">
        <f>IF(J137="","",J137*AC137)</f>
        <v/>
      </c>
      <c r="AE137" s="19" t="n"/>
      <c r="AF137" s="19" t="n"/>
      <c r="AG137" s="19" t="n"/>
      <c r="AH137" s="19" t="n"/>
      <c r="AI137" s="19" t="n"/>
      <c r="AJ137" s="19" t="n"/>
      <c r="AK137" s="16" t="inlineStr">
        <is>
          <t>4 Stück im Bild</t>
        </is>
      </c>
      <c r="AL137" s="22" t="n"/>
    </row>
    <row r="138" ht="30" customHeight="1">
      <c r="A138" s="15" t="inlineStr">
        <is>
          <t>TE01-04</t>
        </is>
      </c>
      <c r="B138" s="15" t="inlineStr">
        <is>
          <t>K-132</t>
        </is>
      </c>
      <c r="C138" s="15" t="inlineStr">
        <is>
          <t>TE01</t>
        </is>
      </c>
      <c r="D138" s="15" t="inlineStr">
        <is>
          <t>Weber Genesis Gasgrill</t>
        </is>
      </c>
      <c r="E138" s="16" t="inlineStr">
        <is>
          <t>Weber Genesis, Kupfer/Edelstahl, 4 Brenner mit Sear Station, inkl. Gasflasche</t>
        </is>
      </c>
      <c r="F138" s="15" t="inlineStr">
        <is>
          <t>Garten</t>
        </is>
      </c>
      <c r="G138" s="15" t="inlineStr">
        <is>
          <t>Terrasse</t>
        </is>
      </c>
      <c r="H138" s="15" t="inlineStr">
        <is>
          <t>A</t>
        </is>
      </c>
      <c r="I138" s="17" t="n">
        <v>1</v>
      </c>
      <c r="J138" s="17" t="n"/>
      <c r="K138" s="18">
        <f>I138-IF(J138="",0,J138)</f>
        <v/>
      </c>
      <c r="L138" s="15" t="inlineStr">
        <is>
          <t>Stück</t>
        </is>
      </c>
      <c r="M138" s="15" t="inlineStr">
        <is>
          <t>gebraucht</t>
        </is>
      </c>
      <c r="N138" s="19" t="n"/>
      <c r="O138" s="19" t="inlineStr">
        <is>
          <t>ja</t>
        </is>
      </c>
      <c r="P138" s="19" t="n"/>
      <c r="Q138" s="20" t="n"/>
      <c r="R138" s="20" t="n">
        <v>450</v>
      </c>
      <c r="S138" s="19" t="inlineStr">
        <is>
          <t>VHB</t>
        </is>
      </c>
      <c r="T138" s="21">
        <f>K138*R138</f>
        <v/>
      </c>
      <c r="U138" s="15" t="inlineStr">
        <is>
          <t>nur Abholung</t>
        </is>
      </c>
      <c r="V138" s="15" t="inlineStr">
        <is>
          <t>F-102</t>
        </is>
      </c>
      <c r="W138" s="19" t="inlineStr">
        <is>
          <t>ja</t>
        </is>
      </c>
      <c r="X138" s="19" t="inlineStr">
        <is>
          <t>ja</t>
        </is>
      </c>
      <c r="Y138" s="19" t="inlineStr">
        <is>
          <t>verfügbar</t>
        </is>
      </c>
      <c r="Z138" s="19" t="inlineStr">
        <is>
          <t>Weber</t>
        </is>
      </c>
      <c r="AA138" s="19" t="n"/>
      <c r="AB138" s="19" t="n"/>
      <c r="AC138" s="20" t="n"/>
      <c r="AD138" s="21">
        <f>IF(J138="","",J138*AC138)</f>
        <v/>
      </c>
      <c r="AE138" s="19" t="n"/>
      <c r="AF138" s="19" t="n"/>
      <c r="AG138" s="19" t="n"/>
      <c r="AH138" s="19" t="n"/>
      <c r="AI138" s="19" t="n"/>
      <c r="AJ138" s="19" t="n"/>
      <c r="AK138" s="16" t="inlineStr">
        <is>
          <t>1 Grill im Bild</t>
        </is>
      </c>
      <c r="AL138" s="22" t="n"/>
    </row>
    <row r="139" ht="30" customHeight="1">
      <c r="A139" s="15" t="inlineStr">
        <is>
          <t>TE01-05</t>
        </is>
      </c>
      <c r="B139" s="15" t="inlineStr">
        <is>
          <t>K-133</t>
        </is>
      </c>
      <c r="C139" s="15" t="inlineStr">
        <is>
          <t>TE01</t>
        </is>
      </c>
      <c r="D139" s="15" t="inlineStr">
        <is>
          <t>Sonnenschirm creme</t>
        </is>
      </c>
      <c r="E139" s="16" t="inlineStr">
        <is>
          <t>Marktschirm mit Holzstiel, creme, ca. 3 m Durchmesser</t>
        </is>
      </c>
      <c r="F139" s="15" t="inlineStr">
        <is>
          <t>Garten</t>
        </is>
      </c>
      <c r="G139" s="15" t="inlineStr">
        <is>
          <t>Terrasse</t>
        </is>
      </c>
      <c r="H139" s="15" t="inlineStr">
        <is>
          <t>C</t>
        </is>
      </c>
      <c r="I139" s="17" t="n">
        <v>1</v>
      </c>
      <c r="J139" s="17" t="n"/>
      <c r="K139" s="18">
        <f>I139-IF(J139="",0,J139)</f>
        <v/>
      </c>
      <c r="L139" s="15" t="inlineStr">
        <is>
          <t>Stück</t>
        </is>
      </c>
      <c r="M139" s="15" t="inlineStr">
        <is>
          <t>gebraucht</t>
        </is>
      </c>
      <c r="N139" s="19" t="n"/>
      <c r="O139" s="19" t="inlineStr">
        <is>
          <t>ja</t>
        </is>
      </c>
      <c r="P139" s="19" t="n"/>
      <c r="Q139" s="20" t="n"/>
      <c r="R139" s="20" t="n">
        <v>70</v>
      </c>
      <c r="S139" s="19" t="inlineStr">
        <is>
          <t>VHB</t>
        </is>
      </c>
      <c r="T139" s="21">
        <f>K139*R139</f>
        <v/>
      </c>
      <c r="U139" s="15" t="inlineStr">
        <is>
          <t>nur Abholung</t>
        </is>
      </c>
      <c r="V139" s="15" t="inlineStr">
        <is>
          <t>F-103</t>
        </is>
      </c>
      <c r="W139" s="19" t="inlineStr">
        <is>
          <t>ja</t>
        </is>
      </c>
      <c r="X139" s="19" t="n"/>
      <c r="Y139" s="19" t="inlineStr">
        <is>
          <t>verfügbar</t>
        </is>
      </c>
      <c r="Z139" s="19" t="n"/>
      <c r="AA139" s="19" t="n"/>
      <c r="AB139" s="19" t="n"/>
      <c r="AC139" s="20" t="n"/>
      <c r="AD139" s="21">
        <f>IF(J139="","",J139*AC139)</f>
        <v/>
      </c>
      <c r="AE139" s="19" t="n"/>
      <c r="AF139" s="19" t="n"/>
      <c r="AG139" s="19" t="n"/>
      <c r="AH139" s="19" t="n"/>
      <c r="AI139" s="19" t="n"/>
      <c r="AJ139" s="19" t="n"/>
      <c r="AK139" s="16" t="inlineStr">
        <is>
          <t>1 Schirm im Bild</t>
        </is>
      </c>
      <c r="AL139" s="22" t="n"/>
    </row>
    <row r="140" ht="30" customHeight="1">
      <c r="A140" s="15" t="inlineStr">
        <is>
          <t>TE02-01</t>
        </is>
      </c>
      <c r="B140" s="15" t="inlineStr">
        <is>
          <t>K-127</t>
        </is>
      </c>
      <c r="C140" s="15" t="inlineStr">
        <is>
          <t>TE02</t>
        </is>
      </c>
      <c r="D140" s="15" t="inlineStr">
        <is>
          <t>Pflanzkübel Plastik weiß</t>
        </is>
      </c>
      <c r="E140" s="16" t="inlineStr">
        <is>
          <t>Runder Pflanzkübel, Betonoptik weiß, Durchmesser ca. 50 cm</t>
        </is>
      </c>
      <c r="F140" s="15" t="inlineStr">
        <is>
          <t>Garten</t>
        </is>
      </c>
      <c r="G140" s="15" t="inlineStr">
        <is>
          <t>Dachterrasse</t>
        </is>
      </c>
      <c r="H140" s="15" t="inlineStr">
        <is>
          <t>C</t>
        </is>
      </c>
      <c r="I140" s="17" t="n">
        <v>4</v>
      </c>
      <c r="J140" s="17" t="n"/>
      <c r="K140" s="18">
        <f>I140-IF(J140="",0,J140)</f>
        <v/>
      </c>
      <c r="L140" s="15" t="inlineStr">
        <is>
          <t>Stück</t>
        </is>
      </c>
      <c r="M140" s="15" t="inlineStr">
        <is>
          <t>gebraucht</t>
        </is>
      </c>
      <c r="N140" s="19" t="n"/>
      <c r="O140" s="19" t="inlineStr">
        <is>
          <t>ja</t>
        </is>
      </c>
      <c r="P140" s="19" t="n"/>
      <c r="Q140" s="20" t="n"/>
      <c r="R140" s="20" t="n">
        <v>60</v>
      </c>
      <c r="S140" s="19" t="inlineStr">
        <is>
          <t>VHB</t>
        </is>
      </c>
      <c r="T140" s="21">
        <f>K140*R140</f>
        <v/>
      </c>
      <c r="U140" s="15" t="inlineStr">
        <is>
          <t>nur Abholung</t>
        </is>
      </c>
      <c r="V140" s="15" t="inlineStr">
        <is>
          <t>F-098</t>
        </is>
      </c>
      <c r="W140" s="19" t="inlineStr">
        <is>
          <t>ja</t>
        </is>
      </c>
      <c r="X140" s="19" t="n"/>
      <c r="Y140" s="19" t="inlineStr">
        <is>
          <t>verfügbar</t>
        </is>
      </c>
      <c r="Z140" s="19" t="n"/>
      <c r="AA140" s="19" t="n"/>
      <c r="AB140" s="19" t="n"/>
      <c r="AC140" s="20" t="n"/>
      <c r="AD140" s="21">
        <f>IF(J140="","",J140*AC140)</f>
        <v/>
      </c>
      <c r="AE140" s="19" t="n"/>
      <c r="AF140" s="19" t="n"/>
      <c r="AG140" s="19" t="n"/>
      <c r="AH140" s="19" t="n"/>
      <c r="AI140" s="19" t="n"/>
      <c r="AJ140" s="19" t="n"/>
      <c r="AK140" s="16" t="inlineStr">
        <is>
          <t>3 Kübel im Bild</t>
        </is>
      </c>
      <c r="AL140" s="22" t="n"/>
    </row>
    <row r="141" ht="30" customHeight="1">
      <c r="A141" s="15" t="inlineStr">
        <is>
          <t>TE02-02</t>
        </is>
      </c>
      <c r="B141" s="15" t="inlineStr">
        <is>
          <t>K-128</t>
        </is>
      </c>
      <c r="C141" s="15" t="inlineStr">
        <is>
          <t>TE02</t>
        </is>
      </c>
      <c r="D141" s="15" t="inlineStr">
        <is>
          <t>Gartenstuhl Kunststoff anthrazit</t>
        </is>
      </c>
      <c r="E141" s="16" t="inlineStr">
        <is>
          <t>Stapelbarer Gartenstuhl mit Armlehnen, anthrazit</t>
        </is>
      </c>
      <c r="F141" s="15" t="inlineStr">
        <is>
          <t>Garten</t>
        </is>
      </c>
      <c r="G141" s="15" t="inlineStr">
        <is>
          <t>Dachterrasse</t>
        </is>
      </c>
      <c r="H141" s="15" t="inlineStr">
        <is>
          <t>C</t>
        </is>
      </c>
      <c r="I141" s="17" t="n">
        <v>4</v>
      </c>
      <c r="J141" s="17" t="n"/>
      <c r="K141" s="18">
        <f>I141-IF(J141="",0,J141)</f>
        <v/>
      </c>
      <c r="L141" s="15" t="inlineStr">
        <is>
          <t>Stück</t>
        </is>
      </c>
      <c r="M141" s="15" t="inlineStr">
        <is>
          <t>gebraucht</t>
        </is>
      </c>
      <c r="N141" s="19" t="n"/>
      <c r="O141" s="19" t="inlineStr">
        <is>
          <t>ja</t>
        </is>
      </c>
      <c r="P141" s="19" t="n"/>
      <c r="Q141" s="20" t="n"/>
      <c r="R141" s="20" t="n">
        <v>10</v>
      </c>
      <c r="S141" s="19" t="inlineStr">
        <is>
          <t>VHB</t>
        </is>
      </c>
      <c r="T141" s="21">
        <f>K141*R141</f>
        <v/>
      </c>
      <c r="U141" s="15" t="inlineStr">
        <is>
          <t>nur Abholung</t>
        </is>
      </c>
      <c r="V141" s="15" t="inlineStr">
        <is>
          <t>F-099</t>
        </is>
      </c>
      <c r="W141" s="19" t="inlineStr">
        <is>
          <t>ja</t>
        </is>
      </c>
      <c r="X141" s="19" t="n"/>
      <c r="Y141" s="19" t="inlineStr">
        <is>
          <t>verfügbar</t>
        </is>
      </c>
      <c r="Z141" s="19" t="n"/>
      <c r="AA141" s="19" t="n"/>
      <c r="AB141" s="19" t="n"/>
      <c r="AC141" s="20" t="n"/>
      <c r="AD141" s="21">
        <f>IF(J141="","",J141*AC141)</f>
        <v/>
      </c>
      <c r="AE141" s="19" t="n"/>
      <c r="AF141" s="19" t="n"/>
      <c r="AG141" s="19" t="n"/>
      <c r="AH141" s="19" t="n"/>
      <c r="AI141" s="19" t="n"/>
      <c r="AJ141" s="19" t="n"/>
      <c r="AK141" s="16" t="inlineStr">
        <is>
          <t>4 Stück gestapelt im Bild</t>
        </is>
      </c>
      <c r="AL141" s="22" t="n"/>
    </row>
    <row r="142" ht="30" customHeight="1">
      <c r="A142" s="15" t="inlineStr">
        <is>
          <t>TE02-03</t>
        </is>
      </c>
      <c r="B142" s="15" t="inlineStr">
        <is>
          <t>K-130</t>
        </is>
      </c>
      <c r="C142" s="15" t="inlineStr">
        <is>
          <t>TE02</t>
        </is>
      </c>
      <c r="D142" s="15" t="inlineStr">
        <is>
          <t>Gartentisch anthrazit</t>
        </is>
      </c>
      <c r="E142" s="16" t="inlineStr">
        <is>
          <t>Aluminiumrahmen mit Lamellenplatte in Holzoptik, anthrazit inkl. Stühle</t>
        </is>
      </c>
      <c r="F142" s="15" t="inlineStr">
        <is>
          <t>Garten</t>
        </is>
      </c>
      <c r="G142" s="15" t="inlineStr">
        <is>
          <t>Dachterrasse</t>
        </is>
      </c>
      <c r="H142" s="15" t="inlineStr">
        <is>
          <t>B</t>
        </is>
      </c>
      <c r="I142" s="17" t="n">
        <v>1</v>
      </c>
      <c r="J142" s="17" t="n"/>
      <c r="K142" s="18">
        <f>I142-IF(J142="",0,J142)</f>
        <v/>
      </c>
      <c r="L142" s="15" t="inlineStr">
        <is>
          <t>Stück</t>
        </is>
      </c>
      <c r="M142" s="15" t="inlineStr">
        <is>
          <t>gut</t>
        </is>
      </c>
      <c r="N142" s="19" t="n"/>
      <c r="O142" s="19" t="inlineStr">
        <is>
          <t>ja</t>
        </is>
      </c>
      <c r="P142" s="19" t="n"/>
      <c r="Q142" s="20" t="n"/>
      <c r="R142" s="20" t="n">
        <v>150</v>
      </c>
      <c r="S142" s="19" t="inlineStr">
        <is>
          <t>VHB</t>
        </is>
      </c>
      <c r="T142" s="21">
        <f>K142*R142</f>
        <v/>
      </c>
      <c r="U142" s="15" t="inlineStr">
        <is>
          <t>nur Abholung</t>
        </is>
      </c>
      <c r="V142" s="15" t="inlineStr">
        <is>
          <t>F-101</t>
        </is>
      </c>
      <c r="W142" s="19" t="inlineStr">
        <is>
          <t>ja</t>
        </is>
      </c>
      <c r="X142" s="19" t="n"/>
      <c r="Y142" s="19" t="inlineStr">
        <is>
          <t>verfügbar</t>
        </is>
      </c>
      <c r="Z142" s="19" t="n"/>
      <c r="AA142" s="19" t="n"/>
      <c r="AB142" s="19" t="n"/>
      <c r="AC142" s="20" t="n"/>
      <c r="AD142" s="21">
        <f>IF(J142="","",J142*AC142)</f>
        <v/>
      </c>
      <c r="AE142" s="19" t="n"/>
      <c r="AF142" s="19" t="n"/>
      <c r="AG142" s="19" t="n"/>
      <c r="AH142" s="19" t="n"/>
      <c r="AI142" s="19" t="n"/>
      <c r="AJ142" s="19" t="n"/>
      <c r="AK142" s="16" t="inlineStr">
        <is>
          <t>1 Tisch im Bild</t>
        </is>
      </c>
      <c r="AL142" s="22" t="n"/>
    </row>
    <row r="143" ht="30" customHeight="1">
      <c r="A143" s="15" t="inlineStr">
        <is>
          <t>TE02-04</t>
        </is>
      </c>
      <c r="B143" s="15" t="inlineStr">
        <is>
          <t>K-138</t>
        </is>
      </c>
      <c r="C143" s="15" t="inlineStr">
        <is>
          <t>TE02</t>
        </is>
      </c>
      <c r="D143" s="15" t="inlineStr">
        <is>
          <t>Teak-Klapptisch rund</t>
        </is>
      </c>
      <c r="E143" s="16" t="inlineStr">
        <is>
          <t>Runder Gartenklapptisch aus Hartholz/Teak inkl. Stühle</t>
        </is>
      </c>
      <c r="F143" s="15" t="inlineStr">
        <is>
          <t>Garten</t>
        </is>
      </c>
      <c r="G143" s="15" t="inlineStr">
        <is>
          <t>Dachterrasse</t>
        </is>
      </c>
      <c r="H143" s="15" t="inlineStr">
        <is>
          <t>A</t>
        </is>
      </c>
      <c r="I143" s="17" t="n">
        <v>1</v>
      </c>
      <c r="J143" s="17" t="n"/>
      <c r="K143" s="18">
        <f>I143-IF(J143="",0,J143)</f>
        <v/>
      </c>
      <c r="L143" s="15" t="inlineStr">
        <is>
          <t>Set</t>
        </is>
      </c>
      <c r="M143" s="15" t="inlineStr">
        <is>
          <t>gebraucht</t>
        </is>
      </c>
      <c r="N143" s="19" t="n"/>
      <c r="O143" s="19" t="inlineStr">
        <is>
          <t>ja</t>
        </is>
      </c>
      <c r="P143" s="19" t="n"/>
      <c r="Q143" s="20" t="n"/>
      <c r="R143" s="20" t="n">
        <v>150</v>
      </c>
      <c r="S143" s="19" t="inlineStr">
        <is>
          <t>VHB</t>
        </is>
      </c>
      <c r="T143" s="21">
        <f>K143*R143</f>
        <v/>
      </c>
      <c r="U143" s="15" t="inlineStr">
        <is>
          <t>nur Abholung</t>
        </is>
      </c>
      <c r="V143" s="15" t="inlineStr">
        <is>
          <t>F-105</t>
        </is>
      </c>
      <c r="W143" s="19" t="inlineStr">
        <is>
          <t>ja</t>
        </is>
      </c>
      <c r="X143" s="19" t="n"/>
      <c r="Y143" s="19" t="inlineStr">
        <is>
          <t>verfügbar</t>
        </is>
      </c>
      <c r="Z143" s="19" t="n"/>
      <c r="AA143" s="19" t="n"/>
      <c r="AB143" s="19" t="n"/>
      <c r="AC143" s="20" t="n"/>
      <c r="AD143" s="21">
        <f>IF(J143="","",J143*AC143)</f>
        <v/>
      </c>
      <c r="AE143" s="19" t="n"/>
      <c r="AF143" s="19" t="n"/>
      <c r="AG143" s="19" t="n"/>
      <c r="AH143" s="19" t="n"/>
      <c r="AI143" s="19" t="n"/>
      <c r="AJ143" s="19" t="n"/>
      <c r="AK143" s="16" t="inlineStr">
        <is>
          <t>1 Tisch im Bild</t>
        </is>
      </c>
      <c r="AL143" s="22" t="n"/>
    </row>
    <row r="144" ht="30" customHeight="1">
      <c r="A144" s="15" t="inlineStr">
        <is>
          <t>TE02-05</t>
        </is>
      </c>
      <c r="B144" s="15" t="inlineStr">
        <is>
          <t>K-139</t>
        </is>
      </c>
      <c r="C144" s="15" t="inlineStr">
        <is>
          <t>TE02</t>
        </is>
      </c>
      <c r="D144" s="15" t="inlineStr">
        <is>
          <t>Pflanzkübel grau, groß</t>
        </is>
      </c>
      <c r="E144" s="16" t="inlineStr">
        <is>
          <t>Kunststoff-Pflanzkübel grau, Durchmesser ca. 60 cm</t>
        </is>
      </c>
      <c r="F144" s="15" t="inlineStr">
        <is>
          <t>Garten</t>
        </is>
      </c>
      <c r="G144" s="15" t="inlineStr">
        <is>
          <t>Dachterrasse</t>
        </is>
      </c>
      <c r="H144" s="15" t="inlineStr">
        <is>
          <t>C</t>
        </is>
      </c>
      <c r="I144" s="17" t="n">
        <v>2</v>
      </c>
      <c r="J144" s="17" t="n"/>
      <c r="K144" s="18">
        <f>I144-IF(J144="",0,J144)</f>
        <v/>
      </c>
      <c r="L144" s="15" t="inlineStr">
        <is>
          <t>Stück</t>
        </is>
      </c>
      <c r="M144" s="15" t="inlineStr">
        <is>
          <t>gut</t>
        </is>
      </c>
      <c r="N144" s="19" t="n"/>
      <c r="O144" s="19" t="inlineStr">
        <is>
          <t>ja</t>
        </is>
      </c>
      <c r="P144" s="19" t="n"/>
      <c r="Q144" s="20" t="n"/>
      <c r="R144" s="20" t="n">
        <v>90</v>
      </c>
      <c r="S144" s="19" t="inlineStr">
        <is>
          <t>VHB</t>
        </is>
      </c>
      <c r="T144" s="21">
        <f>K144*R144</f>
        <v/>
      </c>
      <c r="U144" s="15" t="inlineStr">
        <is>
          <t>nur Abholung</t>
        </is>
      </c>
      <c r="V144" s="15" t="inlineStr">
        <is>
          <t>F-106</t>
        </is>
      </c>
      <c r="W144" s="19" t="inlineStr">
        <is>
          <t>ja</t>
        </is>
      </c>
      <c r="X144" s="19" t="n"/>
      <c r="Y144" s="19" t="inlineStr">
        <is>
          <t>verfügbar</t>
        </is>
      </c>
      <c r="Z144" s="19" t="n"/>
      <c r="AA144" s="19" t="n"/>
      <c r="AB144" s="19" t="n"/>
      <c r="AC144" s="20" t="n"/>
      <c r="AD144" s="21">
        <f>IF(J144="","",J144*AC144)</f>
        <v/>
      </c>
      <c r="AE144" s="19" t="n"/>
      <c r="AF144" s="19" t="n"/>
      <c r="AG144" s="19" t="n"/>
      <c r="AH144" s="19" t="n"/>
      <c r="AI144" s="19" t="n"/>
      <c r="AJ144" s="19" t="n"/>
      <c r="AK144" s="16" t="inlineStr">
        <is>
          <t>1 Kübel im Bild</t>
        </is>
      </c>
      <c r="AL144" s="22" t="n"/>
    </row>
    <row r="145" ht="30" customHeight="1">
      <c r="A145" s="15" t="inlineStr">
        <is>
          <t>TE02-06</t>
        </is>
      </c>
      <c r="B145" s="15" t="inlineStr">
        <is>
          <t>K-140</t>
        </is>
      </c>
      <c r="C145" s="15" t="inlineStr">
        <is>
          <t>TE02</t>
        </is>
      </c>
      <c r="D145" s="15" t="inlineStr">
        <is>
          <t>Holzstern mit Lichterkette</t>
        </is>
      </c>
      <c r="E145" s="16" t="inlineStr">
        <is>
          <t>Großer Dekostern aus Holzlatten mit Lichterkette, ca. 2 m</t>
        </is>
      </c>
      <c r="F145" s="15" t="inlineStr">
        <is>
          <t>Deko</t>
        </is>
      </c>
      <c r="G145" s="15" t="inlineStr">
        <is>
          <t>Dachterrasse</t>
        </is>
      </c>
      <c r="H145" s="15" t="inlineStr">
        <is>
          <t>B</t>
        </is>
      </c>
      <c r="I145" s="17" t="n">
        <v>1</v>
      </c>
      <c r="J145" s="17" t="n"/>
      <c r="K145" s="18">
        <f>I145-IF(J145="",0,J145)</f>
        <v/>
      </c>
      <c r="L145" s="15" t="inlineStr">
        <is>
          <t>Stück</t>
        </is>
      </c>
      <c r="M145" s="15" t="inlineStr">
        <is>
          <t>gebraucht</t>
        </is>
      </c>
      <c r="N145" s="19" t="n"/>
      <c r="O145" s="19" t="inlineStr">
        <is>
          <t>ja</t>
        </is>
      </c>
      <c r="P145" s="19" t="n"/>
      <c r="Q145" s="20" t="n"/>
      <c r="R145" s="20" t="n">
        <v>180</v>
      </c>
      <c r="S145" s="19" t="inlineStr">
        <is>
          <t>VHB</t>
        </is>
      </c>
      <c r="T145" s="21">
        <f>K145*R145</f>
        <v/>
      </c>
      <c r="U145" s="15" t="inlineStr">
        <is>
          <t>nur Abholung</t>
        </is>
      </c>
      <c r="V145" s="15" t="inlineStr">
        <is>
          <t>F-107</t>
        </is>
      </c>
      <c r="W145" s="19" t="inlineStr">
        <is>
          <t>ja</t>
        </is>
      </c>
      <c r="X145" s="19" t="n"/>
      <c r="Y145" s="19" t="inlineStr">
        <is>
          <t>verfügbar</t>
        </is>
      </c>
      <c r="Z145" s="19" t="n"/>
      <c r="AA145" s="19" t="n"/>
      <c r="AB145" s="19" t="n"/>
      <c r="AC145" s="20" t="n"/>
      <c r="AD145" s="21">
        <f>IF(J145="","",J145*AC145)</f>
        <v/>
      </c>
      <c r="AE145" s="19" t="n"/>
      <c r="AF145" s="19" t="n"/>
      <c r="AG145" s="19" t="n"/>
      <c r="AH145" s="19" t="n"/>
      <c r="AI145" s="19" t="n"/>
      <c r="AJ145" s="19" t="n"/>
      <c r="AK145" s="16" t="inlineStr">
        <is>
          <t>1 Stern im Bild</t>
        </is>
      </c>
      <c r="AL145" s="22" t="n"/>
    </row>
    <row r="146" ht="30" customHeight="1">
      <c r="A146" s="15" t="inlineStr">
        <is>
          <t>NU01-13</t>
        </is>
      </c>
      <c r="B146" s="15" t="n"/>
      <c r="C146" s="15" t="inlineStr">
        <is>
          <t>NU01</t>
        </is>
      </c>
      <c r="D146" s="15" t="inlineStr">
        <is>
          <t>Vitrine Nussbaum, vierteilig</t>
        </is>
      </c>
      <c r="E146" s="16" t="inlineStr">
        <is>
          <t>Wohnzimmervitrine im Barockstil, Nussbaum furniert. Vier Türen, davon zwei mit Glas und Glaseinlegeböden, geschnitzte Zierleisten, Schloss vorhanden.</t>
        </is>
      </c>
      <c r="F146" s="15" t="inlineStr">
        <is>
          <t>Möbel</t>
        </is>
      </c>
      <c r="G146" s="15" t="inlineStr">
        <is>
          <t>Flur</t>
        </is>
      </c>
      <c r="H146" s="15" t="inlineStr">
        <is>
          <t>B</t>
        </is>
      </c>
      <c r="I146" s="17" t="n">
        <v>1</v>
      </c>
      <c r="J146" s="17" t="n"/>
      <c r="K146" s="18">
        <f>I146-IF(J146="",0,J146)</f>
        <v/>
      </c>
      <c r="L146" s="15" t="inlineStr">
        <is>
          <t>Stück</t>
        </is>
      </c>
      <c r="M146" s="15" t="inlineStr">
        <is>
          <t>gebraucht</t>
        </is>
      </c>
      <c r="N146" s="19" t="n"/>
      <c r="O146" s="19" t="inlineStr">
        <is>
          <t>ja</t>
        </is>
      </c>
      <c r="P146" s="19" t="n"/>
      <c r="Q146" s="20" t="n"/>
      <c r="R146" s="20" t="n">
        <v>120</v>
      </c>
      <c r="S146" s="19" t="inlineStr">
        <is>
          <t>VHB</t>
        </is>
      </c>
      <c r="T146" s="21">
        <f>K146*R146</f>
        <v/>
      </c>
      <c r="U146" s="15" t="inlineStr">
        <is>
          <t>nur Abholung</t>
        </is>
      </c>
      <c r="V146" s="15" t="inlineStr">
        <is>
          <t>F-114</t>
        </is>
      </c>
      <c r="W146" s="19" t="inlineStr">
        <is>
          <t>ja</t>
        </is>
      </c>
      <c r="X146" s="19" t="n"/>
      <c r="Y146" s="19" t="inlineStr">
        <is>
          <t>verfügbar</t>
        </is>
      </c>
      <c r="Z146" s="19" t="n"/>
      <c r="AA146" s="19" t="n"/>
      <c r="AB146" s="19" t="n"/>
      <c r="AC146" s="20" t="n"/>
      <c r="AD146" s="21">
        <f>IF(J146="","",J146*AC146)</f>
        <v/>
      </c>
      <c r="AE146" s="19" t="n"/>
      <c r="AF146" s="19" t="n"/>
      <c r="AG146" s="19" t="n"/>
      <c r="AH146" s="19" t="n"/>
      <c r="AI146" s="19" t="n"/>
      <c r="AJ146" s="19" t="n"/>
      <c r="AK146" s="16" t="inlineStr">
        <is>
          <t>1 Vitrine. Die Dekoration darin ist Position NU01-03 und wird getrennt verkauft.</t>
        </is>
      </c>
      <c r="AL146" s="22" t="inlineStr">
        <is>
          <t>Personenfotos in der Vitrine sind im Bild maskiert (so gewollt).</t>
        </is>
      </c>
    </row>
    <row r="147" ht="30" customHeight="1">
      <c r="A147" s="15" t="inlineStr">
        <is>
          <t>NU01-14</t>
        </is>
      </c>
      <c r="B147" s="15" t="n"/>
      <c r="C147" s="15" t="inlineStr">
        <is>
          <t>NU01</t>
        </is>
      </c>
      <c r="D147" s="15" t="inlineStr">
        <is>
          <t>Kindergarderobe mit Sitzbank, weiß</t>
        </is>
      </c>
      <c r="E147" s="16" t="inlineStr">
        <is>
          <t>Schreinerarbeit aus weiß beschichteter Platte mit Multiplex-Kanten. Oben vier offene Fächer, darunter vier weiße Doppelhaken, Sitzbank mit Schuhrost aus Holzlatten.</t>
        </is>
      </c>
      <c r="F147" s="15" t="inlineStr">
        <is>
          <t>Kita-Ausstattung</t>
        </is>
      </c>
      <c r="G147" s="15" t="inlineStr">
        <is>
          <t>Flur</t>
        </is>
      </c>
      <c r="H147" s="15" t="inlineStr">
        <is>
          <t>B</t>
        </is>
      </c>
      <c r="I147" s="17" t="n">
        <v>5</v>
      </c>
      <c r="J147" s="17" t="n"/>
      <c r="K147" s="18">
        <f>I147-IF(J147="",0,J147)</f>
        <v/>
      </c>
      <c r="L147" s="15" t="inlineStr">
        <is>
          <t>Stück</t>
        </is>
      </c>
      <c r="M147" s="15" t="inlineStr">
        <is>
          <t>gut</t>
        </is>
      </c>
      <c r="N147" s="19" t="n"/>
      <c r="O147" s="19" t="inlineStr">
        <is>
          <t>ja</t>
        </is>
      </c>
      <c r="P147" s="19" t="n"/>
      <c r="Q147" s="20" t="n"/>
      <c r="R147" s="20" t="n">
        <v>90</v>
      </c>
      <c r="S147" s="19" t="inlineStr">
        <is>
          <t>VHB</t>
        </is>
      </c>
      <c r="T147" s="21">
        <f>K147*R147</f>
        <v/>
      </c>
      <c r="U147" s="15" t="inlineStr">
        <is>
          <t>nur Abholung</t>
        </is>
      </c>
      <c r="V147" s="15" t="inlineStr">
        <is>
          <t>F-115</t>
        </is>
      </c>
      <c r="W147" s="19" t="inlineStr">
        <is>
          <t>ja</t>
        </is>
      </c>
      <c r="X147" s="19" t="n"/>
      <c r="Y147" s="19" t="inlineStr">
        <is>
          <t>verfügbar</t>
        </is>
      </c>
      <c r="Z147" s="19" t="n"/>
      <c r="AA147" s="19" t="n"/>
      <c r="AB147" s="19" t="n"/>
      <c r="AC147" s="20" t="n"/>
      <c r="AD147" s="21">
        <f>IF(J147="","",J147*AC147)</f>
        <v/>
      </c>
      <c r="AE147" s="19" t="n"/>
      <c r="AF147" s="19" t="n"/>
      <c r="AG147" s="19" t="n"/>
      <c r="AH147" s="19" t="n"/>
      <c r="AI147" s="19" t="n"/>
      <c r="AJ147" s="19" t="n"/>
      <c r="AK147" s="16" t="inlineStr">
        <is>
          <t>5 gleiche Einheiten laut Erfassungsblatt – abgebildet ist eine davon.</t>
        </is>
      </c>
      <c r="AL147" s="22" t="n"/>
    </row>
    <row r="148" ht="30" customHeight="1">
      <c r="A148" s="15" t="inlineStr">
        <is>
          <t>NU01-15</t>
        </is>
      </c>
      <c r="B148" s="15" t="n"/>
      <c r="C148" s="15" t="inlineStr">
        <is>
          <t>NU01</t>
        </is>
      </c>
      <c r="D148" s="15" t="inlineStr">
        <is>
          <t>Garderobenschrank weiß mit Grafikfront</t>
        </is>
      </c>
      <c r="E148" s="16" t="inlineStr">
        <is>
          <t>Weiß beschichteter Schrank mit hoher Tür und Schubladen, Griffmulden ohne Beschläge. Die Fronten tragen eine schwarze Grafik (Straße mit Fahrzeugen), die sich über alle vier Schränke fortsetzt und nur zusammen ein Bild ergibt.</t>
        </is>
      </c>
      <c r="F148" s="15" t="inlineStr">
        <is>
          <t>Möbel</t>
        </is>
      </c>
      <c r="G148" s="15" t="inlineStr">
        <is>
          <t>Flur</t>
        </is>
      </c>
      <c r="H148" s="15" t="inlineStr">
        <is>
          <t>B</t>
        </is>
      </c>
      <c r="I148" s="17" t="n">
        <v>4</v>
      </c>
      <c r="J148" s="17" t="n"/>
      <c r="K148" s="18">
        <f>I148-IF(J148="",0,J148)</f>
        <v/>
      </c>
      <c r="L148" s="15" t="inlineStr">
        <is>
          <t>Stück</t>
        </is>
      </c>
      <c r="M148" s="15" t="inlineStr">
        <is>
          <t>gut</t>
        </is>
      </c>
      <c r="N148" s="19" t="n"/>
      <c r="O148" s="19" t="inlineStr">
        <is>
          <t>ja</t>
        </is>
      </c>
      <c r="P148" s="19" t="n"/>
      <c r="Q148" s="20" t="n"/>
      <c r="R148" s="20" t="n">
        <v>120</v>
      </c>
      <c r="S148" s="19" t="inlineStr">
        <is>
          <t>VHB</t>
        </is>
      </c>
      <c r="T148" s="21">
        <f>K148*R148</f>
        <v/>
      </c>
      <c r="U148" s="15" t="inlineStr">
        <is>
          <t>nur Abholung</t>
        </is>
      </c>
      <c r="V148" s="15" t="inlineStr">
        <is>
          <t>F-118</t>
        </is>
      </c>
      <c r="W148" s="19" t="inlineStr">
        <is>
          <t>ja</t>
        </is>
      </c>
      <c r="X148" s="19" t="n"/>
      <c r="Y148" s="19" t="inlineStr">
        <is>
          <t>verfügbar</t>
        </is>
      </c>
      <c r="Z148" s="19" t="n"/>
      <c r="AA148" s="19" t="n"/>
      <c r="AB148" s="19" t="n"/>
      <c r="AC148" s="20" t="n"/>
      <c r="AD148" s="21">
        <f>IF(J148="","",J148*AC148)</f>
        <v/>
      </c>
      <c r="AE148" s="19" t="n"/>
      <c r="AF148" s="19" t="n"/>
      <c r="AG148" s="19" t="n"/>
      <c r="AH148" s="19" t="n"/>
      <c r="AI148" s="19" t="n"/>
      <c r="AJ148" s="19" t="n"/>
      <c r="AK148" s="16" t="inlineStr">
        <is>
          <t>4 gleiche Schränke laut Erfassungsblatt – abgebildet ist die Schrankwand im Ganzen.</t>
        </is>
      </c>
      <c r="AL148" s="22" t="n"/>
    </row>
    <row r="149" ht="30" customHeight="1">
      <c r="A149" s="15" t="inlineStr">
        <is>
          <t>NU01-16</t>
        </is>
      </c>
      <c r="B149" s="15" t="n"/>
      <c r="C149" s="15" t="inlineStr">
        <is>
          <t>NU01</t>
        </is>
      </c>
      <c r="D149" s="15" t="inlineStr">
        <is>
          <t>Waschmaschine LG 17 kg, F11WM17VT2</t>
        </is>
      </c>
      <c r="E149" s="16" t="inlineStr">
        <is>
          <t>LG Vollwaschautomat, Inverter Direct Drive, TrueSteam, 17 kg Füllmenge. Modell F11WM17VT2 laut Typenschild, 2000–2250 W. Gewerblich genutzt.</t>
        </is>
      </c>
      <c r="F149" s="15" t="inlineStr">
        <is>
          <t>Technik</t>
        </is>
      </c>
      <c r="G149" s="15" t="inlineStr">
        <is>
          <t>Flur</t>
        </is>
      </c>
      <c r="H149" s="15" t="inlineStr">
        <is>
          <t>A</t>
        </is>
      </c>
      <c r="I149" s="17" t="n">
        <v>1</v>
      </c>
      <c r="J149" s="17" t="n"/>
      <c r="K149" s="18">
        <f>I149-IF(J149="",0,J149)</f>
        <v/>
      </c>
      <c r="L149" s="15" t="inlineStr">
        <is>
          <t>Stück</t>
        </is>
      </c>
      <c r="M149" s="15" t="inlineStr">
        <is>
          <t>gut</t>
        </is>
      </c>
      <c r="N149" s="19" t="inlineStr">
        <is>
          <t>99 × 70 × 77 cm (H×B×T)</t>
        </is>
      </c>
      <c r="O149" s="19" t="inlineStr">
        <is>
          <t>ja</t>
        </is>
      </c>
      <c r="P149" s="19" t="n"/>
      <c r="Q149" s="20" t="n"/>
      <c r="R149" s="20" t="n">
        <v>350</v>
      </c>
      <c r="S149" s="19" t="inlineStr">
        <is>
          <t>VHB</t>
        </is>
      </c>
      <c r="T149" s="21">
        <f>K149*R149</f>
        <v/>
      </c>
      <c r="U149" s="15" t="inlineStr">
        <is>
          <t>nur Abholung</t>
        </is>
      </c>
      <c r="V149" s="15" t="inlineStr">
        <is>
          <t>F-119</t>
        </is>
      </c>
      <c r="W149" s="19" t="inlineStr">
        <is>
          <t>ja</t>
        </is>
      </c>
      <c r="X149" s="19" t="n"/>
      <c r="Y149" s="19" t="inlineStr">
        <is>
          <t>verfügbar</t>
        </is>
      </c>
      <c r="Z149" s="19" t="inlineStr">
        <is>
          <t>LG</t>
        </is>
      </c>
      <c r="AA149" s="19" t="n"/>
      <c r="AB149" s="19" t="n"/>
      <c r="AC149" s="20" t="n"/>
      <c r="AD149" s="21">
        <f>IF(J149="","",J149*AC149)</f>
        <v/>
      </c>
      <c r="AE149" s="19" t="n"/>
      <c r="AF149" s="19" t="n"/>
      <c r="AG149" s="19" t="n"/>
      <c r="AH149" s="19" t="n"/>
      <c r="AI149" s="19" t="n"/>
      <c r="AJ149" s="19" t="n"/>
      <c r="AK149" s="16" t="inlineStr">
        <is>
          <t>1 Gerät. Typenschild ist abfotografiert (Foto F-121).</t>
        </is>
      </c>
      <c r="AL149" s="22" t="n"/>
    </row>
    <row r="150" ht="30" customHeight="1">
      <c r="A150" s="15" t="inlineStr">
        <is>
          <t>NU01-17</t>
        </is>
      </c>
      <c r="B150" s="15" t="n"/>
      <c r="C150" s="15" t="inlineStr">
        <is>
          <t>NU01</t>
        </is>
      </c>
      <c r="D150" s="15" t="inlineStr">
        <is>
          <t>Wärmepumpentrockner Miele T1 Excellence, 8 kg</t>
        </is>
      </c>
      <c r="E150" s="16" t="inlineStr">
        <is>
          <t>Miele Wärmepumpentrockner der Reihe T1 Excellence, 8 kg. Typenschild: TEC235WP, Type HT30. Aufkleber des Elektrofachbetriebs Frommer, VS-Schwenningen.</t>
        </is>
      </c>
      <c r="F150" s="15" t="inlineStr">
        <is>
          <t>Technik</t>
        </is>
      </c>
      <c r="G150" s="15" t="inlineStr">
        <is>
          <t>Flur</t>
        </is>
      </c>
      <c r="H150" s="15" t="inlineStr">
        <is>
          <t>A</t>
        </is>
      </c>
      <c r="I150" s="17" t="n">
        <v>1</v>
      </c>
      <c r="J150" s="17" t="n"/>
      <c r="K150" s="18">
        <f>I150-IF(J150="",0,J150)</f>
        <v/>
      </c>
      <c r="L150" s="15" t="inlineStr">
        <is>
          <t>Stück</t>
        </is>
      </c>
      <c r="M150" s="15" t="inlineStr">
        <is>
          <t>gut</t>
        </is>
      </c>
      <c r="N150" s="19" t="n"/>
      <c r="O150" s="19" t="inlineStr">
        <is>
          <t>ja</t>
        </is>
      </c>
      <c r="P150" s="19" t="n"/>
      <c r="Q150" s="20" t="n"/>
      <c r="R150" s="20" t="n">
        <v>400</v>
      </c>
      <c r="S150" s="19" t="inlineStr">
        <is>
          <t>VHB</t>
        </is>
      </c>
      <c r="T150" s="21">
        <f>K150*R150</f>
        <v/>
      </c>
      <c r="U150" s="15" t="inlineStr">
        <is>
          <t>nur Abholung</t>
        </is>
      </c>
      <c r="V150" s="15" t="inlineStr">
        <is>
          <t>F-120</t>
        </is>
      </c>
      <c r="W150" s="19" t="inlineStr">
        <is>
          <t>ja</t>
        </is>
      </c>
      <c r="X150" s="19" t="n"/>
      <c r="Y150" s="19" t="inlineStr">
        <is>
          <t>verfügbar</t>
        </is>
      </c>
      <c r="Z150" s="19" t="inlineStr">
        <is>
          <t>Miele</t>
        </is>
      </c>
      <c r="AA150" s="19" t="n"/>
      <c r="AB150" s="19" t="n"/>
      <c r="AC150" s="20" t="n"/>
      <c r="AD150" s="21">
        <f>IF(J150="","",J150*AC150)</f>
        <v/>
      </c>
      <c r="AE150" s="19" t="n"/>
      <c r="AF150" s="19" t="n"/>
      <c r="AG150" s="19" t="n"/>
      <c r="AH150" s="19" t="n"/>
      <c r="AI150" s="19" t="n"/>
      <c r="AJ150" s="19" t="n"/>
      <c r="AK150" s="16" t="inlineStr">
        <is>
          <t>1 Gerät. Typenschild ist abfotografiert (Foto F-122).</t>
        </is>
      </c>
      <c r="AL150" s="22" t="n"/>
    </row>
    <row r="151" ht="30" customHeight="1">
      <c r="A151" s="15" t="inlineStr">
        <is>
          <t>NU01-18</t>
        </is>
      </c>
      <c r="B151" s="15" t="n"/>
      <c r="C151" s="15" t="inlineStr">
        <is>
          <t>NU01</t>
        </is>
      </c>
      <c r="D151" s="15" t="inlineStr">
        <is>
          <t>Waschmaschine Candy RapidÓ, 9 kg</t>
        </is>
      </c>
      <c r="E151" s="16" t="inlineStr">
        <is>
          <t>Candy RapidÓ, 9 kg, 1400 Touren, Speed-Drive-Inverter, Simply-Fi (App-Anbindung), Kg Detector. Modell RO14960WMC5/1-S laut Typenschild, 1600 W.</t>
        </is>
      </c>
      <c r="F151" s="15" t="inlineStr">
        <is>
          <t>Technik</t>
        </is>
      </c>
      <c r="G151" s="15" t="inlineStr">
        <is>
          <t>Flur</t>
        </is>
      </c>
      <c r="H151" s="15" t="inlineStr">
        <is>
          <t>B</t>
        </is>
      </c>
      <c r="I151" s="17" t="n">
        <v>1</v>
      </c>
      <c r="J151" s="17" t="n"/>
      <c r="K151" s="18">
        <f>I151-IF(J151="",0,J151)</f>
        <v/>
      </c>
      <c r="L151" s="15" t="inlineStr">
        <is>
          <t>Stück</t>
        </is>
      </c>
      <c r="M151" s="15" t="inlineStr">
        <is>
          <t>gebraucht</t>
        </is>
      </c>
      <c r="N151" s="19" t="n"/>
      <c r="O151" s="19" t="inlineStr">
        <is>
          <t>ja</t>
        </is>
      </c>
      <c r="P151" s="19" t="n"/>
      <c r="Q151" s="20" t="n"/>
      <c r="R151" s="20" t="n">
        <v>140</v>
      </c>
      <c r="S151" s="19" t="inlineStr">
        <is>
          <t>VHB</t>
        </is>
      </c>
      <c r="T151" s="21">
        <f>K151*R151</f>
        <v/>
      </c>
      <c r="U151" s="15" t="inlineStr">
        <is>
          <t>nur Abholung</t>
        </is>
      </c>
      <c r="V151" s="15" t="inlineStr">
        <is>
          <t>F-123</t>
        </is>
      </c>
      <c r="W151" s="19" t="inlineStr">
        <is>
          <t>ja</t>
        </is>
      </c>
      <c r="X151" s="19" t="n"/>
      <c r="Y151" s="19" t="inlineStr">
        <is>
          <t>verfügbar</t>
        </is>
      </c>
      <c r="Z151" s="19" t="inlineStr">
        <is>
          <t>Candy</t>
        </is>
      </c>
      <c r="AA151" s="19" t="n"/>
      <c r="AB151" s="19" t="n"/>
      <c r="AC151" s="20" t="n"/>
      <c r="AD151" s="21">
        <f>IF(J151="","",J151*AC151)</f>
        <v/>
      </c>
      <c r="AE151" s="19" t="n"/>
      <c r="AF151" s="19" t="n"/>
      <c r="AG151" s="19" t="n"/>
      <c r="AH151" s="19" t="n"/>
      <c r="AI151" s="19" t="n"/>
      <c r="AJ151" s="19" t="n"/>
      <c r="AK151" s="16" t="inlineStr">
        <is>
          <t>1 Gerät. Typenschild ist abfotografiert (Foto F-124).</t>
        </is>
      </c>
      <c r="AL151" s="22" t="n"/>
    </row>
    <row r="152" ht="30" customHeight="1">
      <c r="A152" s="15" t="inlineStr">
        <is>
          <t>NU01-19</t>
        </is>
      </c>
      <c r="B152" s="15" t="n"/>
      <c r="C152" s="15" t="inlineStr">
        <is>
          <t>NU01</t>
        </is>
      </c>
      <c r="D152" s="15" t="inlineStr">
        <is>
          <t>Kindergarderobe mit Hakenleiste und Wannen, weiß</t>
        </is>
      </c>
      <c r="E152" s="16" t="inlineStr">
        <is>
          <t>Zweiteilige Kindergarderobe: oben ein Wandelement mit vier offenen Fächern und darin liegenden Kunststoffwannen sowie vier roten Doppelhaken, unten eine weiße Sitzbank aus Holz mit Schublade. Beide Teile gehören zusammen.</t>
        </is>
      </c>
      <c r="F152" s="15" t="inlineStr">
        <is>
          <t>Kita-Ausstattung</t>
        </is>
      </c>
      <c r="G152" s="15" t="inlineStr">
        <is>
          <t>Flur</t>
        </is>
      </c>
      <c r="H152" s="15" t="inlineStr">
        <is>
          <t>B</t>
        </is>
      </c>
      <c r="I152" s="17" t="n">
        <v>4</v>
      </c>
      <c r="J152" s="17" t="n"/>
      <c r="K152" s="18">
        <f>I152-IF(J152="",0,J152)</f>
        <v/>
      </c>
      <c r="L152" s="15" t="inlineStr">
        <is>
          <t>Stück</t>
        </is>
      </c>
      <c r="M152" s="15" t="inlineStr">
        <is>
          <t>gut</t>
        </is>
      </c>
      <c r="N152" s="19" t="n"/>
      <c r="O152" s="19" t="inlineStr">
        <is>
          <t>ja</t>
        </is>
      </c>
      <c r="P152" s="19" t="n"/>
      <c r="Q152" s="20" t="n"/>
      <c r="R152" s="20" t="n">
        <v>110</v>
      </c>
      <c r="S152" s="19" t="inlineStr">
        <is>
          <t>VHB</t>
        </is>
      </c>
      <c r="T152" s="21">
        <f>K152*R152</f>
        <v/>
      </c>
      <c r="U152" s="15" t="inlineStr">
        <is>
          <t>nur Abholung</t>
        </is>
      </c>
      <c r="V152" s="15" t="inlineStr">
        <is>
          <t>F-125</t>
        </is>
      </c>
      <c r="W152" s="19" t="inlineStr">
        <is>
          <t>ja</t>
        </is>
      </c>
      <c r="X152" s="19" t="n"/>
      <c r="Y152" s="19" t="inlineStr">
        <is>
          <t>verfügbar</t>
        </is>
      </c>
      <c r="Z152" s="19" t="n"/>
      <c r="AA152" s="19" t="n"/>
      <c r="AB152" s="19" t="n"/>
      <c r="AC152" s="20" t="n"/>
      <c r="AD152" s="21">
        <f>IF(J152="","",J152*AC152)</f>
        <v/>
      </c>
      <c r="AE152" s="19" t="n"/>
      <c r="AF152" s="19" t="n"/>
      <c r="AG152" s="19" t="n"/>
      <c r="AH152" s="19" t="n"/>
      <c r="AI152" s="19" t="n"/>
      <c r="AJ152" s="19" t="n"/>
      <c r="AK152" s="16" t="inlineStr">
        <is>
          <t>4 gleiche Garderoben, jede aus Wandelement und Sitzbank – abgebildet ist eine davon.</t>
        </is>
      </c>
      <c r="AL152" s="22" t="n"/>
    </row>
    <row r="153" ht="30" customHeight="1">
      <c r="A153" s="15" t="inlineStr">
        <is>
          <t>NU01-20</t>
        </is>
      </c>
      <c r="B153" s="15" t="n"/>
      <c r="C153" s="15" t="inlineStr">
        <is>
          <t>NU01</t>
        </is>
      </c>
      <c r="D153" s="15" t="inlineStr">
        <is>
          <t>Clubsessel rot, Kunstleder</t>
        </is>
      </c>
      <c r="E153" s="16" t="inlineStr">
        <is>
          <t>Runder Clubsessel in Tonnenform, roter Kunstlederbezug, niedrige Sitzhöhe – im Haus als Kindersessel genutzt. Gebrauchsspuren an Kanten und Sitzfläche, kleine Risse im Bezug.</t>
        </is>
      </c>
      <c r="F153" s="15" t="inlineStr">
        <is>
          <t>Möbel</t>
        </is>
      </c>
      <c r="G153" s="15" t="inlineStr">
        <is>
          <t>Flur</t>
        </is>
      </c>
      <c r="H153" s="15" t="inlineStr">
        <is>
          <t>B</t>
        </is>
      </c>
      <c r="I153" s="17" t="n">
        <v>2</v>
      </c>
      <c r="J153" s="17" t="n"/>
      <c r="K153" s="18">
        <f>I153-IF(J153="",0,J153)</f>
        <v/>
      </c>
      <c r="L153" s="15" t="inlineStr">
        <is>
          <t>Stück</t>
        </is>
      </c>
      <c r="M153" s="15" t="inlineStr">
        <is>
          <t>gebraucht</t>
        </is>
      </c>
      <c r="N153" s="19" t="n"/>
      <c r="O153" s="19" t="inlineStr">
        <is>
          <t>ja</t>
        </is>
      </c>
      <c r="P153" s="19" t="n"/>
      <c r="Q153" s="20" t="n"/>
      <c r="R153" s="20" t="n">
        <v>60</v>
      </c>
      <c r="S153" s="19" t="inlineStr">
        <is>
          <t>VHB</t>
        </is>
      </c>
      <c r="T153" s="21">
        <f>K153*R153</f>
        <v/>
      </c>
      <c r="U153" s="15" t="inlineStr">
        <is>
          <t>nur Abholung</t>
        </is>
      </c>
      <c r="V153" s="15" t="inlineStr">
        <is>
          <t>F-127</t>
        </is>
      </c>
      <c r="W153" s="19" t="inlineStr">
        <is>
          <t>ja</t>
        </is>
      </c>
      <c r="X153" s="19" t="n"/>
      <c r="Y153" s="19" t="inlineStr">
        <is>
          <t>verfügbar</t>
        </is>
      </c>
      <c r="Z153" s="19" t="n"/>
      <c r="AA153" s="19" t="n"/>
      <c r="AB153" s="19" t="n"/>
      <c r="AC153" s="20" t="n"/>
      <c r="AD153" s="21">
        <f>IF(J153="","",J153*AC153)</f>
        <v/>
      </c>
      <c r="AE153" s="19" t="n"/>
      <c r="AF153" s="19" t="n"/>
      <c r="AG153" s="19" t="n"/>
      <c r="AH153" s="19" t="n"/>
      <c r="AI153" s="19" t="n"/>
      <c r="AJ153" s="19" t="n"/>
      <c r="AK153" s="16" t="inlineStr">
        <is>
          <t>2 Sessel, beide abgebildet.</t>
        </is>
      </c>
      <c r="AL153" s="22" t="n"/>
    </row>
    <row r="154" ht="30" customHeight="1">
      <c r="A154" s="15" t="inlineStr">
        <is>
          <t>NU01-21</t>
        </is>
      </c>
      <c r="B154" s="15" t="n"/>
      <c r="C154" s="15" t="inlineStr">
        <is>
          <t>NU01</t>
        </is>
      </c>
      <c r="D154" s="15" t="inlineStr">
        <is>
          <t>Leuchte Mr Maria „Miffy", groß</t>
        </is>
      </c>
      <c r="E154" s="16" t="inlineStr">
        <is>
          <t>Steh-/Tischleuchte in Hasenform von Mr Maria (Amsterdam), Motiv Miffy, weißer Kunststoff, LED, Anschluss über Netzteil mit USB. Typenschild: MR LED8. Das größere der beiden Exemplare.</t>
        </is>
      </c>
      <c r="F154" s="15" t="inlineStr">
        <is>
          <t>Leuchten</t>
        </is>
      </c>
      <c r="G154" s="15" t="inlineStr">
        <is>
          <t>Flur</t>
        </is>
      </c>
      <c r="H154" s="15" t="inlineStr">
        <is>
          <t>A</t>
        </is>
      </c>
      <c r="I154" s="17" t="n">
        <v>1</v>
      </c>
      <c r="J154" s="17" t="n"/>
      <c r="K154" s="18">
        <f>I154-IF(J154="",0,J154)</f>
        <v/>
      </c>
      <c r="L154" s="15" t="inlineStr">
        <is>
          <t>Stück</t>
        </is>
      </c>
      <c r="M154" s="15" t="inlineStr">
        <is>
          <t>gut</t>
        </is>
      </c>
      <c r="N154" s="19" t="n"/>
      <c r="O154" s="19" t="inlineStr">
        <is>
          <t>ja</t>
        </is>
      </c>
      <c r="P154" s="19" t="n"/>
      <c r="Q154" s="20" t="n"/>
      <c r="R154" s="20" t="n">
        <v>140</v>
      </c>
      <c r="S154" s="19" t="inlineStr">
        <is>
          <t>VHB</t>
        </is>
      </c>
      <c r="T154" s="21">
        <f>K154*R154</f>
        <v/>
      </c>
      <c r="U154" s="15" t="inlineStr">
        <is>
          <t>nur Abholung</t>
        </is>
      </c>
      <c r="V154" s="15" t="inlineStr">
        <is>
          <t>F-132</t>
        </is>
      </c>
      <c r="W154" s="19" t="inlineStr">
        <is>
          <t>ja</t>
        </is>
      </c>
      <c r="X154" s="19" t="n"/>
      <c r="Y154" s="19" t="inlineStr">
        <is>
          <t>verfügbar</t>
        </is>
      </c>
      <c r="Z154" s="19" t="inlineStr">
        <is>
          <t>Mr Maria</t>
        </is>
      </c>
      <c r="AA154" s="19" t="n"/>
      <c r="AB154" s="19" t="n"/>
      <c r="AC154" s="20" t="n"/>
      <c r="AD154" s="21">
        <f>IF(J154="","",J154*AC154)</f>
        <v/>
      </c>
      <c r="AE154" s="19" t="n"/>
      <c r="AF154" s="19" t="n"/>
      <c r="AG154" s="19" t="n"/>
      <c r="AH154" s="19" t="n"/>
      <c r="AI154" s="19" t="n"/>
      <c r="AJ154" s="19" t="n"/>
      <c r="AK154" s="16" t="inlineStr">
        <is>
          <t>1 Leuchte, das große Exemplar – links auf dem Foto.</t>
        </is>
      </c>
      <c r="AL154" s="22" t="n"/>
    </row>
    <row r="155" ht="30" customHeight="1">
      <c r="A155" s="15" t="inlineStr">
        <is>
          <t>NU01-22</t>
        </is>
      </c>
      <c r="B155" s="15" t="n"/>
      <c r="C155" s="15" t="inlineStr">
        <is>
          <t>NU01</t>
        </is>
      </c>
      <c r="D155" s="15" t="inlineStr">
        <is>
          <t>Leuchte Mr Maria „Miffy", klein</t>
        </is>
      </c>
      <c r="E155" s="16" t="inlineStr">
        <is>
          <t>Tischleuchte in Hasenform von Mr Maria (Amsterdam), Motiv Miffy, weißer Kunststoff, LED, Anschluss über Netzteil mit USB. Das kleinere der beiden Exemplare.</t>
        </is>
      </c>
      <c r="F155" s="15" t="inlineStr">
        <is>
          <t>Leuchten</t>
        </is>
      </c>
      <c r="G155" s="15" t="inlineStr">
        <is>
          <t>Flur</t>
        </is>
      </c>
      <c r="H155" s="15" t="inlineStr">
        <is>
          <t>A</t>
        </is>
      </c>
      <c r="I155" s="17" t="n">
        <v>1</v>
      </c>
      <c r="J155" s="17" t="n"/>
      <c r="K155" s="18">
        <f>I155-IF(J155="",0,J155)</f>
        <v/>
      </c>
      <c r="L155" s="15" t="inlineStr">
        <is>
          <t>Stück</t>
        </is>
      </c>
      <c r="M155" s="15" t="inlineStr">
        <is>
          <t>gut</t>
        </is>
      </c>
      <c r="N155" s="19" t="n"/>
      <c r="O155" s="19" t="inlineStr">
        <is>
          <t>ja</t>
        </is>
      </c>
      <c r="P155" s="19" t="n"/>
      <c r="Q155" s="20" t="n"/>
      <c r="R155" s="20" t="n">
        <v>60</v>
      </c>
      <c r="S155" s="19" t="inlineStr">
        <is>
          <t>VHB</t>
        </is>
      </c>
      <c r="T155" s="21">
        <f>K155*R155</f>
        <v/>
      </c>
      <c r="U155" s="15" t="inlineStr">
        <is>
          <t>nur Abholung</t>
        </is>
      </c>
      <c r="V155" s="15" t="inlineStr">
        <is>
          <t>F-132</t>
        </is>
      </c>
      <c r="W155" s="19" t="inlineStr">
        <is>
          <t>ja</t>
        </is>
      </c>
      <c r="X155" s="19" t="n"/>
      <c r="Y155" s="19" t="inlineStr">
        <is>
          <t>verfügbar</t>
        </is>
      </c>
      <c r="Z155" s="19" t="inlineStr">
        <is>
          <t>Mr Maria</t>
        </is>
      </c>
      <c r="AA155" s="19" t="n"/>
      <c r="AB155" s="19" t="n"/>
      <c r="AC155" s="20" t="n"/>
      <c r="AD155" s="21">
        <f>IF(J155="","",J155*AC155)</f>
        <v/>
      </c>
      <c r="AE155" s="19" t="n"/>
      <c r="AF155" s="19" t="n"/>
      <c r="AG155" s="19" t="n"/>
      <c r="AH155" s="19" t="n"/>
      <c r="AI155" s="19" t="n"/>
      <c r="AJ155" s="19" t="n"/>
      <c r="AK155" s="16" t="inlineStr">
        <is>
          <t>1 Leuchte, das kleine Exemplar – rechts auf dem Foto.</t>
        </is>
      </c>
      <c r="AL155" s="22" t="n"/>
    </row>
  </sheetData>
  <autoFilter ref="A2:AL155"/>
  <mergeCells count="7">
    <mergeCell ref="AK1:AL1"/>
    <mergeCell ref="A1:O1"/>
    <mergeCell ref="P1:Q1"/>
    <mergeCell ref="R1:T1"/>
    <mergeCell ref="U1:AB1"/>
    <mergeCell ref="AC1:AF1"/>
    <mergeCell ref="AG1:AJ1"/>
  </mergeCells>
  <conditionalFormatting sqref="Y3:Y155">
    <cfRule type="cellIs" priority="1" operator="equal" dxfId="0">
      <formula>"reserviert"</formula>
    </cfRule>
    <cfRule type="cellIs" priority="2" operator="equal" dxfId="1">
      <formula>"teilverkauft"</formula>
    </cfRule>
    <cfRule type="cellIs" priority="3" operator="equal" dxfId="2">
      <formula>"verkauft"</formula>
    </cfRule>
  </conditionalFormatting>
  <conditionalFormatting sqref="H3:H155">
    <cfRule type="cellIs" priority="4" operator="equal" dxfId="3">
      <formula>"A"</formula>
    </cfRule>
  </conditionalFormatting>
  <conditionalFormatting sqref="O3:O155">
    <cfRule type="cellIs" priority="5" operator="equal" dxfId="4">
      <formula>"entfällt"</formula>
    </cfRule>
  </conditionalFormatting>
  <dataValidations count="12">
    <dataValidation sqref="H3:H803" showDropDown="0" showInputMessage="0" showErrorMessage="0" allowBlank="1" type="list">
      <formula1>"A,B,C"</formula1>
    </dataValidation>
    <dataValidation sqref="O3:O803" showDropDown="0" showInputMessage="0" showErrorMessage="0" allowBlank="1" type="list">
      <formula1>"ja,entfällt"</formula1>
    </dataValidation>
    <dataValidation sqref="W3:W803" showDropDown="0" showInputMessage="0" showErrorMessage="0" allowBlank="1" type="list">
      <formula1>"ja,nein"</formula1>
    </dataValidation>
    <dataValidation sqref="X3:X803" showDropDown="0" showInputMessage="0" showErrorMessage="0" allowBlank="1" type="list">
      <formula1>"ja,nein"</formula1>
    </dataValidation>
    <dataValidation sqref="L3:L803" showDropDown="0" showInputMessage="0" showErrorMessage="0" allowBlank="1" type="list">
      <formula1>"Stück,Karton,Set,Palette,Konvolut"</formula1>
    </dataValidation>
    <dataValidation sqref="M3:M803" showDropDown="0" showInputMessage="0" showErrorMessage="0" allowBlank="1" type="list">
      <formula1>"neuwertig,gut,gebraucht,stark gebraucht,defekt"</formula1>
    </dataValidation>
    <dataValidation sqref="S3:S803" showDropDown="0" showInputMessage="0" showErrorMessage="0" allowBlank="1" type="list">
      <formula1>"Fix,VHB"</formula1>
    </dataValidation>
    <dataValidation sqref="U3:U803" showDropDown="0" showInputMessage="0" showErrorMessage="0" allowBlank="1" type="list">
      <formula1>"nur Abholung,Versand möglich,Spedition"</formula1>
    </dataValidation>
    <dataValidation sqref="Y3:Y803" showDropDown="0" showInputMessage="0" showErrorMessage="0" allowBlank="1" type="list">
      <formula1>"verfügbar,reserviert,teilverkauft,verkauft,gespendet,entsorgt"</formula1>
    </dataValidation>
    <dataValidation sqref="AA3:AA803" showDropDown="0" showInputMessage="0" showErrorMessage="0" allowBlank="1" type="list">
      <formula1>"Webkatalog,Kleinanzeigen,eBay,Direkt,Händler,Verkaufstag"</formula1>
    </dataValidation>
    <dataValidation sqref="AH3:AH803" showDropDown="0" showInputMessage="0" showErrorMessage="0" allowBlank="1" type="list">
      <formula1>"offen,bezahlt,teilbezahlt"</formula1>
    </dataValidation>
    <dataValidation sqref="AI3:AI803" showDropDown="0" showInputMessage="0" showErrorMessage="0" allowBlank="1" type="list">
      <formula1>"Überweisung,bar,PayPal"</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84"/>
  <sheetViews>
    <sheetView workbookViewId="0">
      <selection activeCell="A1" sqref="A1"/>
    </sheetView>
  </sheetViews>
  <sheetFormatPr baseColWidth="8" defaultRowHeight="15"/>
  <cols>
    <col width="44" customWidth="1" min="1" max="1"/>
    <col width="18" customWidth="1" min="2" max="2"/>
    <col width="18" customWidth="1" min="3" max="3"/>
    <col width="18" customWidth="1" min="4" max="4"/>
    <col width="18" customWidth="1" min="5" max="5"/>
  </cols>
  <sheetData>
    <row r="1">
      <c r="A1" s="23" t="inlineStr">
        <is>
          <t>Verkaufsübersicht – rechnet automatisch aus dem Artikelstamm</t>
        </is>
      </c>
    </row>
    <row r="2">
      <c r="A2" s="24" t="inlineStr">
        <is>
          <t>Hier wird nichts eingetragen. Wer im Artikelstamm einen Verkauf erfasst, sieht ihn sofort hier.</t>
        </is>
      </c>
    </row>
    <row r="4">
      <c r="A4" s="25" t="inlineStr">
        <is>
          <t>Bestand</t>
        </is>
      </c>
    </row>
    <row r="5">
      <c r="A5" s="26" t="inlineStr">
        <is>
          <t>Artikelpositionen gesamt</t>
        </is>
      </c>
      <c r="B5" s="27">
        <f>COUNTA(Artikelstamm!$A$3:$A$155)</f>
        <v/>
      </c>
    </row>
    <row r="6">
      <c r="A6" s="26" t="inlineStr">
        <is>
          <t>davon verfügbar</t>
        </is>
      </c>
      <c r="B6" s="27">
        <f>COUNTIF(Artikelstamm!$Y$3:$Y$155,"verfügbar")</f>
        <v/>
      </c>
    </row>
    <row r="7">
      <c r="A7" s="26" t="inlineStr">
        <is>
          <t>davon reserviert</t>
        </is>
      </c>
      <c r="B7" s="27">
        <f>COUNTIF(Artikelstamm!$Y$3:$Y$155,"reserviert")</f>
        <v/>
      </c>
    </row>
    <row r="8">
      <c r="A8" s="26" t="inlineStr">
        <is>
          <t>davon teilverkauft</t>
        </is>
      </c>
      <c r="B8" s="27">
        <f>COUNTIF(Artikelstamm!$Y$3:$Y$155,"teilverkauft")</f>
        <v/>
      </c>
    </row>
    <row r="9">
      <c r="A9" s="26" t="inlineStr">
        <is>
          <t>davon verkauft</t>
        </is>
      </c>
      <c r="B9" s="27">
        <f>COUNTIF(Artikelstamm!$Y$3:$Y$155,"verkauft")</f>
        <v/>
      </c>
    </row>
    <row r="10">
      <c r="A10" s="26" t="inlineStr">
        <is>
          <t>Einheiten noch im Bestand</t>
        </is>
      </c>
      <c r="B10" s="27">
        <f>SUM(Artikelstamm!$K$3:$K$155)</f>
        <v/>
      </c>
    </row>
    <row r="11">
      <c r="A11" s="28" t="inlineStr">
        <is>
          <t>Restbestand zu Wunschpreisen (netto)</t>
        </is>
      </c>
      <c r="B11" s="29">
        <f>SUM(Artikelstamm!$T$3:$T$155)</f>
        <v/>
      </c>
    </row>
    <row r="12">
      <c r="A12" s="25" t="inlineStr">
        <is>
          <t>Erlöse</t>
        </is>
      </c>
    </row>
    <row r="13">
      <c r="A13" s="26" t="inlineStr">
        <is>
          <t>Verkaufte Einheiten</t>
        </is>
      </c>
      <c r="B13" s="27">
        <f>SUM(Artikelstamm!$J$3:$J$155)</f>
        <v/>
      </c>
    </row>
    <row r="14">
      <c r="A14" s="26" t="inlineStr">
        <is>
          <t>Umsatz netto</t>
        </is>
      </c>
      <c r="B14" s="30">
        <f>SUMPRODUCT(Artikelstamm!$J$3:$J$155,Artikelstamm!$AC$3:$AC$155)</f>
        <v/>
      </c>
    </row>
    <row r="15">
      <c r="A15" s="26" t="inlineStr">
        <is>
          <t>zzgl. Umsatzsteuer 19 %</t>
        </is>
      </c>
      <c r="B15" s="30">
        <f>B14*0.19</f>
        <v/>
      </c>
    </row>
    <row r="16">
      <c r="A16" s="28" t="inlineStr">
        <is>
          <t>Umsatz brutto</t>
        </is>
      </c>
      <c r="B16" s="29">
        <f>B14+B15</f>
        <v/>
      </c>
    </row>
    <row r="17">
      <c r="A17" s="26" t="inlineStr">
        <is>
          <t>davon bereits bezahlt (netto)</t>
        </is>
      </c>
      <c r="B17" s="30">
        <f>SUMPRODUCT((Artikelstamm!$AH$3:$AH$155="bezahlt")*Artikelstamm!$J$3:$J$155*Artikelstamm!$AC$3:$AC$155)</f>
        <v/>
      </c>
    </row>
    <row r="18">
      <c r="A18" s="26" t="inlineStr">
        <is>
          <t>noch offen (netto)</t>
        </is>
      </c>
      <c r="B18" s="30">
        <f>B14-B17</f>
        <v/>
      </c>
    </row>
    <row r="20">
      <c r="A20" s="25" t="inlineStr">
        <is>
          <t>To-do</t>
        </is>
      </c>
    </row>
    <row r="21">
      <c r="A21" s="28" t="inlineStr">
        <is>
          <t>Rechnungen noch zu schreiben</t>
        </is>
      </c>
      <c r="B21" s="31">
        <f>COUNTIFS(Artikelstamm!$Y$3:$Y$155,"*verkauft",Artikelstamm!$AG$3:$AG$155,"")</f>
        <v/>
      </c>
    </row>
    <row r="22">
      <c r="A22" s="28" t="inlineStr">
        <is>
          <t>Rechnungen offen (unbezahlt)</t>
        </is>
      </c>
      <c r="B22" s="31">
        <f>COUNTIFS(Artikelstamm!$Y$3:$Y$155,"*verkauft",Artikelstamm!$AH$3:$AH$155,"offen")</f>
        <v/>
      </c>
    </row>
    <row r="23">
      <c r="A23" s="26" t="inlineStr">
        <is>
          <t>Reservierungen ohne Abholtermin</t>
        </is>
      </c>
      <c r="B23" s="27">
        <f>COUNTIFS(Artikelstamm!$Y$3:$Y$155,"reserviert",Artikelstamm!$AJ$3:$AJ$155,"")</f>
        <v/>
      </c>
    </row>
    <row r="24">
      <c r="A24" s="26" t="inlineStr">
        <is>
          <t>Artikel ohne Preis</t>
        </is>
      </c>
      <c r="B24" s="27">
        <f>COUNTIFS(Artikelstamm!$R$3:$R$155,"")</f>
        <v/>
      </c>
    </row>
    <row r="25">
      <c r="A25" s="26" t="inlineStr">
        <is>
          <t>Artikel ohne Maßangabe</t>
        </is>
      </c>
      <c r="B25" s="27">
        <f>COUNTIFS(Artikelstamm!$N$3:$N$155,"")</f>
        <v/>
      </c>
    </row>
    <row r="28">
      <c r="A28" s="25" t="inlineStr">
        <is>
          <t>Nach Wertklasse</t>
        </is>
      </c>
    </row>
    <row r="29">
      <c r="A29" s="32" t="inlineStr">
        <is>
          <t>Wertklasse</t>
        </is>
      </c>
      <c r="B29" s="32" t="inlineStr">
        <is>
          <t>Positionen</t>
        </is>
      </c>
      <c r="C29" s="32" t="inlineStr">
        <is>
          <t>Umsatz netto</t>
        </is>
      </c>
      <c r="D29" s="32" t="inlineStr">
        <is>
          <t>Restwert netto</t>
        </is>
      </c>
    </row>
    <row r="30">
      <c r="A30" s="26" t="inlineStr">
        <is>
          <t>A</t>
        </is>
      </c>
      <c r="B30" s="33">
        <f>COUNTIF(Artikelstamm!$H$3:$H$155,$A30)</f>
        <v/>
      </c>
      <c r="C30" s="34">
        <f>SUMPRODUCT((Artikelstamm!$H$3:$H$155=$A30)*Artikelstamm!$J$3:$J$155*Artikelstamm!$AC$3:$AC$155)</f>
        <v/>
      </c>
      <c r="D30" s="34">
        <f>SUMIF(Artikelstamm!$H$3:$H$155,$A30,Artikelstamm!$T$3:$T$155)</f>
        <v/>
      </c>
    </row>
    <row r="31">
      <c r="A31" s="26" t="inlineStr">
        <is>
          <t>B</t>
        </is>
      </c>
      <c r="B31" s="33">
        <f>COUNTIF(Artikelstamm!$H$3:$H$155,$A31)</f>
        <v/>
      </c>
      <c r="C31" s="34">
        <f>SUMPRODUCT((Artikelstamm!$H$3:$H$155=$A31)*Artikelstamm!$J$3:$J$155*Artikelstamm!$AC$3:$AC$155)</f>
        <v/>
      </c>
      <c r="D31" s="34">
        <f>SUMIF(Artikelstamm!$H$3:$H$155,$A31,Artikelstamm!$T$3:$T$155)</f>
        <v/>
      </c>
    </row>
    <row r="32">
      <c r="A32" s="26" t="inlineStr">
        <is>
          <t>C</t>
        </is>
      </c>
      <c r="B32" s="33">
        <f>COUNTIF(Artikelstamm!$H$3:$H$155,$A32)</f>
        <v/>
      </c>
      <c r="C32" s="34">
        <f>SUMPRODUCT((Artikelstamm!$H$3:$H$155=$A32)*Artikelstamm!$J$3:$J$155*Artikelstamm!$AC$3:$AC$155)</f>
        <v/>
      </c>
      <c r="D32" s="34">
        <f>SUMIF(Artikelstamm!$H$3:$H$155,$A32,Artikelstamm!$T$3:$T$155)</f>
        <v/>
      </c>
    </row>
    <row r="33">
      <c r="A33" s="28" t="inlineStr">
        <is>
          <t>Summe</t>
        </is>
      </c>
      <c r="B33" s="35">
        <f>SUM(B30:B32)</f>
        <v/>
      </c>
      <c r="C33" s="36">
        <f>SUM(C30:C32)</f>
        <v/>
      </c>
      <c r="D33" s="36">
        <f>SUM(D30:D32)</f>
        <v/>
      </c>
    </row>
    <row r="35">
      <c r="A35" s="25" t="inlineStr">
        <is>
          <t>Nach Kategorie</t>
        </is>
      </c>
    </row>
    <row r="36">
      <c r="A36" s="32" t="inlineStr">
        <is>
          <t>Kategorie</t>
        </is>
      </c>
      <c r="B36" s="32" t="inlineStr">
        <is>
          <t>Positionen</t>
        </is>
      </c>
      <c r="C36" s="32" t="inlineStr">
        <is>
          <t>Umsatz netto</t>
        </is>
      </c>
      <c r="D36" s="32" t="inlineStr">
        <is>
          <t>Restwert netto</t>
        </is>
      </c>
    </row>
    <row r="37">
      <c r="A37" s="26" t="inlineStr">
        <is>
          <t>Büro</t>
        </is>
      </c>
      <c r="B37" s="33">
        <f>COUNTIF(Artikelstamm!$F$3:$F$155,$A37)</f>
        <v/>
      </c>
      <c r="C37" s="34">
        <f>SUMPRODUCT((Artikelstamm!$F$3:$F$155=$A37)*Artikelstamm!$J$3:$J$155*Artikelstamm!$AC$3:$AC$155)</f>
        <v/>
      </c>
      <c r="D37" s="34">
        <f>SUMIF(Artikelstamm!$F$3:$F$155,$A37,Artikelstamm!$T$3:$T$155)</f>
        <v/>
      </c>
    </row>
    <row r="38">
      <c r="A38" s="26" t="inlineStr">
        <is>
          <t>Deko</t>
        </is>
      </c>
      <c r="B38" s="33">
        <f>COUNTIF(Artikelstamm!$F$3:$F$155,$A38)</f>
        <v/>
      </c>
      <c r="C38" s="34">
        <f>SUMPRODUCT((Artikelstamm!$F$3:$F$155=$A38)*Artikelstamm!$J$3:$J$155*Artikelstamm!$AC$3:$AC$155)</f>
        <v/>
      </c>
      <c r="D38" s="34">
        <f>SUMIF(Artikelstamm!$F$3:$F$155,$A38,Artikelstamm!$T$3:$T$155)</f>
        <v/>
      </c>
    </row>
    <row r="39">
      <c r="A39" s="26" t="inlineStr">
        <is>
          <t>Designmöbel</t>
        </is>
      </c>
      <c r="B39" s="33">
        <f>COUNTIF(Artikelstamm!$F$3:$F$155,$A39)</f>
        <v/>
      </c>
      <c r="C39" s="34">
        <f>SUMPRODUCT((Artikelstamm!$F$3:$F$155=$A39)*Artikelstamm!$J$3:$J$155*Artikelstamm!$AC$3:$AC$155)</f>
        <v/>
      </c>
      <c r="D39" s="34">
        <f>SUMIF(Artikelstamm!$F$3:$F$155,$A39,Artikelstamm!$T$3:$T$155)</f>
        <v/>
      </c>
    </row>
    <row r="40">
      <c r="A40" s="26" t="inlineStr">
        <is>
          <t>Garten</t>
        </is>
      </c>
      <c r="B40" s="33">
        <f>COUNTIF(Artikelstamm!$F$3:$F$155,$A40)</f>
        <v/>
      </c>
      <c r="C40" s="34">
        <f>SUMPRODUCT((Artikelstamm!$F$3:$F$155=$A40)*Artikelstamm!$J$3:$J$155*Artikelstamm!$AC$3:$AC$155)</f>
        <v/>
      </c>
      <c r="D40" s="34">
        <f>SUMIF(Artikelstamm!$F$3:$F$155,$A40,Artikelstamm!$T$3:$T$155)</f>
        <v/>
      </c>
    </row>
    <row r="41">
      <c r="A41" s="26" t="inlineStr">
        <is>
          <t>Kita-Ausstattung</t>
        </is>
      </c>
      <c r="B41" s="33">
        <f>COUNTIF(Artikelstamm!$F$3:$F$155,$A41)</f>
        <v/>
      </c>
      <c r="C41" s="34">
        <f>SUMPRODUCT((Artikelstamm!$F$3:$F$155=$A41)*Artikelstamm!$J$3:$J$155*Artikelstamm!$AC$3:$AC$155)</f>
        <v/>
      </c>
      <c r="D41" s="34">
        <f>SUMIF(Artikelstamm!$F$3:$F$155,$A41,Artikelstamm!$T$3:$T$155)</f>
        <v/>
      </c>
    </row>
    <row r="42">
      <c r="A42" s="26" t="inlineStr">
        <is>
          <t>Kunst</t>
        </is>
      </c>
      <c r="B42" s="33">
        <f>COUNTIF(Artikelstamm!$F$3:$F$155,$A42)</f>
        <v/>
      </c>
      <c r="C42" s="34">
        <f>SUMPRODUCT((Artikelstamm!$F$3:$F$155=$A42)*Artikelstamm!$J$3:$J$155*Artikelstamm!$AC$3:$AC$155)</f>
        <v/>
      </c>
      <c r="D42" s="34">
        <f>SUMIF(Artikelstamm!$F$3:$F$155,$A42,Artikelstamm!$T$3:$T$155)</f>
        <v/>
      </c>
    </row>
    <row r="43">
      <c r="A43" s="26" t="inlineStr">
        <is>
          <t>Leuchten</t>
        </is>
      </c>
      <c r="B43" s="33">
        <f>COUNTIF(Artikelstamm!$F$3:$F$155,$A43)</f>
        <v/>
      </c>
      <c r="C43" s="34">
        <f>SUMPRODUCT((Artikelstamm!$F$3:$F$155=$A43)*Artikelstamm!$J$3:$J$155*Artikelstamm!$AC$3:$AC$155)</f>
        <v/>
      </c>
      <c r="D43" s="34">
        <f>SUMIF(Artikelstamm!$F$3:$F$155,$A43,Artikelstamm!$T$3:$T$155)</f>
        <v/>
      </c>
    </row>
    <row r="44">
      <c r="A44" s="26" t="inlineStr">
        <is>
          <t>Möbel</t>
        </is>
      </c>
      <c r="B44" s="33">
        <f>COUNTIF(Artikelstamm!$F$3:$F$155,$A44)</f>
        <v/>
      </c>
      <c r="C44" s="34">
        <f>SUMPRODUCT((Artikelstamm!$F$3:$F$155=$A44)*Artikelstamm!$J$3:$J$155*Artikelstamm!$AC$3:$AC$155)</f>
        <v/>
      </c>
      <c r="D44" s="34">
        <f>SUMIF(Artikelstamm!$F$3:$F$155,$A44,Artikelstamm!$T$3:$T$155)</f>
        <v/>
      </c>
    </row>
    <row r="45">
      <c r="A45" s="26" t="inlineStr">
        <is>
          <t>Pflanzen</t>
        </is>
      </c>
      <c r="B45" s="33">
        <f>COUNTIF(Artikelstamm!$F$3:$F$155,$A45)</f>
        <v/>
      </c>
      <c r="C45" s="34">
        <f>SUMPRODUCT((Artikelstamm!$F$3:$F$155=$A45)*Artikelstamm!$J$3:$J$155*Artikelstamm!$AC$3:$AC$155)</f>
        <v/>
      </c>
      <c r="D45" s="34">
        <f>SUMIF(Artikelstamm!$F$3:$F$155,$A45,Artikelstamm!$T$3:$T$155)</f>
        <v/>
      </c>
    </row>
    <row r="46">
      <c r="A46" s="26" t="inlineStr">
        <is>
          <t>Sonstiges</t>
        </is>
      </c>
      <c r="B46" s="33">
        <f>COUNTIF(Artikelstamm!$F$3:$F$155,$A46)</f>
        <v/>
      </c>
      <c r="C46" s="34">
        <f>SUMPRODUCT((Artikelstamm!$F$3:$F$155=$A46)*Artikelstamm!$J$3:$J$155*Artikelstamm!$AC$3:$AC$155)</f>
        <v/>
      </c>
      <c r="D46" s="34">
        <f>SUMIF(Artikelstamm!$F$3:$F$155,$A46,Artikelstamm!$T$3:$T$155)</f>
        <v/>
      </c>
    </row>
    <row r="47">
      <c r="A47" s="26" t="inlineStr">
        <is>
          <t>Technik</t>
        </is>
      </c>
      <c r="B47" s="33">
        <f>COUNTIF(Artikelstamm!$F$3:$F$155,$A47)</f>
        <v/>
      </c>
      <c r="C47" s="34">
        <f>SUMPRODUCT((Artikelstamm!$F$3:$F$155=$A47)*Artikelstamm!$J$3:$J$155*Artikelstamm!$AC$3:$AC$155)</f>
        <v/>
      </c>
      <c r="D47" s="34">
        <f>SUMIF(Artikelstamm!$F$3:$F$155,$A47,Artikelstamm!$T$3:$T$155)</f>
        <v/>
      </c>
    </row>
    <row r="48">
      <c r="A48" s="26" t="inlineStr">
        <is>
          <t>Textilien</t>
        </is>
      </c>
      <c r="B48" s="33">
        <f>COUNTIF(Artikelstamm!$F$3:$F$155,$A48)</f>
        <v/>
      </c>
      <c r="C48" s="34">
        <f>SUMPRODUCT((Artikelstamm!$F$3:$F$155=$A48)*Artikelstamm!$J$3:$J$155*Artikelstamm!$AC$3:$AC$155)</f>
        <v/>
      </c>
      <c r="D48" s="34">
        <f>SUMIF(Artikelstamm!$F$3:$F$155,$A48,Artikelstamm!$T$3:$T$155)</f>
        <v/>
      </c>
    </row>
    <row r="49">
      <c r="A49" s="26" t="inlineStr">
        <is>
          <t>Uhren</t>
        </is>
      </c>
      <c r="B49" s="33">
        <f>COUNTIF(Artikelstamm!$F$3:$F$155,$A49)</f>
        <v/>
      </c>
      <c r="C49" s="34">
        <f>SUMPRODUCT((Artikelstamm!$F$3:$F$155=$A49)*Artikelstamm!$J$3:$J$155*Artikelstamm!$AC$3:$AC$155)</f>
        <v/>
      </c>
      <c r="D49" s="34">
        <f>SUMIF(Artikelstamm!$F$3:$F$155,$A49,Artikelstamm!$T$3:$T$155)</f>
        <v/>
      </c>
    </row>
    <row r="50">
      <c r="A50" s="26" t="inlineStr">
        <is>
          <t>Verbrauchsmaterial</t>
        </is>
      </c>
      <c r="B50" s="33">
        <f>COUNTIF(Artikelstamm!$F$3:$F$155,$A50)</f>
        <v/>
      </c>
      <c r="C50" s="34">
        <f>SUMPRODUCT((Artikelstamm!$F$3:$F$155=$A50)*Artikelstamm!$J$3:$J$155*Artikelstamm!$AC$3:$AC$155)</f>
        <v/>
      </c>
      <c r="D50" s="34">
        <f>SUMIF(Artikelstamm!$F$3:$F$155,$A50,Artikelstamm!$T$3:$T$155)</f>
        <v/>
      </c>
    </row>
    <row r="51">
      <c r="A51" s="28" t="inlineStr">
        <is>
          <t>Summe</t>
        </is>
      </c>
      <c r="B51" s="35">
        <f>SUM(B37:B50)</f>
        <v/>
      </c>
      <c r="C51" s="36">
        <f>SUM(C37:C50)</f>
        <v/>
      </c>
      <c r="D51" s="36">
        <f>SUM(D37:D50)</f>
        <v/>
      </c>
    </row>
    <row r="53">
      <c r="A53" s="25" t="inlineStr">
        <is>
          <t>Nach Raum</t>
        </is>
      </c>
    </row>
    <row r="54">
      <c r="A54" s="32" t="inlineStr">
        <is>
          <t>Raum</t>
        </is>
      </c>
      <c r="B54" s="32" t="inlineStr">
        <is>
          <t>Positionen</t>
        </is>
      </c>
      <c r="C54" s="32" t="inlineStr">
        <is>
          <t>Umsatz netto</t>
        </is>
      </c>
      <c r="D54" s="32" t="inlineStr">
        <is>
          <t>Restwert netto</t>
        </is>
      </c>
    </row>
    <row r="55">
      <c r="A55" s="26" t="inlineStr">
        <is>
          <t>Atelier</t>
        </is>
      </c>
      <c r="B55" s="33">
        <f>COUNTIF(Artikelstamm!$G$3:$G$155,$A55)</f>
        <v/>
      </c>
      <c r="C55" s="34">
        <f>SUMPRODUCT((Artikelstamm!$G$3:$G$155=$A55)*Artikelstamm!$J$3:$J$155*Artikelstamm!$AC$3:$AC$155)</f>
        <v/>
      </c>
      <c r="D55" s="34">
        <f>SUMIF(Artikelstamm!$G$3:$G$155,$A55,Artikelstamm!$T$3:$T$155)</f>
        <v/>
      </c>
    </row>
    <row r="56">
      <c r="A56" s="26" t="inlineStr">
        <is>
          <t>Büro</t>
        </is>
      </c>
      <c r="B56" s="33">
        <f>COUNTIF(Artikelstamm!$G$3:$G$155,$A56)</f>
        <v/>
      </c>
      <c r="C56" s="34">
        <f>SUMPRODUCT((Artikelstamm!$G$3:$G$155=$A56)*Artikelstamm!$J$3:$J$155*Artikelstamm!$AC$3:$AC$155)</f>
        <v/>
      </c>
      <c r="D56" s="34">
        <f>SUMIF(Artikelstamm!$G$3:$G$155,$A56,Artikelstamm!$T$3:$T$155)</f>
        <v/>
      </c>
    </row>
    <row r="57">
      <c r="A57" s="26" t="inlineStr">
        <is>
          <t>Büro / Besprechung</t>
        </is>
      </c>
      <c r="B57" s="33">
        <f>COUNTIF(Artikelstamm!$G$3:$G$155,$A57)</f>
        <v/>
      </c>
      <c r="C57" s="34">
        <f>SUMPRODUCT((Artikelstamm!$G$3:$G$155=$A57)*Artikelstamm!$J$3:$J$155*Artikelstamm!$AC$3:$AC$155)</f>
        <v/>
      </c>
      <c r="D57" s="34">
        <f>SUMIF(Artikelstamm!$G$3:$G$155,$A57,Artikelstamm!$T$3:$T$155)</f>
        <v/>
      </c>
    </row>
    <row r="58">
      <c r="A58" s="26" t="inlineStr">
        <is>
          <t>Dachterrasse</t>
        </is>
      </c>
      <c r="B58" s="33">
        <f>COUNTIF(Artikelstamm!$G$3:$G$155,$A58)</f>
        <v/>
      </c>
      <c r="C58" s="34">
        <f>SUMPRODUCT((Artikelstamm!$G$3:$G$155=$A58)*Artikelstamm!$J$3:$J$155*Artikelstamm!$AC$3:$AC$155)</f>
        <v/>
      </c>
      <c r="D58" s="34">
        <f>SUMIF(Artikelstamm!$G$3:$G$155,$A58,Artikelstamm!$T$3:$T$155)</f>
        <v/>
      </c>
    </row>
    <row r="59">
      <c r="A59" s="26" t="inlineStr">
        <is>
          <t>Flur</t>
        </is>
      </c>
      <c r="B59" s="33">
        <f>COUNTIF(Artikelstamm!$G$3:$G$155,$A59)</f>
        <v/>
      </c>
      <c r="C59" s="34">
        <f>SUMPRODUCT((Artikelstamm!$G$3:$G$155=$A59)*Artikelstamm!$J$3:$J$155*Artikelstamm!$AC$3:$AC$155)</f>
        <v/>
      </c>
      <c r="D59" s="34">
        <f>SUMIF(Artikelstamm!$G$3:$G$155,$A59,Artikelstamm!$T$3:$T$155)</f>
        <v/>
      </c>
    </row>
    <row r="60">
      <c r="A60" s="26" t="inlineStr">
        <is>
          <t>Flur 1</t>
        </is>
      </c>
      <c r="B60" s="33">
        <f>COUNTIF(Artikelstamm!$G$3:$G$155,$A60)</f>
        <v/>
      </c>
      <c r="C60" s="34">
        <f>SUMPRODUCT((Artikelstamm!$G$3:$G$155=$A60)*Artikelstamm!$J$3:$J$155*Artikelstamm!$AC$3:$AC$155)</f>
        <v/>
      </c>
      <c r="D60" s="34">
        <f>SUMIF(Artikelstamm!$G$3:$G$155,$A60,Artikelstamm!$T$3:$T$155)</f>
        <v/>
      </c>
    </row>
    <row r="61">
      <c r="A61" s="26" t="inlineStr">
        <is>
          <t>Gartenanlage</t>
        </is>
      </c>
      <c r="B61" s="33">
        <f>COUNTIF(Artikelstamm!$G$3:$G$155,$A61)</f>
        <v/>
      </c>
      <c r="C61" s="34">
        <f>SUMPRODUCT((Artikelstamm!$G$3:$G$155=$A61)*Artikelstamm!$J$3:$J$155*Artikelstamm!$AC$3:$AC$155)</f>
        <v/>
      </c>
      <c r="D61" s="34">
        <f>SUMIF(Artikelstamm!$G$3:$G$155,$A61,Artikelstamm!$T$3:$T$155)</f>
        <v/>
      </c>
    </row>
    <row r="62">
      <c r="A62" s="26" t="inlineStr">
        <is>
          <t>Gruppenraum</t>
        </is>
      </c>
      <c r="B62" s="33">
        <f>COUNTIF(Artikelstamm!$G$3:$G$155,$A62)</f>
        <v/>
      </c>
      <c r="C62" s="34">
        <f>SUMPRODUCT((Artikelstamm!$G$3:$G$155=$A62)*Artikelstamm!$J$3:$J$155*Artikelstamm!$AC$3:$AC$155)</f>
        <v/>
      </c>
      <c r="D62" s="34">
        <f>SUMIF(Artikelstamm!$G$3:$G$155,$A62,Artikelstamm!$T$3:$T$155)</f>
        <v/>
      </c>
    </row>
    <row r="63">
      <c r="A63" s="26" t="inlineStr">
        <is>
          <t>Gruppenraum 2</t>
        </is>
      </c>
      <c r="B63" s="33">
        <f>COUNTIF(Artikelstamm!$G$3:$G$155,$A63)</f>
        <v/>
      </c>
      <c r="C63" s="34">
        <f>SUMPRODUCT((Artikelstamm!$G$3:$G$155=$A63)*Artikelstamm!$J$3:$J$155*Artikelstamm!$AC$3:$AC$155)</f>
        <v/>
      </c>
      <c r="D63" s="34">
        <f>SUMIF(Artikelstamm!$G$3:$G$155,$A63,Artikelstamm!$T$3:$T$155)</f>
        <v/>
      </c>
    </row>
    <row r="64">
      <c r="A64" s="26" t="inlineStr">
        <is>
          <t>Gruppenraum 4</t>
        </is>
      </c>
      <c r="B64" s="33">
        <f>COUNTIF(Artikelstamm!$G$3:$G$155,$A64)</f>
        <v/>
      </c>
      <c r="C64" s="34">
        <f>SUMPRODUCT((Artikelstamm!$G$3:$G$155=$A64)*Artikelstamm!$J$3:$J$155*Artikelstamm!$AC$3:$AC$155)</f>
        <v/>
      </c>
      <c r="D64" s="34">
        <f>SUMIF(Artikelstamm!$G$3:$G$155,$A64,Artikelstamm!$T$3:$T$155)</f>
        <v/>
      </c>
    </row>
    <row r="65">
      <c r="A65" s="26" t="inlineStr">
        <is>
          <t>Gruppenraum 5</t>
        </is>
      </c>
      <c r="B65" s="33">
        <f>COUNTIF(Artikelstamm!$G$3:$G$155,$A65)</f>
        <v/>
      </c>
      <c r="C65" s="34">
        <f>SUMPRODUCT((Artikelstamm!$G$3:$G$155=$A65)*Artikelstamm!$J$3:$J$155*Artikelstamm!$AC$3:$AC$155)</f>
        <v/>
      </c>
      <c r="D65" s="34">
        <f>SUMIF(Artikelstamm!$G$3:$G$155,$A65,Artikelstamm!$T$3:$T$155)</f>
        <v/>
      </c>
    </row>
    <row r="66">
      <c r="A66" s="26" t="inlineStr">
        <is>
          <t>Personal</t>
        </is>
      </c>
      <c r="B66" s="33">
        <f>COUNTIF(Artikelstamm!$G$3:$G$155,$A66)</f>
        <v/>
      </c>
      <c r="C66" s="34">
        <f>SUMPRODUCT((Artikelstamm!$G$3:$G$155=$A66)*Artikelstamm!$J$3:$J$155*Artikelstamm!$AC$3:$AC$155)</f>
        <v/>
      </c>
      <c r="D66" s="34">
        <f>SUMIF(Artikelstamm!$G$3:$G$155,$A66,Artikelstamm!$T$3:$T$155)</f>
        <v/>
      </c>
    </row>
    <row r="67">
      <c r="A67" s="26" t="inlineStr">
        <is>
          <t>Ruhe- / Schlafraum</t>
        </is>
      </c>
      <c r="B67" s="33">
        <f>COUNTIF(Artikelstamm!$G$3:$G$155,$A67)</f>
        <v/>
      </c>
      <c r="C67" s="34">
        <f>SUMPRODUCT((Artikelstamm!$G$3:$G$155=$A67)*Artikelstamm!$J$3:$J$155*Artikelstamm!$AC$3:$AC$155)</f>
        <v/>
      </c>
      <c r="D67" s="34">
        <f>SUMIF(Artikelstamm!$G$3:$G$155,$A67,Artikelstamm!$T$3:$T$155)</f>
        <v/>
      </c>
    </row>
    <row r="68">
      <c r="A68" s="26" t="inlineStr">
        <is>
          <t>Schlafraum 4</t>
        </is>
      </c>
      <c r="B68" s="33">
        <f>COUNTIF(Artikelstamm!$G$3:$G$155,$A68)</f>
        <v/>
      </c>
      <c r="C68" s="34">
        <f>SUMPRODUCT((Artikelstamm!$G$3:$G$155=$A68)*Artikelstamm!$J$3:$J$155*Artikelstamm!$AC$3:$AC$155)</f>
        <v/>
      </c>
      <c r="D68" s="34">
        <f>SUMIF(Artikelstamm!$G$3:$G$155,$A68,Artikelstamm!$T$3:$T$155)</f>
        <v/>
      </c>
    </row>
    <row r="69">
      <c r="A69" s="26" t="inlineStr">
        <is>
          <t>Schlafraum 5</t>
        </is>
      </c>
      <c r="B69" s="33">
        <f>COUNTIF(Artikelstamm!$G$3:$G$155,$A69)</f>
        <v/>
      </c>
      <c r="C69" s="34">
        <f>SUMPRODUCT((Artikelstamm!$G$3:$G$155=$A69)*Artikelstamm!$J$3:$J$155*Artikelstamm!$AC$3:$AC$155)</f>
        <v/>
      </c>
      <c r="D69" s="34">
        <f>SUMIF(Artikelstamm!$G$3:$G$155,$A69,Artikelstamm!$T$3:$T$155)</f>
        <v/>
      </c>
    </row>
    <row r="70">
      <c r="A70" s="26" t="inlineStr">
        <is>
          <t>Speisesaal</t>
        </is>
      </c>
      <c r="B70" s="33">
        <f>COUNTIF(Artikelstamm!$G$3:$G$155,$A70)</f>
        <v/>
      </c>
      <c r="C70" s="34">
        <f>SUMPRODUCT((Artikelstamm!$G$3:$G$155=$A70)*Artikelstamm!$J$3:$J$155*Artikelstamm!$AC$3:$AC$155)</f>
        <v/>
      </c>
      <c r="D70" s="34">
        <f>SUMIF(Artikelstamm!$G$3:$G$155,$A70,Artikelstamm!$T$3:$T$155)</f>
        <v/>
      </c>
    </row>
    <row r="71">
      <c r="A71" s="26" t="inlineStr">
        <is>
          <t>Terrasse</t>
        </is>
      </c>
      <c r="B71" s="33">
        <f>COUNTIF(Artikelstamm!$G$3:$G$155,$A71)</f>
        <v/>
      </c>
      <c r="C71" s="34">
        <f>SUMPRODUCT((Artikelstamm!$G$3:$G$155=$A71)*Artikelstamm!$J$3:$J$155*Artikelstamm!$AC$3:$AC$155)</f>
        <v/>
      </c>
      <c r="D71" s="34">
        <f>SUMIF(Artikelstamm!$G$3:$G$155,$A71,Artikelstamm!$T$3:$T$155)</f>
        <v/>
      </c>
    </row>
    <row r="72">
      <c r="A72" s="26" t="inlineStr">
        <is>
          <t>WC Personal</t>
        </is>
      </c>
      <c r="B72" s="33">
        <f>COUNTIF(Artikelstamm!$G$3:$G$155,$A72)</f>
        <v/>
      </c>
      <c r="C72" s="34">
        <f>SUMPRODUCT((Artikelstamm!$G$3:$G$155=$A72)*Artikelstamm!$J$3:$J$155*Artikelstamm!$AC$3:$AC$155)</f>
        <v/>
      </c>
      <c r="D72" s="34">
        <f>SUMIF(Artikelstamm!$G$3:$G$155,$A72,Artikelstamm!$T$3:$T$155)</f>
        <v/>
      </c>
    </row>
    <row r="73">
      <c r="A73" s="26" t="inlineStr">
        <is>
          <t>Werkraum</t>
        </is>
      </c>
      <c r="B73" s="33">
        <f>COUNTIF(Artikelstamm!$G$3:$G$155,$A73)</f>
        <v/>
      </c>
      <c r="C73" s="34">
        <f>SUMPRODUCT((Artikelstamm!$G$3:$G$155=$A73)*Artikelstamm!$J$3:$J$155*Artikelstamm!$AC$3:$AC$155)</f>
        <v/>
      </c>
      <c r="D73" s="34">
        <f>SUMIF(Artikelstamm!$G$3:$G$155,$A73,Artikelstamm!$T$3:$T$155)</f>
        <v/>
      </c>
    </row>
    <row r="74">
      <c r="A74" s="28" t="inlineStr">
        <is>
          <t>Summe</t>
        </is>
      </c>
      <c r="B74" s="35">
        <f>SUM(B55:B73)</f>
        <v/>
      </c>
      <c r="C74" s="36">
        <f>SUM(C55:C73)</f>
        <v/>
      </c>
      <c r="D74" s="36">
        <f>SUM(D55:D73)</f>
        <v/>
      </c>
    </row>
    <row r="76">
      <c r="A76" s="25" t="inlineStr">
        <is>
          <t>Nach Verkaufskanal</t>
        </is>
      </c>
    </row>
    <row r="77">
      <c r="A77" s="32" t="inlineStr">
        <is>
          <t>Verkaufskanal</t>
        </is>
      </c>
      <c r="B77" s="32" t="inlineStr">
        <is>
          <t>Positionen</t>
        </is>
      </c>
      <c r="C77" s="32" t="inlineStr">
        <is>
          <t>Umsatz netto</t>
        </is>
      </c>
    </row>
    <row r="78">
      <c r="A78" s="26" t="inlineStr">
        <is>
          <t>Klinik</t>
        </is>
      </c>
      <c r="B78" s="33">
        <f>COUNTIF(Artikelstamm!$AA$3:$AA$155,$A78)</f>
        <v/>
      </c>
      <c r="C78" s="34">
        <f>SUMPRODUCT((Artikelstamm!$AA$3:$AA$155=$A78)*Artikelstamm!$J$3:$J$155*Artikelstamm!$AC$3:$AC$155)</f>
        <v/>
      </c>
    </row>
    <row r="79">
      <c r="A79" s="26" t="inlineStr">
        <is>
          <t>Kleinanzeigen</t>
        </is>
      </c>
      <c r="B79" s="33">
        <f>COUNTIF(Artikelstamm!$AA$3:$AA$155,$A79)</f>
        <v/>
      </c>
      <c r="C79" s="34">
        <f>SUMPRODUCT((Artikelstamm!$AA$3:$AA$155=$A79)*Artikelstamm!$J$3:$J$155*Artikelstamm!$AC$3:$AC$155)</f>
        <v/>
      </c>
    </row>
    <row r="80">
      <c r="A80" s="26" t="inlineStr">
        <is>
          <t>eBay</t>
        </is>
      </c>
      <c r="B80" s="33">
        <f>COUNTIF(Artikelstamm!$AA$3:$AA$155,$A80)</f>
        <v/>
      </c>
      <c r="C80" s="34">
        <f>SUMPRODUCT((Artikelstamm!$AA$3:$AA$155=$A80)*Artikelstamm!$J$3:$J$155*Artikelstamm!$AC$3:$AC$155)</f>
        <v/>
      </c>
    </row>
    <row r="81">
      <c r="A81" s="26" t="inlineStr">
        <is>
          <t>Direkt</t>
        </is>
      </c>
      <c r="B81" s="33">
        <f>COUNTIF(Artikelstamm!$AA$3:$AA$155,$A81)</f>
        <v/>
      </c>
      <c r="C81" s="34">
        <f>SUMPRODUCT((Artikelstamm!$AA$3:$AA$155=$A81)*Artikelstamm!$J$3:$J$155*Artikelstamm!$AC$3:$AC$155)</f>
        <v/>
      </c>
    </row>
    <row r="82">
      <c r="A82" s="26" t="inlineStr">
        <is>
          <t>Händler</t>
        </is>
      </c>
      <c r="B82" s="33">
        <f>COUNTIF(Artikelstamm!$AA$3:$AA$155,$A82)</f>
        <v/>
      </c>
      <c r="C82" s="34">
        <f>SUMPRODUCT((Artikelstamm!$AA$3:$AA$155=$A82)*Artikelstamm!$J$3:$J$155*Artikelstamm!$AC$3:$AC$155)</f>
        <v/>
      </c>
    </row>
    <row r="83">
      <c r="A83" s="26" t="inlineStr">
        <is>
          <t>Verkaufstag</t>
        </is>
      </c>
      <c r="B83" s="33">
        <f>COUNTIF(Artikelstamm!$AA$3:$AA$155,$A83)</f>
        <v/>
      </c>
      <c r="C83" s="34">
        <f>SUMPRODUCT((Artikelstamm!$AA$3:$AA$155=$A83)*Artikelstamm!$J$3:$J$155*Artikelstamm!$AC$3:$AC$155)</f>
        <v/>
      </c>
    </row>
    <row r="84">
      <c r="A84" s="28" t="inlineStr">
        <is>
          <t>Summe</t>
        </is>
      </c>
      <c r="B84" s="35">
        <f>SUM(B78:B83)</f>
        <v/>
      </c>
      <c r="C84" s="36">
        <f>SUM(C78:C83)</f>
        <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L45"/>
  <sheetViews>
    <sheetView workbookViewId="0">
      <pane ySplit="4" topLeftCell="A5" activePane="bottomLeft" state="frozen"/>
      <selection pane="bottomLeft" activeCell="A1" sqref="A1"/>
    </sheetView>
  </sheetViews>
  <sheetFormatPr baseColWidth="8" defaultRowHeight="15"/>
  <cols>
    <col width="6" customWidth="1" min="1" max="1"/>
    <col width="30" customWidth="1" min="2" max="2"/>
    <col width="38" customWidth="1" min="3" max="3"/>
    <col width="26" customWidth="1" min="4" max="4"/>
    <col width="14" customWidth="1" min="5" max="5"/>
    <col width="13" customWidth="1" min="6" max="6"/>
    <col width="13" customWidth="1" min="7" max="7"/>
    <col width="13" customWidth="1" min="8" max="8"/>
    <col width="13" customWidth="1" min="9" max="9"/>
    <col width="18" customWidth="1" min="10" max="10"/>
    <col width="14" customWidth="1" min="11" max="11"/>
    <col width="13" customWidth="1" min="12" max="12"/>
  </cols>
  <sheetData>
    <row r="1">
      <c r="A1" s="37" t="inlineStr">
        <is>
          <t>Rechnungen – Abtippliste für DATEV Auftragswesen</t>
        </is>
      </c>
    </row>
    <row r="2" ht="34" customHeight="1">
      <c r="A2" s="38" t="inlineStr">
        <is>
          <t>Die Spalten stehen in der Reihenfolge der DATEV-Erfassungsmaske. Ausdrucken, abarbeiten, die DATEV-Rechnungsnummer hier und im Artikelstamm eintragen. USt und Brutto rechnen sich selbst. Die Rechnung selbst wird ausschließlich in DATEV erstellt – es gibt bewusst kein zweites Rechnungsdokument.</t>
        </is>
      </c>
    </row>
    <row r="4" ht="30" customHeight="1">
      <c r="A4" s="39" t="inlineStr">
        <is>
          <t>lfd.</t>
        </is>
      </c>
      <c r="B4" s="39" t="inlineStr">
        <is>
          <t>Käufer / Firma</t>
        </is>
      </c>
      <c r="C4" s="39" t="inlineStr">
        <is>
          <t>Anschrift</t>
        </is>
      </c>
      <c r="D4" s="39" t="inlineStr">
        <is>
          <t>Artikel (ArtNr)</t>
        </is>
      </c>
      <c r="E4" s="39" t="inlineStr">
        <is>
          <t>Leistungsdatum</t>
        </is>
      </c>
      <c r="F4" s="39" t="inlineStr">
        <is>
          <t>Netto</t>
        </is>
      </c>
      <c r="G4" s="39" t="inlineStr">
        <is>
          <t>USt 19 %</t>
        </is>
      </c>
      <c r="H4" s="39" t="inlineStr">
        <is>
          <t>Brutto</t>
        </is>
      </c>
      <c r="I4" s="39" t="inlineStr">
        <is>
          <t>Zahlart</t>
        </is>
      </c>
      <c r="J4" s="39" t="inlineStr">
        <is>
          <t>DATEV-Rechnungsnr</t>
        </is>
      </c>
      <c r="K4" s="39" t="inlineStr">
        <is>
          <t>geschrieben am</t>
        </is>
      </c>
      <c r="L4" s="39" t="inlineStr">
        <is>
          <t>bezahlt am</t>
        </is>
      </c>
    </row>
    <row r="5">
      <c r="A5" s="40" t="n">
        <v>1</v>
      </c>
      <c r="B5" s="41" t="n"/>
      <c r="C5" s="41" t="n"/>
      <c r="D5" s="41" t="n"/>
      <c r="E5" s="41" t="n"/>
      <c r="F5" s="42" t="n"/>
      <c r="G5" s="43">
        <f>IF(F5="","",F5*0.19)</f>
        <v/>
      </c>
      <c r="H5" s="43">
        <f>IF(F5="","",F5+G5)</f>
        <v/>
      </c>
      <c r="I5" s="41" t="n"/>
      <c r="J5" s="41" t="n"/>
      <c r="K5" s="41" t="n"/>
      <c r="L5" s="41" t="n"/>
    </row>
    <row r="6">
      <c r="A6" s="40" t="n">
        <v>2</v>
      </c>
      <c r="B6" s="41" t="n"/>
      <c r="C6" s="41" t="n"/>
      <c r="D6" s="41" t="n"/>
      <c r="E6" s="41" t="n"/>
      <c r="F6" s="42" t="n"/>
      <c r="G6" s="43">
        <f>IF(F6="","",F6*0.19)</f>
        <v/>
      </c>
      <c r="H6" s="43">
        <f>IF(F6="","",F6+G6)</f>
        <v/>
      </c>
      <c r="I6" s="41" t="n"/>
      <c r="J6" s="41" t="n"/>
      <c r="K6" s="41" t="n"/>
      <c r="L6" s="41" t="n"/>
    </row>
    <row r="7">
      <c r="A7" s="40" t="n">
        <v>3</v>
      </c>
      <c r="B7" s="41" t="n"/>
      <c r="C7" s="41" t="n"/>
      <c r="D7" s="41" t="n"/>
      <c r="E7" s="41" t="n"/>
      <c r="F7" s="42" t="n"/>
      <c r="G7" s="43">
        <f>IF(F7="","",F7*0.19)</f>
        <v/>
      </c>
      <c r="H7" s="43">
        <f>IF(F7="","",F7+G7)</f>
        <v/>
      </c>
      <c r="I7" s="41" t="n"/>
      <c r="J7" s="41" t="n"/>
      <c r="K7" s="41" t="n"/>
      <c r="L7" s="41" t="n"/>
    </row>
    <row r="8">
      <c r="A8" s="40" t="n">
        <v>4</v>
      </c>
      <c r="B8" s="41" t="n"/>
      <c r="C8" s="41" t="n"/>
      <c r="D8" s="41" t="n"/>
      <c r="E8" s="41" t="n"/>
      <c r="F8" s="42" t="n"/>
      <c r="G8" s="43">
        <f>IF(F8="","",F8*0.19)</f>
        <v/>
      </c>
      <c r="H8" s="43">
        <f>IF(F8="","",F8+G8)</f>
        <v/>
      </c>
      <c r="I8" s="41" t="n"/>
      <c r="J8" s="41" t="n"/>
      <c r="K8" s="41" t="n"/>
      <c r="L8" s="41" t="n"/>
    </row>
    <row r="9">
      <c r="A9" s="40" t="n">
        <v>5</v>
      </c>
      <c r="B9" s="41" t="n"/>
      <c r="C9" s="41" t="n"/>
      <c r="D9" s="41" t="n"/>
      <c r="E9" s="41" t="n"/>
      <c r="F9" s="42" t="n"/>
      <c r="G9" s="43">
        <f>IF(F9="","",F9*0.19)</f>
        <v/>
      </c>
      <c r="H9" s="43">
        <f>IF(F9="","",F9+G9)</f>
        <v/>
      </c>
      <c r="I9" s="41" t="n"/>
      <c r="J9" s="41" t="n"/>
      <c r="K9" s="41" t="n"/>
      <c r="L9" s="41" t="n"/>
    </row>
    <row r="10">
      <c r="A10" s="40" t="n">
        <v>6</v>
      </c>
      <c r="B10" s="41" t="n"/>
      <c r="C10" s="41" t="n"/>
      <c r="D10" s="41" t="n"/>
      <c r="E10" s="41" t="n"/>
      <c r="F10" s="42" t="n"/>
      <c r="G10" s="43">
        <f>IF(F10="","",F10*0.19)</f>
        <v/>
      </c>
      <c r="H10" s="43">
        <f>IF(F10="","",F10+G10)</f>
        <v/>
      </c>
      <c r="I10" s="41" t="n"/>
      <c r="J10" s="41" t="n"/>
      <c r="K10" s="41" t="n"/>
      <c r="L10" s="41" t="n"/>
    </row>
    <row r="11">
      <c r="A11" s="40" t="n">
        <v>7</v>
      </c>
      <c r="B11" s="41" t="n"/>
      <c r="C11" s="41" t="n"/>
      <c r="D11" s="41" t="n"/>
      <c r="E11" s="41" t="n"/>
      <c r="F11" s="42" t="n"/>
      <c r="G11" s="43">
        <f>IF(F11="","",F11*0.19)</f>
        <v/>
      </c>
      <c r="H11" s="43">
        <f>IF(F11="","",F11+G11)</f>
        <v/>
      </c>
      <c r="I11" s="41" t="n"/>
      <c r="J11" s="41" t="n"/>
      <c r="K11" s="41" t="n"/>
      <c r="L11" s="41" t="n"/>
    </row>
    <row r="12">
      <c r="A12" s="40" t="n">
        <v>8</v>
      </c>
      <c r="B12" s="41" t="n"/>
      <c r="C12" s="41" t="n"/>
      <c r="D12" s="41" t="n"/>
      <c r="E12" s="41" t="n"/>
      <c r="F12" s="42" t="n"/>
      <c r="G12" s="43">
        <f>IF(F12="","",F12*0.19)</f>
        <v/>
      </c>
      <c r="H12" s="43">
        <f>IF(F12="","",F12+G12)</f>
        <v/>
      </c>
      <c r="I12" s="41" t="n"/>
      <c r="J12" s="41" t="n"/>
      <c r="K12" s="41" t="n"/>
      <c r="L12" s="41" t="n"/>
    </row>
    <row r="13">
      <c r="A13" s="40" t="n">
        <v>9</v>
      </c>
      <c r="B13" s="41" t="n"/>
      <c r="C13" s="41" t="n"/>
      <c r="D13" s="41" t="n"/>
      <c r="E13" s="41" t="n"/>
      <c r="F13" s="42" t="n"/>
      <c r="G13" s="43">
        <f>IF(F13="","",F13*0.19)</f>
        <v/>
      </c>
      <c r="H13" s="43">
        <f>IF(F13="","",F13+G13)</f>
        <v/>
      </c>
      <c r="I13" s="41" t="n"/>
      <c r="J13" s="41" t="n"/>
      <c r="K13" s="41" t="n"/>
      <c r="L13" s="41" t="n"/>
    </row>
    <row r="14">
      <c r="A14" s="40" t="n">
        <v>10</v>
      </c>
      <c r="B14" s="41" t="n"/>
      <c r="C14" s="41" t="n"/>
      <c r="D14" s="41" t="n"/>
      <c r="E14" s="41" t="n"/>
      <c r="F14" s="42" t="n"/>
      <c r="G14" s="43">
        <f>IF(F14="","",F14*0.19)</f>
        <v/>
      </c>
      <c r="H14" s="43">
        <f>IF(F14="","",F14+G14)</f>
        <v/>
      </c>
      <c r="I14" s="41" t="n"/>
      <c r="J14" s="41" t="n"/>
      <c r="K14" s="41" t="n"/>
      <c r="L14" s="41" t="n"/>
    </row>
    <row r="15">
      <c r="A15" s="40" t="n">
        <v>11</v>
      </c>
      <c r="B15" s="41" t="n"/>
      <c r="C15" s="41" t="n"/>
      <c r="D15" s="41" t="n"/>
      <c r="E15" s="41" t="n"/>
      <c r="F15" s="42" t="n"/>
      <c r="G15" s="43">
        <f>IF(F15="","",F15*0.19)</f>
        <v/>
      </c>
      <c r="H15" s="43">
        <f>IF(F15="","",F15+G15)</f>
        <v/>
      </c>
      <c r="I15" s="41" t="n"/>
      <c r="J15" s="41" t="n"/>
      <c r="K15" s="41" t="n"/>
      <c r="L15" s="41" t="n"/>
    </row>
    <row r="16">
      <c r="A16" s="40" t="n">
        <v>12</v>
      </c>
      <c r="B16" s="41" t="n"/>
      <c r="C16" s="41" t="n"/>
      <c r="D16" s="41" t="n"/>
      <c r="E16" s="41" t="n"/>
      <c r="F16" s="42" t="n"/>
      <c r="G16" s="43">
        <f>IF(F16="","",F16*0.19)</f>
        <v/>
      </c>
      <c r="H16" s="43">
        <f>IF(F16="","",F16+G16)</f>
        <v/>
      </c>
      <c r="I16" s="41" t="n"/>
      <c r="J16" s="41" t="n"/>
      <c r="K16" s="41" t="n"/>
      <c r="L16" s="41" t="n"/>
    </row>
    <row r="17">
      <c r="A17" s="40" t="n">
        <v>13</v>
      </c>
      <c r="B17" s="41" t="n"/>
      <c r="C17" s="41" t="n"/>
      <c r="D17" s="41" t="n"/>
      <c r="E17" s="41" t="n"/>
      <c r="F17" s="42" t="n"/>
      <c r="G17" s="43">
        <f>IF(F17="","",F17*0.19)</f>
        <v/>
      </c>
      <c r="H17" s="43">
        <f>IF(F17="","",F17+G17)</f>
        <v/>
      </c>
      <c r="I17" s="41" t="n"/>
      <c r="J17" s="41" t="n"/>
      <c r="K17" s="41" t="n"/>
      <c r="L17" s="41" t="n"/>
    </row>
    <row r="18">
      <c r="A18" s="40" t="n">
        <v>14</v>
      </c>
      <c r="B18" s="41" t="n"/>
      <c r="C18" s="41" t="n"/>
      <c r="D18" s="41" t="n"/>
      <c r="E18" s="41" t="n"/>
      <c r="F18" s="42" t="n"/>
      <c r="G18" s="43">
        <f>IF(F18="","",F18*0.19)</f>
        <v/>
      </c>
      <c r="H18" s="43">
        <f>IF(F18="","",F18+G18)</f>
        <v/>
      </c>
      <c r="I18" s="41" t="n"/>
      <c r="J18" s="41" t="n"/>
      <c r="K18" s="41" t="n"/>
      <c r="L18" s="41" t="n"/>
    </row>
    <row r="19">
      <c r="A19" s="40" t="n">
        <v>15</v>
      </c>
      <c r="B19" s="41" t="n"/>
      <c r="C19" s="41" t="n"/>
      <c r="D19" s="41" t="n"/>
      <c r="E19" s="41" t="n"/>
      <c r="F19" s="42" t="n"/>
      <c r="G19" s="43">
        <f>IF(F19="","",F19*0.19)</f>
        <v/>
      </c>
      <c r="H19" s="43">
        <f>IF(F19="","",F19+G19)</f>
        <v/>
      </c>
      <c r="I19" s="41" t="n"/>
      <c r="J19" s="41" t="n"/>
      <c r="K19" s="41" t="n"/>
      <c r="L19" s="41" t="n"/>
    </row>
    <row r="20">
      <c r="A20" s="40" t="n">
        <v>16</v>
      </c>
      <c r="B20" s="41" t="n"/>
      <c r="C20" s="41" t="n"/>
      <c r="D20" s="41" t="n"/>
      <c r="E20" s="41" t="n"/>
      <c r="F20" s="42" t="n"/>
      <c r="G20" s="43">
        <f>IF(F20="","",F20*0.19)</f>
        <v/>
      </c>
      <c r="H20" s="43">
        <f>IF(F20="","",F20+G20)</f>
        <v/>
      </c>
      <c r="I20" s="41" t="n"/>
      <c r="J20" s="41" t="n"/>
      <c r="K20" s="41" t="n"/>
      <c r="L20" s="41" t="n"/>
    </row>
    <row r="21">
      <c r="A21" s="40" t="n">
        <v>17</v>
      </c>
      <c r="B21" s="41" t="n"/>
      <c r="C21" s="41" t="n"/>
      <c r="D21" s="41" t="n"/>
      <c r="E21" s="41" t="n"/>
      <c r="F21" s="42" t="n"/>
      <c r="G21" s="43">
        <f>IF(F21="","",F21*0.19)</f>
        <v/>
      </c>
      <c r="H21" s="43">
        <f>IF(F21="","",F21+G21)</f>
        <v/>
      </c>
      <c r="I21" s="41" t="n"/>
      <c r="J21" s="41" t="n"/>
      <c r="K21" s="41" t="n"/>
      <c r="L21" s="41" t="n"/>
    </row>
    <row r="22">
      <c r="A22" s="40" t="n">
        <v>18</v>
      </c>
      <c r="B22" s="41" t="n"/>
      <c r="C22" s="41" t="n"/>
      <c r="D22" s="41" t="n"/>
      <c r="E22" s="41" t="n"/>
      <c r="F22" s="42" t="n"/>
      <c r="G22" s="43">
        <f>IF(F22="","",F22*0.19)</f>
        <v/>
      </c>
      <c r="H22" s="43">
        <f>IF(F22="","",F22+G22)</f>
        <v/>
      </c>
      <c r="I22" s="41" t="n"/>
      <c r="J22" s="41" t="n"/>
      <c r="K22" s="41" t="n"/>
      <c r="L22" s="41" t="n"/>
    </row>
    <row r="23">
      <c r="A23" s="40" t="n">
        <v>19</v>
      </c>
      <c r="B23" s="41" t="n"/>
      <c r="C23" s="41" t="n"/>
      <c r="D23" s="41" t="n"/>
      <c r="E23" s="41" t="n"/>
      <c r="F23" s="42" t="n"/>
      <c r="G23" s="43">
        <f>IF(F23="","",F23*0.19)</f>
        <v/>
      </c>
      <c r="H23" s="43">
        <f>IF(F23="","",F23+G23)</f>
        <v/>
      </c>
      <c r="I23" s="41" t="n"/>
      <c r="J23" s="41" t="n"/>
      <c r="K23" s="41" t="n"/>
      <c r="L23" s="41" t="n"/>
    </row>
    <row r="24">
      <c r="A24" s="40" t="n">
        <v>20</v>
      </c>
      <c r="B24" s="41" t="n"/>
      <c r="C24" s="41" t="n"/>
      <c r="D24" s="41" t="n"/>
      <c r="E24" s="41" t="n"/>
      <c r="F24" s="42" t="n"/>
      <c r="G24" s="43">
        <f>IF(F24="","",F24*0.19)</f>
        <v/>
      </c>
      <c r="H24" s="43">
        <f>IF(F24="","",F24+G24)</f>
        <v/>
      </c>
      <c r="I24" s="41" t="n"/>
      <c r="J24" s="41" t="n"/>
      <c r="K24" s="41" t="n"/>
      <c r="L24" s="41" t="n"/>
    </row>
    <row r="25">
      <c r="A25" s="40" t="n">
        <v>21</v>
      </c>
      <c r="B25" s="41" t="n"/>
      <c r="C25" s="41" t="n"/>
      <c r="D25" s="41" t="n"/>
      <c r="E25" s="41" t="n"/>
      <c r="F25" s="42" t="n"/>
      <c r="G25" s="43">
        <f>IF(F25="","",F25*0.19)</f>
        <v/>
      </c>
      <c r="H25" s="43">
        <f>IF(F25="","",F25+G25)</f>
        <v/>
      </c>
      <c r="I25" s="41" t="n"/>
      <c r="J25" s="41" t="n"/>
      <c r="K25" s="41" t="n"/>
      <c r="L25" s="41" t="n"/>
    </row>
    <row r="26">
      <c r="A26" s="40" t="n">
        <v>22</v>
      </c>
      <c r="B26" s="41" t="n"/>
      <c r="C26" s="41" t="n"/>
      <c r="D26" s="41" t="n"/>
      <c r="E26" s="41" t="n"/>
      <c r="F26" s="42" t="n"/>
      <c r="G26" s="43">
        <f>IF(F26="","",F26*0.19)</f>
        <v/>
      </c>
      <c r="H26" s="43">
        <f>IF(F26="","",F26+G26)</f>
        <v/>
      </c>
      <c r="I26" s="41" t="n"/>
      <c r="J26" s="41" t="n"/>
      <c r="K26" s="41" t="n"/>
      <c r="L26" s="41" t="n"/>
    </row>
    <row r="27">
      <c r="A27" s="40" t="n">
        <v>23</v>
      </c>
      <c r="B27" s="41" t="n"/>
      <c r="C27" s="41" t="n"/>
      <c r="D27" s="41" t="n"/>
      <c r="E27" s="41" t="n"/>
      <c r="F27" s="42" t="n"/>
      <c r="G27" s="43">
        <f>IF(F27="","",F27*0.19)</f>
        <v/>
      </c>
      <c r="H27" s="43">
        <f>IF(F27="","",F27+G27)</f>
        <v/>
      </c>
      <c r="I27" s="41" t="n"/>
      <c r="J27" s="41" t="n"/>
      <c r="K27" s="41" t="n"/>
      <c r="L27" s="41" t="n"/>
    </row>
    <row r="28">
      <c r="A28" s="40" t="n">
        <v>24</v>
      </c>
      <c r="B28" s="41" t="n"/>
      <c r="C28" s="41" t="n"/>
      <c r="D28" s="41" t="n"/>
      <c r="E28" s="41" t="n"/>
      <c r="F28" s="42" t="n"/>
      <c r="G28" s="43">
        <f>IF(F28="","",F28*0.19)</f>
        <v/>
      </c>
      <c r="H28" s="43">
        <f>IF(F28="","",F28+G28)</f>
        <v/>
      </c>
      <c r="I28" s="41" t="n"/>
      <c r="J28" s="41" t="n"/>
      <c r="K28" s="41" t="n"/>
      <c r="L28" s="41" t="n"/>
    </row>
    <row r="29">
      <c r="A29" s="40" t="n">
        <v>25</v>
      </c>
      <c r="B29" s="41" t="n"/>
      <c r="C29" s="41" t="n"/>
      <c r="D29" s="41" t="n"/>
      <c r="E29" s="41" t="n"/>
      <c r="F29" s="42" t="n"/>
      <c r="G29" s="43">
        <f>IF(F29="","",F29*0.19)</f>
        <v/>
      </c>
      <c r="H29" s="43">
        <f>IF(F29="","",F29+G29)</f>
        <v/>
      </c>
      <c r="I29" s="41" t="n"/>
      <c r="J29" s="41" t="n"/>
      <c r="K29" s="41" t="n"/>
      <c r="L29" s="41" t="n"/>
    </row>
    <row r="30">
      <c r="A30" s="40" t="n">
        <v>26</v>
      </c>
      <c r="B30" s="41" t="n"/>
      <c r="C30" s="41" t="n"/>
      <c r="D30" s="41" t="n"/>
      <c r="E30" s="41" t="n"/>
      <c r="F30" s="42" t="n"/>
      <c r="G30" s="43">
        <f>IF(F30="","",F30*0.19)</f>
        <v/>
      </c>
      <c r="H30" s="43">
        <f>IF(F30="","",F30+G30)</f>
        <v/>
      </c>
      <c r="I30" s="41" t="n"/>
      <c r="J30" s="41" t="n"/>
      <c r="K30" s="41" t="n"/>
      <c r="L30" s="41" t="n"/>
    </row>
    <row r="31">
      <c r="A31" s="40" t="n">
        <v>27</v>
      </c>
      <c r="B31" s="41" t="n"/>
      <c r="C31" s="41" t="n"/>
      <c r="D31" s="41" t="n"/>
      <c r="E31" s="41" t="n"/>
      <c r="F31" s="42" t="n"/>
      <c r="G31" s="43">
        <f>IF(F31="","",F31*0.19)</f>
        <v/>
      </c>
      <c r="H31" s="43">
        <f>IF(F31="","",F31+G31)</f>
        <v/>
      </c>
      <c r="I31" s="41" t="n"/>
      <c r="J31" s="41" t="n"/>
      <c r="K31" s="41" t="n"/>
      <c r="L31" s="41" t="n"/>
    </row>
    <row r="32">
      <c r="A32" s="40" t="n">
        <v>28</v>
      </c>
      <c r="B32" s="41" t="n"/>
      <c r="C32" s="41" t="n"/>
      <c r="D32" s="41" t="n"/>
      <c r="E32" s="41" t="n"/>
      <c r="F32" s="42" t="n"/>
      <c r="G32" s="43">
        <f>IF(F32="","",F32*0.19)</f>
        <v/>
      </c>
      <c r="H32" s="43">
        <f>IF(F32="","",F32+G32)</f>
        <v/>
      </c>
      <c r="I32" s="41" t="n"/>
      <c r="J32" s="41" t="n"/>
      <c r="K32" s="41" t="n"/>
      <c r="L32" s="41" t="n"/>
    </row>
    <row r="33">
      <c r="A33" s="40" t="n">
        <v>29</v>
      </c>
      <c r="B33" s="41" t="n"/>
      <c r="C33" s="41" t="n"/>
      <c r="D33" s="41" t="n"/>
      <c r="E33" s="41" t="n"/>
      <c r="F33" s="42" t="n"/>
      <c r="G33" s="43">
        <f>IF(F33="","",F33*0.19)</f>
        <v/>
      </c>
      <c r="H33" s="43">
        <f>IF(F33="","",F33+G33)</f>
        <v/>
      </c>
      <c r="I33" s="41" t="n"/>
      <c r="J33" s="41" t="n"/>
      <c r="K33" s="41" t="n"/>
      <c r="L33" s="41" t="n"/>
    </row>
    <row r="34">
      <c r="A34" s="40" t="n">
        <v>30</v>
      </c>
      <c r="B34" s="41" t="n"/>
      <c r="C34" s="41" t="n"/>
      <c r="D34" s="41" t="n"/>
      <c r="E34" s="41" t="n"/>
      <c r="F34" s="42" t="n"/>
      <c r="G34" s="43">
        <f>IF(F34="","",F34*0.19)</f>
        <v/>
      </c>
      <c r="H34" s="43">
        <f>IF(F34="","",F34+G34)</f>
        <v/>
      </c>
      <c r="I34" s="41" t="n"/>
      <c r="J34" s="41" t="n"/>
      <c r="K34" s="41" t="n"/>
      <c r="L34" s="41" t="n"/>
    </row>
    <row r="35">
      <c r="A35" s="40" t="n">
        <v>31</v>
      </c>
      <c r="B35" s="41" t="n"/>
      <c r="C35" s="41" t="n"/>
      <c r="D35" s="41" t="n"/>
      <c r="E35" s="41" t="n"/>
      <c r="F35" s="42" t="n"/>
      <c r="G35" s="43">
        <f>IF(F35="","",F35*0.19)</f>
        <v/>
      </c>
      <c r="H35" s="43">
        <f>IF(F35="","",F35+G35)</f>
        <v/>
      </c>
      <c r="I35" s="41" t="n"/>
      <c r="J35" s="41" t="n"/>
      <c r="K35" s="41" t="n"/>
      <c r="L35" s="41" t="n"/>
    </row>
    <row r="36">
      <c r="A36" s="40" t="n">
        <v>32</v>
      </c>
      <c r="B36" s="41" t="n"/>
      <c r="C36" s="41" t="n"/>
      <c r="D36" s="41" t="n"/>
      <c r="E36" s="41" t="n"/>
      <c r="F36" s="42" t="n"/>
      <c r="G36" s="43">
        <f>IF(F36="","",F36*0.19)</f>
        <v/>
      </c>
      <c r="H36" s="43">
        <f>IF(F36="","",F36+G36)</f>
        <v/>
      </c>
      <c r="I36" s="41" t="n"/>
      <c r="J36" s="41" t="n"/>
      <c r="K36" s="41" t="n"/>
      <c r="L36" s="41" t="n"/>
    </row>
    <row r="37">
      <c r="A37" s="40" t="n">
        <v>33</v>
      </c>
      <c r="B37" s="41" t="n"/>
      <c r="C37" s="41" t="n"/>
      <c r="D37" s="41" t="n"/>
      <c r="E37" s="41" t="n"/>
      <c r="F37" s="42" t="n"/>
      <c r="G37" s="43">
        <f>IF(F37="","",F37*0.19)</f>
        <v/>
      </c>
      <c r="H37" s="43">
        <f>IF(F37="","",F37+G37)</f>
        <v/>
      </c>
      <c r="I37" s="41" t="n"/>
      <c r="J37" s="41" t="n"/>
      <c r="K37" s="41" t="n"/>
      <c r="L37" s="41" t="n"/>
    </row>
    <row r="38">
      <c r="A38" s="40" t="n">
        <v>34</v>
      </c>
      <c r="B38" s="41" t="n"/>
      <c r="C38" s="41" t="n"/>
      <c r="D38" s="41" t="n"/>
      <c r="E38" s="41" t="n"/>
      <c r="F38" s="42" t="n"/>
      <c r="G38" s="43">
        <f>IF(F38="","",F38*0.19)</f>
        <v/>
      </c>
      <c r="H38" s="43">
        <f>IF(F38="","",F38+G38)</f>
        <v/>
      </c>
      <c r="I38" s="41" t="n"/>
      <c r="J38" s="41" t="n"/>
      <c r="K38" s="41" t="n"/>
      <c r="L38" s="41" t="n"/>
    </row>
    <row r="39">
      <c r="A39" s="40" t="n">
        <v>35</v>
      </c>
      <c r="B39" s="41" t="n"/>
      <c r="C39" s="41" t="n"/>
      <c r="D39" s="41" t="n"/>
      <c r="E39" s="41" t="n"/>
      <c r="F39" s="42" t="n"/>
      <c r="G39" s="43">
        <f>IF(F39="","",F39*0.19)</f>
        <v/>
      </c>
      <c r="H39" s="43">
        <f>IF(F39="","",F39+G39)</f>
        <v/>
      </c>
      <c r="I39" s="41" t="n"/>
      <c r="J39" s="41" t="n"/>
      <c r="K39" s="41" t="n"/>
      <c r="L39" s="41" t="n"/>
    </row>
    <row r="40">
      <c r="A40" s="40" t="n">
        <v>36</v>
      </c>
      <c r="B40" s="41" t="n"/>
      <c r="C40" s="41" t="n"/>
      <c r="D40" s="41" t="n"/>
      <c r="E40" s="41" t="n"/>
      <c r="F40" s="42" t="n"/>
      <c r="G40" s="43">
        <f>IF(F40="","",F40*0.19)</f>
        <v/>
      </c>
      <c r="H40" s="43">
        <f>IF(F40="","",F40+G40)</f>
        <v/>
      </c>
      <c r="I40" s="41" t="n"/>
      <c r="J40" s="41" t="n"/>
      <c r="K40" s="41" t="n"/>
      <c r="L40" s="41" t="n"/>
    </row>
    <row r="41">
      <c r="A41" s="40" t="n">
        <v>37</v>
      </c>
      <c r="B41" s="41" t="n"/>
      <c r="C41" s="41" t="n"/>
      <c r="D41" s="41" t="n"/>
      <c r="E41" s="41" t="n"/>
      <c r="F41" s="42" t="n"/>
      <c r="G41" s="43">
        <f>IF(F41="","",F41*0.19)</f>
        <v/>
      </c>
      <c r="H41" s="43">
        <f>IF(F41="","",F41+G41)</f>
        <v/>
      </c>
      <c r="I41" s="41" t="n"/>
      <c r="J41" s="41" t="n"/>
      <c r="K41" s="41" t="n"/>
      <c r="L41" s="41" t="n"/>
    </row>
    <row r="42">
      <c r="A42" s="40" t="n">
        <v>38</v>
      </c>
      <c r="B42" s="41" t="n"/>
      <c r="C42" s="41" t="n"/>
      <c r="D42" s="41" t="n"/>
      <c r="E42" s="41" t="n"/>
      <c r="F42" s="42" t="n"/>
      <c r="G42" s="43">
        <f>IF(F42="","",F42*0.19)</f>
        <v/>
      </c>
      <c r="H42" s="43">
        <f>IF(F42="","",F42+G42)</f>
        <v/>
      </c>
      <c r="I42" s="41" t="n"/>
      <c r="J42" s="41" t="n"/>
      <c r="K42" s="41" t="n"/>
      <c r="L42" s="41" t="n"/>
    </row>
    <row r="43">
      <c r="A43" s="40" t="n">
        <v>39</v>
      </c>
      <c r="B43" s="41" t="n"/>
      <c r="C43" s="41" t="n"/>
      <c r="D43" s="41" t="n"/>
      <c r="E43" s="41" t="n"/>
      <c r="F43" s="42" t="n"/>
      <c r="G43" s="43">
        <f>IF(F43="","",F43*0.19)</f>
        <v/>
      </c>
      <c r="H43" s="43">
        <f>IF(F43="","",F43+G43)</f>
        <v/>
      </c>
      <c r="I43" s="41" t="n"/>
      <c r="J43" s="41" t="n"/>
      <c r="K43" s="41" t="n"/>
      <c r="L43" s="41" t="n"/>
    </row>
    <row r="44">
      <c r="A44" s="40" t="n">
        <v>40</v>
      </c>
      <c r="B44" s="41" t="n"/>
      <c r="C44" s="41" t="n"/>
      <c r="D44" s="41" t="n"/>
      <c r="E44" s="41" t="n"/>
      <c r="F44" s="42" t="n"/>
      <c r="G44" s="43">
        <f>IF(F44="","",F44*0.19)</f>
        <v/>
      </c>
      <c r="H44" s="43">
        <f>IF(F44="","",F44+G44)</f>
        <v/>
      </c>
      <c r="I44" s="41" t="n"/>
      <c r="J44" s="41" t="n"/>
      <c r="K44" s="41" t="n"/>
      <c r="L44" s="41" t="n"/>
    </row>
    <row r="45">
      <c r="E45" s="44" t="inlineStr">
        <is>
          <t>Summe</t>
        </is>
      </c>
      <c r="F45" s="45">
        <f>SUM(F5:F44)</f>
        <v/>
      </c>
      <c r="G45" s="45">
        <f>SUM(G5:G44)</f>
        <v/>
      </c>
      <c r="H45" s="45">
        <f>SUM(H5:H44)</f>
        <v/>
      </c>
    </row>
  </sheetData>
  <mergeCells count="1">
    <mergeCell ref="A2:L2"/>
  </mergeCells>
  <pageMargins left="0.75" right="0.75" top="1" bottom="1" header="0.5" footer="0.5"/>
  <pageSetup orientation="landscape" fitToWidth="1"/>
</worksheet>
</file>

<file path=xl/worksheets/sheet5.xml><?xml version="1.0" encoding="utf-8"?>
<worksheet xmlns="http://schemas.openxmlformats.org/spreadsheetml/2006/main">
  <sheetPr>
    <outlinePr summaryBelow="1" summaryRight="1"/>
    <pageSetUpPr/>
  </sheetPr>
  <dimension ref="A1:H55"/>
  <sheetViews>
    <sheetView workbookViewId="0">
      <pane ySplit="4" topLeftCell="A5" activePane="bottomLeft" state="frozen"/>
      <selection pane="bottomLeft" activeCell="A1" sqref="A1"/>
    </sheetView>
  </sheetViews>
  <sheetFormatPr baseColWidth="8" defaultRowHeight="15"/>
  <cols>
    <col width="13" customWidth="1" min="1" max="1"/>
    <col width="12" customWidth="1" min="2" max="2"/>
    <col width="42" customWidth="1" min="3" max="3"/>
    <col width="16" customWidth="1" min="4" max="4"/>
    <col width="16" customWidth="1" min="5" max="5"/>
    <col width="14" customWidth="1" min="6" max="6"/>
    <col width="15" customWidth="1" min="7" max="7"/>
    <col width="16" customWidth="1" min="8" max="8"/>
  </cols>
  <sheetData>
    <row r="1">
      <c r="A1" s="37" t="inlineStr">
        <is>
          <t>Kassenbuch Barverkäufe</t>
        </is>
      </c>
    </row>
    <row r="2" ht="32" customHeight="1">
      <c r="A2" s="38" t="inlineStr">
        <is>
          <t>Pflicht bei einer GmbH (GoBD): jede Bareinnahme am selben Tag erfassen. Am Verkaufstag reicht eine Sammelzeile mit der Tageseinnahme, dazu ein Zählprotokoll aufbewahren. Bitte einmal mit dem Steuerberater abstimmen, in welcher Form er die Daten haben will.</t>
        </is>
      </c>
    </row>
    <row r="4">
      <c r="A4" s="39" t="inlineStr">
        <is>
          <t>Datum</t>
        </is>
      </c>
      <c r="B4" s="39" t="inlineStr">
        <is>
          <t>Beleg-Nr</t>
        </is>
      </c>
      <c r="C4" s="39" t="inlineStr">
        <is>
          <t>Vorgang / Käufer</t>
        </is>
      </c>
      <c r="D4" s="39" t="inlineStr">
        <is>
          <t>Einnahme brutto</t>
        </is>
      </c>
      <c r="E4" s="39" t="inlineStr">
        <is>
          <t>davon USt 19 %</t>
        </is>
      </c>
      <c r="F4" s="39" t="inlineStr">
        <is>
          <t>netto</t>
        </is>
      </c>
      <c r="G4" s="39" t="inlineStr">
        <is>
          <t>Ausgabe brutto</t>
        </is>
      </c>
      <c r="H4" s="39" t="inlineStr">
        <is>
          <t>Kassenbestand</t>
        </is>
      </c>
    </row>
    <row r="5">
      <c r="C5" t="inlineStr">
        <is>
          <t>Anfangsbestand Kasse</t>
        </is>
      </c>
      <c r="H5" s="46" t="n">
        <v>0</v>
      </c>
    </row>
    <row r="6">
      <c r="A6" s="41" t="n"/>
      <c r="B6" s="41" t="n"/>
      <c r="C6" s="41" t="n"/>
      <c r="D6" s="42" t="n"/>
      <c r="E6" s="43">
        <f>IF(D6="","",D6-D6/1.19)</f>
        <v/>
      </c>
      <c r="F6" s="43">
        <f>IF(D6="","",D6/1.19)</f>
        <v/>
      </c>
      <c r="G6" s="42" t="n"/>
      <c r="H6" s="43">
        <f>H5+IF(D6="",0,D6)-IF(G6="",0,G6)</f>
        <v/>
      </c>
    </row>
    <row r="7">
      <c r="A7" s="41" t="n"/>
      <c r="B7" s="41" t="n"/>
      <c r="C7" s="41" t="n"/>
      <c r="D7" s="42" t="n"/>
      <c r="E7" s="43">
        <f>IF(D7="","",D7-D7/1.19)</f>
        <v/>
      </c>
      <c r="F7" s="43">
        <f>IF(D7="","",D7/1.19)</f>
        <v/>
      </c>
      <c r="G7" s="42" t="n"/>
      <c r="H7" s="43">
        <f>H6+IF(D7="",0,D7)-IF(G7="",0,G7)</f>
        <v/>
      </c>
    </row>
    <row r="8">
      <c r="A8" s="41" t="n"/>
      <c r="B8" s="41" t="n"/>
      <c r="C8" s="41" t="n"/>
      <c r="D8" s="42" t="n"/>
      <c r="E8" s="43">
        <f>IF(D8="","",D8-D8/1.19)</f>
        <v/>
      </c>
      <c r="F8" s="43">
        <f>IF(D8="","",D8/1.19)</f>
        <v/>
      </c>
      <c r="G8" s="42" t="n"/>
      <c r="H8" s="43">
        <f>H7+IF(D8="",0,D8)-IF(G8="",0,G8)</f>
        <v/>
      </c>
    </row>
    <row r="9">
      <c r="A9" s="41" t="n"/>
      <c r="B9" s="41" t="n"/>
      <c r="C9" s="41" t="n"/>
      <c r="D9" s="42" t="n"/>
      <c r="E9" s="43">
        <f>IF(D9="","",D9-D9/1.19)</f>
        <v/>
      </c>
      <c r="F9" s="43">
        <f>IF(D9="","",D9/1.19)</f>
        <v/>
      </c>
      <c r="G9" s="42" t="n"/>
      <c r="H9" s="43">
        <f>H8+IF(D9="",0,D9)-IF(G9="",0,G9)</f>
        <v/>
      </c>
    </row>
    <row r="10">
      <c r="A10" s="41" t="n"/>
      <c r="B10" s="41" t="n"/>
      <c r="C10" s="41" t="n"/>
      <c r="D10" s="42" t="n"/>
      <c r="E10" s="43">
        <f>IF(D10="","",D10-D10/1.19)</f>
        <v/>
      </c>
      <c r="F10" s="43">
        <f>IF(D10="","",D10/1.19)</f>
        <v/>
      </c>
      <c r="G10" s="42" t="n"/>
      <c r="H10" s="43">
        <f>H9+IF(D10="",0,D10)-IF(G10="",0,G10)</f>
        <v/>
      </c>
    </row>
    <row r="11">
      <c r="A11" s="41" t="n"/>
      <c r="B11" s="41" t="n"/>
      <c r="C11" s="41" t="n"/>
      <c r="D11" s="42" t="n"/>
      <c r="E11" s="43">
        <f>IF(D11="","",D11-D11/1.19)</f>
        <v/>
      </c>
      <c r="F11" s="43">
        <f>IF(D11="","",D11/1.19)</f>
        <v/>
      </c>
      <c r="G11" s="42" t="n"/>
      <c r="H11" s="43">
        <f>H10+IF(D11="",0,D11)-IF(G11="",0,G11)</f>
        <v/>
      </c>
    </row>
    <row r="12">
      <c r="A12" s="41" t="n"/>
      <c r="B12" s="41" t="n"/>
      <c r="C12" s="41" t="n"/>
      <c r="D12" s="42" t="n"/>
      <c r="E12" s="43">
        <f>IF(D12="","",D12-D12/1.19)</f>
        <v/>
      </c>
      <c r="F12" s="43">
        <f>IF(D12="","",D12/1.19)</f>
        <v/>
      </c>
      <c r="G12" s="42" t="n"/>
      <c r="H12" s="43">
        <f>H11+IF(D12="",0,D12)-IF(G12="",0,G12)</f>
        <v/>
      </c>
    </row>
    <row r="13">
      <c r="A13" s="41" t="n"/>
      <c r="B13" s="41" t="n"/>
      <c r="C13" s="41" t="n"/>
      <c r="D13" s="42" t="n"/>
      <c r="E13" s="43">
        <f>IF(D13="","",D13-D13/1.19)</f>
        <v/>
      </c>
      <c r="F13" s="43">
        <f>IF(D13="","",D13/1.19)</f>
        <v/>
      </c>
      <c r="G13" s="42" t="n"/>
      <c r="H13" s="43">
        <f>H12+IF(D13="",0,D13)-IF(G13="",0,G13)</f>
        <v/>
      </c>
    </row>
    <row r="14">
      <c r="A14" s="41" t="n"/>
      <c r="B14" s="41" t="n"/>
      <c r="C14" s="41" t="n"/>
      <c r="D14" s="42" t="n"/>
      <c r="E14" s="43">
        <f>IF(D14="","",D14-D14/1.19)</f>
        <v/>
      </c>
      <c r="F14" s="43">
        <f>IF(D14="","",D14/1.19)</f>
        <v/>
      </c>
      <c r="G14" s="42" t="n"/>
      <c r="H14" s="43">
        <f>H13+IF(D14="",0,D14)-IF(G14="",0,G14)</f>
        <v/>
      </c>
    </row>
    <row r="15">
      <c r="A15" s="41" t="n"/>
      <c r="B15" s="41" t="n"/>
      <c r="C15" s="41" t="n"/>
      <c r="D15" s="42" t="n"/>
      <c r="E15" s="43">
        <f>IF(D15="","",D15-D15/1.19)</f>
        <v/>
      </c>
      <c r="F15" s="43">
        <f>IF(D15="","",D15/1.19)</f>
        <v/>
      </c>
      <c r="G15" s="42" t="n"/>
      <c r="H15" s="43">
        <f>H14+IF(D15="",0,D15)-IF(G15="",0,G15)</f>
        <v/>
      </c>
    </row>
    <row r="16">
      <c r="A16" s="41" t="n"/>
      <c r="B16" s="41" t="n"/>
      <c r="C16" s="41" t="n"/>
      <c r="D16" s="42" t="n"/>
      <c r="E16" s="43">
        <f>IF(D16="","",D16-D16/1.19)</f>
        <v/>
      </c>
      <c r="F16" s="43">
        <f>IF(D16="","",D16/1.19)</f>
        <v/>
      </c>
      <c r="G16" s="42" t="n"/>
      <c r="H16" s="43">
        <f>H15+IF(D16="",0,D16)-IF(G16="",0,G16)</f>
        <v/>
      </c>
    </row>
    <row r="17">
      <c r="A17" s="41" t="n"/>
      <c r="B17" s="41" t="n"/>
      <c r="C17" s="41" t="n"/>
      <c r="D17" s="42" t="n"/>
      <c r="E17" s="43">
        <f>IF(D17="","",D17-D17/1.19)</f>
        <v/>
      </c>
      <c r="F17" s="43">
        <f>IF(D17="","",D17/1.19)</f>
        <v/>
      </c>
      <c r="G17" s="42" t="n"/>
      <c r="H17" s="43">
        <f>H16+IF(D17="",0,D17)-IF(G17="",0,G17)</f>
        <v/>
      </c>
    </row>
    <row r="18">
      <c r="A18" s="41" t="n"/>
      <c r="B18" s="41" t="n"/>
      <c r="C18" s="41" t="n"/>
      <c r="D18" s="42" t="n"/>
      <c r="E18" s="43">
        <f>IF(D18="","",D18-D18/1.19)</f>
        <v/>
      </c>
      <c r="F18" s="43">
        <f>IF(D18="","",D18/1.19)</f>
        <v/>
      </c>
      <c r="G18" s="42" t="n"/>
      <c r="H18" s="43">
        <f>H17+IF(D18="",0,D18)-IF(G18="",0,G18)</f>
        <v/>
      </c>
    </row>
    <row r="19">
      <c r="A19" s="41" t="n"/>
      <c r="B19" s="41" t="n"/>
      <c r="C19" s="41" t="n"/>
      <c r="D19" s="42" t="n"/>
      <c r="E19" s="43">
        <f>IF(D19="","",D19-D19/1.19)</f>
        <v/>
      </c>
      <c r="F19" s="43">
        <f>IF(D19="","",D19/1.19)</f>
        <v/>
      </c>
      <c r="G19" s="42" t="n"/>
      <c r="H19" s="43">
        <f>H18+IF(D19="",0,D19)-IF(G19="",0,G19)</f>
        <v/>
      </c>
    </row>
    <row r="20">
      <c r="A20" s="41" t="n"/>
      <c r="B20" s="41" t="n"/>
      <c r="C20" s="41" t="n"/>
      <c r="D20" s="42" t="n"/>
      <c r="E20" s="43">
        <f>IF(D20="","",D20-D20/1.19)</f>
        <v/>
      </c>
      <c r="F20" s="43">
        <f>IF(D20="","",D20/1.19)</f>
        <v/>
      </c>
      <c r="G20" s="42" t="n"/>
      <c r="H20" s="43">
        <f>H19+IF(D20="",0,D20)-IF(G20="",0,G20)</f>
        <v/>
      </c>
    </row>
    <row r="21">
      <c r="A21" s="41" t="n"/>
      <c r="B21" s="41" t="n"/>
      <c r="C21" s="41" t="n"/>
      <c r="D21" s="42" t="n"/>
      <c r="E21" s="43">
        <f>IF(D21="","",D21-D21/1.19)</f>
        <v/>
      </c>
      <c r="F21" s="43">
        <f>IF(D21="","",D21/1.19)</f>
        <v/>
      </c>
      <c r="G21" s="42" t="n"/>
      <c r="H21" s="43">
        <f>H20+IF(D21="",0,D21)-IF(G21="",0,G21)</f>
        <v/>
      </c>
    </row>
    <row r="22">
      <c r="A22" s="41" t="n"/>
      <c r="B22" s="41" t="n"/>
      <c r="C22" s="41" t="n"/>
      <c r="D22" s="42" t="n"/>
      <c r="E22" s="43">
        <f>IF(D22="","",D22-D22/1.19)</f>
        <v/>
      </c>
      <c r="F22" s="43">
        <f>IF(D22="","",D22/1.19)</f>
        <v/>
      </c>
      <c r="G22" s="42" t="n"/>
      <c r="H22" s="43">
        <f>H21+IF(D22="",0,D22)-IF(G22="",0,G22)</f>
        <v/>
      </c>
    </row>
    <row r="23">
      <c r="A23" s="41" t="n"/>
      <c r="B23" s="41" t="n"/>
      <c r="C23" s="41" t="n"/>
      <c r="D23" s="42" t="n"/>
      <c r="E23" s="43">
        <f>IF(D23="","",D23-D23/1.19)</f>
        <v/>
      </c>
      <c r="F23" s="43">
        <f>IF(D23="","",D23/1.19)</f>
        <v/>
      </c>
      <c r="G23" s="42" t="n"/>
      <c r="H23" s="43">
        <f>H22+IF(D23="",0,D23)-IF(G23="",0,G23)</f>
        <v/>
      </c>
    </row>
    <row r="24">
      <c r="A24" s="41" t="n"/>
      <c r="B24" s="41" t="n"/>
      <c r="C24" s="41" t="n"/>
      <c r="D24" s="42" t="n"/>
      <c r="E24" s="43">
        <f>IF(D24="","",D24-D24/1.19)</f>
        <v/>
      </c>
      <c r="F24" s="43">
        <f>IF(D24="","",D24/1.19)</f>
        <v/>
      </c>
      <c r="G24" s="42" t="n"/>
      <c r="H24" s="43">
        <f>H23+IF(D24="",0,D24)-IF(G24="",0,G24)</f>
        <v/>
      </c>
    </row>
    <row r="25">
      <c r="A25" s="41" t="n"/>
      <c r="B25" s="41" t="n"/>
      <c r="C25" s="41" t="n"/>
      <c r="D25" s="42" t="n"/>
      <c r="E25" s="43">
        <f>IF(D25="","",D25-D25/1.19)</f>
        <v/>
      </c>
      <c r="F25" s="43">
        <f>IF(D25="","",D25/1.19)</f>
        <v/>
      </c>
      <c r="G25" s="42" t="n"/>
      <c r="H25" s="43">
        <f>H24+IF(D25="",0,D25)-IF(G25="",0,G25)</f>
        <v/>
      </c>
    </row>
    <row r="26">
      <c r="A26" s="41" t="n"/>
      <c r="B26" s="41" t="n"/>
      <c r="C26" s="41" t="n"/>
      <c r="D26" s="42" t="n"/>
      <c r="E26" s="43">
        <f>IF(D26="","",D26-D26/1.19)</f>
        <v/>
      </c>
      <c r="F26" s="43">
        <f>IF(D26="","",D26/1.19)</f>
        <v/>
      </c>
      <c r="G26" s="42" t="n"/>
      <c r="H26" s="43">
        <f>H25+IF(D26="",0,D26)-IF(G26="",0,G26)</f>
        <v/>
      </c>
    </row>
    <row r="27">
      <c r="A27" s="41" t="n"/>
      <c r="B27" s="41" t="n"/>
      <c r="C27" s="41" t="n"/>
      <c r="D27" s="42" t="n"/>
      <c r="E27" s="43">
        <f>IF(D27="","",D27-D27/1.19)</f>
        <v/>
      </c>
      <c r="F27" s="43">
        <f>IF(D27="","",D27/1.19)</f>
        <v/>
      </c>
      <c r="G27" s="42" t="n"/>
      <c r="H27" s="43">
        <f>H26+IF(D27="",0,D27)-IF(G27="",0,G27)</f>
        <v/>
      </c>
    </row>
    <row r="28">
      <c r="A28" s="41" t="n"/>
      <c r="B28" s="41" t="n"/>
      <c r="C28" s="41" t="n"/>
      <c r="D28" s="42" t="n"/>
      <c r="E28" s="43">
        <f>IF(D28="","",D28-D28/1.19)</f>
        <v/>
      </c>
      <c r="F28" s="43">
        <f>IF(D28="","",D28/1.19)</f>
        <v/>
      </c>
      <c r="G28" s="42" t="n"/>
      <c r="H28" s="43">
        <f>H27+IF(D28="",0,D28)-IF(G28="",0,G28)</f>
        <v/>
      </c>
    </row>
    <row r="29">
      <c r="A29" s="41" t="n"/>
      <c r="B29" s="41" t="n"/>
      <c r="C29" s="41" t="n"/>
      <c r="D29" s="42" t="n"/>
      <c r="E29" s="43">
        <f>IF(D29="","",D29-D29/1.19)</f>
        <v/>
      </c>
      <c r="F29" s="43">
        <f>IF(D29="","",D29/1.19)</f>
        <v/>
      </c>
      <c r="G29" s="42" t="n"/>
      <c r="H29" s="43">
        <f>H28+IF(D29="",0,D29)-IF(G29="",0,G29)</f>
        <v/>
      </c>
    </row>
    <row r="30">
      <c r="A30" s="41" t="n"/>
      <c r="B30" s="41" t="n"/>
      <c r="C30" s="41" t="n"/>
      <c r="D30" s="42" t="n"/>
      <c r="E30" s="43">
        <f>IF(D30="","",D30-D30/1.19)</f>
        <v/>
      </c>
      <c r="F30" s="43">
        <f>IF(D30="","",D30/1.19)</f>
        <v/>
      </c>
      <c r="G30" s="42" t="n"/>
      <c r="H30" s="43">
        <f>H29+IF(D30="",0,D30)-IF(G30="",0,G30)</f>
        <v/>
      </c>
    </row>
    <row r="31">
      <c r="A31" s="41" t="n"/>
      <c r="B31" s="41" t="n"/>
      <c r="C31" s="41" t="n"/>
      <c r="D31" s="42" t="n"/>
      <c r="E31" s="43">
        <f>IF(D31="","",D31-D31/1.19)</f>
        <v/>
      </c>
      <c r="F31" s="43">
        <f>IF(D31="","",D31/1.19)</f>
        <v/>
      </c>
      <c r="G31" s="42" t="n"/>
      <c r="H31" s="43">
        <f>H30+IF(D31="",0,D31)-IF(G31="",0,G31)</f>
        <v/>
      </c>
    </row>
    <row r="32">
      <c r="A32" s="41" t="n"/>
      <c r="B32" s="41" t="n"/>
      <c r="C32" s="41" t="n"/>
      <c r="D32" s="42" t="n"/>
      <c r="E32" s="43">
        <f>IF(D32="","",D32-D32/1.19)</f>
        <v/>
      </c>
      <c r="F32" s="43">
        <f>IF(D32="","",D32/1.19)</f>
        <v/>
      </c>
      <c r="G32" s="42" t="n"/>
      <c r="H32" s="43">
        <f>H31+IF(D32="",0,D32)-IF(G32="",0,G32)</f>
        <v/>
      </c>
    </row>
    <row r="33">
      <c r="A33" s="41" t="n"/>
      <c r="B33" s="41" t="n"/>
      <c r="C33" s="41" t="n"/>
      <c r="D33" s="42" t="n"/>
      <c r="E33" s="43">
        <f>IF(D33="","",D33-D33/1.19)</f>
        <v/>
      </c>
      <c r="F33" s="43">
        <f>IF(D33="","",D33/1.19)</f>
        <v/>
      </c>
      <c r="G33" s="42" t="n"/>
      <c r="H33" s="43">
        <f>H32+IF(D33="",0,D33)-IF(G33="",0,G33)</f>
        <v/>
      </c>
    </row>
    <row r="34">
      <c r="A34" s="41" t="n"/>
      <c r="B34" s="41" t="n"/>
      <c r="C34" s="41" t="n"/>
      <c r="D34" s="42" t="n"/>
      <c r="E34" s="43">
        <f>IF(D34="","",D34-D34/1.19)</f>
        <v/>
      </c>
      <c r="F34" s="43">
        <f>IF(D34="","",D34/1.19)</f>
        <v/>
      </c>
      <c r="G34" s="42" t="n"/>
      <c r="H34" s="43">
        <f>H33+IF(D34="",0,D34)-IF(G34="",0,G34)</f>
        <v/>
      </c>
    </row>
    <row r="35">
      <c r="A35" s="41" t="n"/>
      <c r="B35" s="41" t="n"/>
      <c r="C35" s="41" t="n"/>
      <c r="D35" s="42" t="n"/>
      <c r="E35" s="43">
        <f>IF(D35="","",D35-D35/1.19)</f>
        <v/>
      </c>
      <c r="F35" s="43">
        <f>IF(D35="","",D35/1.19)</f>
        <v/>
      </c>
      <c r="G35" s="42" t="n"/>
      <c r="H35" s="43">
        <f>H34+IF(D35="",0,D35)-IF(G35="",0,G35)</f>
        <v/>
      </c>
    </row>
    <row r="36">
      <c r="A36" s="41" t="n"/>
      <c r="B36" s="41" t="n"/>
      <c r="C36" s="41" t="n"/>
      <c r="D36" s="42" t="n"/>
      <c r="E36" s="43">
        <f>IF(D36="","",D36-D36/1.19)</f>
        <v/>
      </c>
      <c r="F36" s="43">
        <f>IF(D36="","",D36/1.19)</f>
        <v/>
      </c>
      <c r="G36" s="42" t="n"/>
      <c r="H36" s="43">
        <f>H35+IF(D36="",0,D36)-IF(G36="",0,G36)</f>
        <v/>
      </c>
    </row>
    <row r="37">
      <c r="A37" s="41" t="n"/>
      <c r="B37" s="41" t="n"/>
      <c r="C37" s="41" t="n"/>
      <c r="D37" s="42" t="n"/>
      <c r="E37" s="43">
        <f>IF(D37="","",D37-D37/1.19)</f>
        <v/>
      </c>
      <c r="F37" s="43">
        <f>IF(D37="","",D37/1.19)</f>
        <v/>
      </c>
      <c r="G37" s="42" t="n"/>
      <c r="H37" s="43">
        <f>H36+IF(D37="",0,D37)-IF(G37="",0,G37)</f>
        <v/>
      </c>
    </row>
    <row r="38">
      <c r="A38" s="41" t="n"/>
      <c r="B38" s="41" t="n"/>
      <c r="C38" s="41" t="n"/>
      <c r="D38" s="42" t="n"/>
      <c r="E38" s="43">
        <f>IF(D38="","",D38-D38/1.19)</f>
        <v/>
      </c>
      <c r="F38" s="43">
        <f>IF(D38="","",D38/1.19)</f>
        <v/>
      </c>
      <c r="G38" s="42" t="n"/>
      <c r="H38" s="43">
        <f>H37+IF(D38="",0,D38)-IF(G38="",0,G38)</f>
        <v/>
      </c>
    </row>
    <row r="39">
      <c r="A39" s="41" t="n"/>
      <c r="B39" s="41" t="n"/>
      <c r="C39" s="41" t="n"/>
      <c r="D39" s="42" t="n"/>
      <c r="E39" s="43">
        <f>IF(D39="","",D39-D39/1.19)</f>
        <v/>
      </c>
      <c r="F39" s="43">
        <f>IF(D39="","",D39/1.19)</f>
        <v/>
      </c>
      <c r="G39" s="42" t="n"/>
      <c r="H39" s="43">
        <f>H38+IF(D39="",0,D39)-IF(G39="",0,G39)</f>
        <v/>
      </c>
    </row>
    <row r="40">
      <c r="A40" s="41" t="n"/>
      <c r="B40" s="41" t="n"/>
      <c r="C40" s="41" t="n"/>
      <c r="D40" s="42" t="n"/>
      <c r="E40" s="43">
        <f>IF(D40="","",D40-D40/1.19)</f>
        <v/>
      </c>
      <c r="F40" s="43">
        <f>IF(D40="","",D40/1.19)</f>
        <v/>
      </c>
      <c r="G40" s="42" t="n"/>
      <c r="H40" s="43">
        <f>H39+IF(D40="",0,D40)-IF(G40="",0,G40)</f>
        <v/>
      </c>
    </row>
    <row r="41">
      <c r="A41" s="41" t="n"/>
      <c r="B41" s="41" t="n"/>
      <c r="C41" s="41" t="n"/>
      <c r="D41" s="42" t="n"/>
      <c r="E41" s="43">
        <f>IF(D41="","",D41-D41/1.19)</f>
        <v/>
      </c>
      <c r="F41" s="43">
        <f>IF(D41="","",D41/1.19)</f>
        <v/>
      </c>
      <c r="G41" s="42" t="n"/>
      <c r="H41" s="43">
        <f>H40+IF(D41="",0,D41)-IF(G41="",0,G41)</f>
        <v/>
      </c>
    </row>
    <row r="42">
      <c r="A42" s="41" t="n"/>
      <c r="B42" s="41" t="n"/>
      <c r="C42" s="41" t="n"/>
      <c r="D42" s="42" t="n"/>
      <c r="E42" s="43">
        <f>IF(D42="","",D42-D42/1.19)</f>
        <v/>
      </c>
      <c r="F42" s="43">
        <f>IF(D42="","",D42/1.19)</f>
        <v/>
      </c>
      <c r="G42" s="42" t="n"/>
      <c r="H42" s="43">
        <f>H41+IF(D42="",0,D42)-IF(G42="",0,G42)</f>
        <v/>
      </c>
    </row>
    <row r="43">
      <c r="A43" s="41" t="n"/>
      <c r="B43" s="41" t="n"/>
      <c r="C43" s="41" t="n"/>
      <c r="D43" s="42" t="n"/>
      <c r="E43" s="43">
        <f>IF(D43="","",D43-D43/1.19)</f>
        <v/>
      </c>
      <c r="F43" s="43">
        <f>IF(D43="","",D43/1.19)</f>
        <v/>
      </c>
      <c r="G43" s="42" t="n"/>
      <c r="H43" s="43">
        <f>H42+IF(D43="",0,D43)-IF(G43="",0,G43)</f>
        <v/>
      </c>
    </row>
    <row r="44">
      <c r="A44" s="41" t="n"/>
      <c r="B44" s="41" t="n"/>
      <c r="C44" s="41" t="n"/>
      <c r="D44" s="42" t="n"/>
      <c r="E44" s="43">
        <f>IF(D44="","",D44-D44/1.19)</f>
        <v/>
      </c>
      <c r="F44" s="43">
        <f>IF(D44="","",D44/1.19)</f>
        <v/>
      </c>
      <c r="G44" s="42" t="n"/>
      <c r="H44" s="43">
        <f>H43+IF(D44="",0,D44)-IF(G44="",0,G44)</f>
        <v/>
      </c>
    </row>
    <row r="45">
      <c r="A45" s="41" t="n"/>
      <c r="B45" s="41" t="n"/>
      <c r="C45" s="41" t="n"/>
      <c r="D45" s="42" t="n"/>
      <c r="E45" s="43">
        <f>IF(D45="","",D45-D45/1.19)</f>
        <v/>
      </c>
      <c r="F45" s="43">
        <f>IF(D45="","",D45/1.19)</f>
        <v/>
      </c>
      <c r="G45" s="42" t="n"/>
      <c r="H45" s="43">
        <f>H44+IF(D45="",0,D45)-IF(G45="",0,G45)</f>
        <v/>
      </c>
    </row>
    <row r="46">
      <c r="A46" s="41" t="n"/>
      <c r="B46" s="41" t="n"/>
      <c r="C46" s="41" t="n"/>
      <c r="D46" s="42" t="n"/>
      <c r="E46" s="43">
        <f>IF(D46="","",D46-D46/1.19)</f>
        <v/>
      </c>
      <c r="F46" s="43">
        <f>IF(D46="","",D46/1.19)</f>
        <v/>
      </c>
      <c r="G46" s="42" t="n"/>
      <c r="H46" s="43">
        <f>H45+IF(D46="",0,D46)-IF(G46="",0,G46)</f>
        <v/>
      </c>
    </row>
    <row r="47">
      <c r="A47" s="41" t="n"/>
      <c r="B47" s="41" t="n"/>
      <c r="C47" s="41" t="n"/>
      <c r="D47" s="42" t="n"/>
      <c r="E47" s="43">
        <f>IF(D47="","",D47-D47/1.19)</f>
        <v/>
      </c>
      <c r="F47" s="43">
        <f>IF(D47="","",D47/1.19)</f>
        <v/>
      </c>
      <c r="G47" s="42" t="n"/>
      <c r="H47" s="43">
        <f>H46+IF(D47="",0,D47)-IF(G47="",0,G47)</f>
        <v/>
      </c>
    </row>
    <row r="48">
      <c r="A48" s="41" t="n"/>
      <c r="B48" s="41" t="n"/>
      <c r="C48" s="41" t="n"/>
      <c r="D48" s="42" t="n"/>
      <c r="E48" s="43">
        <f>IF(D48="","",D48-D48/1.19)</f>
        <v/>
      </c>
      <c r="F48" s="43">
        <f>IF(D48="","",D48/1.19)</f>
        <v/>
      </c>
      <c r="G48" s="42" t="n"/>
      <c r="H48" s="43">
        <f>H47+IF(D48="",0,D48)-IF(G48="",0,G48)</f>
        <v/>
      </c>
    </row>
    <row r="49">
      <c r="A49" s="41" t="n"/>
      <c r="B49" s="41" t="n"/>
      <c r="C49" s="41" t="n"/>
      <c r="D49" s="42" t="n"/>
      <c r="E49" s="43">
        <f>IF(D49="","",D49-D49/1.19)</f>
        <v/>
      </c>
      <c r="F49" s="43">
        <f>IF(D49="","",D49/1.19)</f>
        <v/>
      </c>
      <c r="G49" s="42" t="n"/>
      <c r="H49" s="43">
        <f>H48+IF(D49="",0,D49)-IF(G49="",0,G49)</f>
        <v/>
      </c>
    </row>
    <row r="50">
      <c r="A50" s="41" t="n"/>
      <c r="B50" s="41" t="n"/>
      <c r="C50" s="41" t="n"/>
      <c r="D50" s="42" t="n"/>
      <c r="E50" s="43">
        <f>IF(D50="","",D50-D50/1.19)</f>
        <v/>
      </c>
      <c r="F50" s="43">
        <f>IF(D50="","",D50/1.19)</f>
        <v/>
      </c>
      <c r="G50" s="42" t="n"/>
      <c r="H50" s="43">
        <f>H49+IF(D50="",0,D50)-IF(G50="",0,G50)</f>
        <v/>
      </c>
    </row>
    <row r="51">
      <c r="A51" s="41" t="n"/>
      <c r="B51" s="41" t="n"/>
      <c r="C51" s="41" t="n"/>
      <c r="D51" s="42" t="n"/>
      <c r="E51" s="43">
        <f>IF(D51="","",D51-D51/1.19)</f>
        <v/>
      </c>
      <c r="F51" s="43">
        <f>IF(D51="","",D51/1.19)</f>
        <v/>
      </c>
      <c r="G51" s="42" t="n"/>
      <c r="H51" s="43">
        <f>H50+IF(D51="",0,D51)-IF(G51="",0,G51)</f>
        <v/>
      </c>
    </row>
    <row r="52">
      <c r="A52" s="41" t="n"/>
      <c r="B52" s="41" t="n"/>
      <c r="C52" s="41" t="n"/>
      <c r="D52" s="42" t="n"/>
      <c r="E52" s="43">
        <f>IF(D52="","",D52-D52/1.19)</f>
        <v/>
      </c>
      <c r="F52" s="43">
        <f>IF(D52="","",D52/1.19)</f>
        <v/>
      </c>
      <c r="G52" s="42" t="n"/>
      <c r="H52" s="43">
        <f>H51+IF(D52="",0,D52)-IF(G52="",0,G52)</f>
        <v/>
      </c>
    </row>
    <row r="53">
      <c r="A53" s="41" t="n"/>
      <c r="B53" s="41" t="n"/>
      <c r="C53" s="41" t="n"/>
      <c r="D53" s="42" t="n"/>
      <c r="E53" s="43">
        <f>IF(D53="","",D53-D53/1.19)</f>
        <v/>
      </c>
      <c r="F53" s="43">
        <f>IF(D53="","",D53/1.19)</f>
        <v/>
      </c>
      <c r="G53" s="42" t="n"/>
      <c r="H53" s="43">
        <f>H52+IF(D53="",0,D53)-IF(G53="",0,G53)</f>
        <v/>
      </c>
    </row>
    <row r="54">
      <c r="A54" s="41" t="n"/>
      <c r="B54" s="41" t="n"/>
      <c r="C54" s="41" t="n"/>
      <c r="D54" s="42" t="n"/>
      <c r="E54" s="43">
        <f>IF(D54="","",D54-D54/1.19)</f>
        <v/>
      </c>
      <c r="F54" s="43">
        <f>IF(D54="","",D54/1.19)</f>
        <v/>
      </c>
      <c r="G54" s="42" t="n"/>
      <c r="H54" s="43">
        <f>H53+IF(D54="",0,D54)-IF(G54="",0,G54)</f>
        <v/>
      </c>
    </row>
    <row r="55">
      <c r="A55" s="41" t="n"/>
      <c r="B55" s="41" t="n"/>
      <c r="C55" s="41" t="n"/>
      <c r="D55" s="42" t="n"/>
      <c r="E55" s="43">
        <f>IF(D55="","",D55-D55/1.19)</f>
        <v/>
      </c>
      <c r="F55" s="43">
        <f>IF(D55="","",D55/1.19)</f>
        <v/>
      </c>
      <c r="G55" s="42" t="n"/>
      <c r="H55" s="43">
        <f>H54+IF(D55="",0,D55)-IF(G55="",0,G55)</f>
        <v/>
      </c>
    </row>
  </sheetData>
  <mergeCells count="1">
    <mergeCell ref="A2:H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29"/>
  <sheetViews>
    <sheetView workbookViewId="0">
      <pane ySplit="4" topLeftCell="A5" activePane="bottomLeft" state="frozen"/>
      <selection pane="bottomLeft" activeCell="A1" sqref="A1"/>
    </sheetView>
  </sheetViews>
  <sheetFormatPr baseColWidth="8" defaultRowHeight="15"/>
  <cols>
    <col width="26" customWidth="1" min="1" max="1"/>
    <col width="34" customWidth="1" min="2" max="2"/>
    <col width="62" customWidth="1" min="3" max="3"/>
  </cols>
  <sheetData>
    <row r="1" ht="30" customHeight="1">
      <c r="A1" s="47" t="inlineStr">
        <is>
          <t>Design und Stammdaten</t>
        </is>
      </c>
      <c r="B1" s="2" t="n"/>
      <c r="C1" s="2" t="n"/>
    </row>
    <row r="2" ht="30" customHeight="1">
      <c r="A2" s="38" t="inlineStr">
        <is>
          <t>Hier ändern – nicht in den anderen Blättern. Farben als HEX ohne Raute (z. B. C8102E). Die Werte werden beim Rückeinlesen übernommen und gelten dann für Angebot, Katalog und Webkatalog.</t>
        </is>
      </c>
    </row>
    <row r="4">
      <c r="A4" s="48" t="inlineStr">
        <is>
          <t>Schlüssel</t>
        </is>
      </c>
      <c r="B4" s="49" t="inlineStr">
        <is>
          <t>Wert</t>
        </is>
      </c>
      <c r="C4" s="48" t="inlineStr">
        <is>
          <t>Hinweis</t>
        </is>
      </c>
    </row>
    <row r="5">
      <c r="A5" s="50" t="inlineStr">
        <is>
          <t>Firma</t>
        </is>
      </c>
      <c r="B5" s="41" t="inlineStr">
        <is>
          <t>Kikripp GmbH</t>
        </is>
      </c>
      <c r="C5" s="51" t="inlineStr">
        <is>
          <t>Vollständige Firmierung, erscheint in Kopf und Fuß aller Dokumente</t>
        </is>
      </c>
    </row>
    <row r="6">
      <c r="A6" s="50" t="inlineStr">
        <is>
          <t>Strasse</t>
        </is>
      </c>
      <c r="B6" s="41" t="inlineStr">
        <is>
          <t>Hermann-Schwer-Str. 1</t>
        </is>
      </c>
      <c r="C6" s="51" t="inlineStr"/>
    </row>
    <row r="7">
      <c r="A7" s="50" t="inlineStr">
        <is>
          <t>PLZ_Ort</t>
        </is>
      </c>
      <c r="B7" s="41" t="inlineStr">
        <is>
          <t>78048 Villingen-Schwenningen</t>
        </is>
      </c>
      <c r="C7" s="51" t="inlineStr"/>
    </row>
    <row r="8">
      <c r="A8" s="50" t="inlineStr">
        <is>
          <t>Ansprechpartner</t>
        </is>
      </c>
      <c r="B8" s="41" t="inlineStr">
        <is>
          <t>Jenny Preisigke</t>
        </is>
      </c>
      <c r="C8" s="51" t="inlineStr"/>
    </row>
    <row r="9">
      <c r="A9" s="50" t="inlineStr">
        <is>
          <t>Telefon</t>
        </is>
      </c>
      <c r="B9" s="41" t="inlineStr">
        <is>
          <t>07725 5179702</t>
        </is>
      </c>
      <c r="C9" s="51" t="inlineStr">
        <is>
          <t>Schreibweise bitte prüfen</t>
        </is>
      </c>
    </row>
    <row r="10">
      <c r="A10" s="50" t="inlineStr">
        <is>
          <t>Email</t>
        </is>
      </c>
      <c r="B10" s="41" t="inlineStr">
        <is>
          <t>jennyp@kikripp.de</t>
        </is>
      </c>
      <c r="C10" s="51" t="inlineStr"/>
    </row>
    <row r="11">
      <c r="A11" s="50" t="inlineStr">
        <is>
          <t>Empfaenger_Firma</t>
        </is>
      </c>
      <c r="B11" s="41" t="inlineStr">
        <is>
          <t>Mediclin Königsfeld</t>
        </is>
      </c>
      <c r="C11" s="51" t="inlineStr">
        <is>
          <t>Empfänger des Angebots</t>
        </is>
      </c>
    </row>
    <row r="12">
      <c r="A12" s="50" t="inlineStr">
        <is>
          <t>Empfaenger_Person</t>
        </is>
      </c>
      <c r="B12" s="41" t="inlineStr">
        <is>
          <t>Frau Jessica Rose</t>
        </is>
      </c>
      <c r="C12" s="51" t="inlineStr"/>
    </row>
    <row r="13">
      <c r="A13" s="50" t="inlineStr">
        <is>
          <t>Angebot_Nr</t>
        </is>
      </c>
      <c r="B13" s="41" t="inlineStr">
        <is>
          <t>ANG-2026-0001</t>
        </is>
      </c>
      <c r="C13" s="51" t="inlineStr"/>
    </row>
    <row r="14">
      <c r="A14" s="50" t="inlineStr">
        <is>
          <t>Angebot_Datum</t>
        </is>
      </c>
      <c r="B14" s="41" t="inlineStr">
        <is>
          <t>15.09.2026</t>
        </is>
      </c>
      <c r="C14" s="51" t="inlineStr"/>
    </row>
    <row r="15">
      <c r="A15" s="50" t="inlineStr">
        <is>
          <t>Angebot_Gueltig_bis</t>
        </is>
      </c>
      <c r="B15" s="41" t="inlineStr">
        <is>
          <t>15.10.2026</t>
        </is>
      </c>
      <c r="C15" s="51" t="inlineStr"/>
    </row>
    <row r="16">
      <c r="A16" s="50" t="inlineStr">
        <is>
          <t>USt_Satz_Prozent</t>
        </is>
      </c>
      <c r="B16" s="41" t="inlineStr">
        <is>
          <t>19</t>
        </is>
      </c>
      <c r="C16" s="51" t="inlineStr"/>
    </row>
    <row r="17">
      <c r="A17" s="50" t="inlineStr">
        <is>
          <t>Paketrabatt_Prozent</t>
        </is>
      </c>
      <c r="B17" s="41" t="inlineStr">
        <is>
          <t>15</t>
        </is>
      </c>
      <c r="C17" s="51" t="inlineStr">
        <is>
          <t>Nachlass beim Paketangebot</t>
        </is>
      </c>
    </row>
    <row r="18">
      <c r="A18" s="50" t="inlineStr">
        <is>
          <t>Katalog_URL</t>
        </is>
      </c>
      <c r="B18" s="41" t="inlineStr">
        <is>
          <t>https://www.kikripp.de/katalog</t>
        </is>
      </c>
      <c r="C18" s="51" t="inlineStr">
        <is>
          <t>Adresse des Webkatalogs, erscheint im Klinik-Angebot</t>
        </is>
      </c>
    </row>
    <row r="19">
      <c r="A19" s="50" t="inlineStr">
        <is>
          <t>Katalog_Passwort</t>
        </is>
      </c>
      <c r="B19" s="41" t="inlineStr"/>
      <c r="C19" s="51" t="inlineStr">
        <is>
          <t>Bewusst leer - Passwort gehoert nicht ins Projekt. Vor dem Erzeugen setzen: export KIKRIPP_KATALOG_PW=...</t>
        </is>
      </c>
    </row>
    <row r="20">
      <c r="A20" s="50" t="inlineStr">
        <is>
          <t>Farbe_Rot</t>
        </is>
      </c>
      <c r="B20" s="41" t="inlineStr">
        <is>
          <t>C8102E</t>
        </is>
      </c>
      <c r="C20" s="52" t="inlineStr">
        <is>
          <t>Bollenhut-Rot - nur als Akzent verwenden</t>
        </is>
      </c>
    </row>
    <row r="21">
      <c r="A21" s="50" t="inlineStr">
        <is>
          <t>Farbe_Schwarz</t>
        </is>
      </c>
      <c r="B21" s="41" t="inlineStr">
        <is>
          <t>1A1A1A</t>
        </is>
      </c>
      <c r="C21" s="53" t="inlineStr">
        <is>
          <t>Kopfzeilen und Struktur</t>
        </is>
      </c>
    </row>
    <row r="22">
      <c r="A22" s="50" t="inlineStr">
        <is>
          <t>Farbe_Papier</t>
        </is>
      </c>
      <c r="B22" s="41" t="inlineStr">
        <is>
          <t>F7F5F2</t>
        </is>
      </c>
      <c r="C22" s="54" t="inlineStr">
        <is>
          <t>warme Fläche</t>
        </is>
      </c>
    </row>
    <row r="23">
      <c r="A23" s="50" t="inlineStr">
        <is>
          <t>Farbe_Grau</t>
        </is>
      </c>
      <c r="B23" s="41" t="inlineStr">
        <is>
          <t>6B7280</t>
        </is>
      </c>
      <c r="C23" s="55" t="inlineStr">
        <is>
          <t>Sekundärtext</t>
        </is>
      </c>
    </row>
    <row r="24">
      <c r="A24" s="50" t="inlineStr">
        <is>
          <t>Farbe_Linie</t>
        </is>
      </c>
      <c r="B24" s="41" t="inlineStr">
        <is>
          <t>DCDCDC</t>
        </is>
      </c>
      <c r="C24" s="56" t="inlineStr">
        <is>
          <t>feine Linien und Rahmen</t>
        </is>
      </c>
    </row>
    <row r="25">
      <c r="A25" s="50" t="inlineStr">
        <is>
          <t>Feld_Klinik</t>
        </is>
      </c>
      <c r="B25" s="41" t="inlineStr">
        <is>
          <t>E4E4E4</t>
        </is>
      </c>
      <c r="C25" s="57" t="inlineStr">
        <is>
          <t>Ausfüllfelder für die Klinik (mittleres Grau)</t>
        </is>
      </c>
    </row>
    <row r="26">
      <c r="A26" s="50" t="inlineStr">
        <is>
          <t>Feld_Intern</t>
        </is>
      </c>
      <c r="B26" s="41" t="inlineStr">
        <is>
          <t>F2F2F2</t>
        </is>
      </c>
      <c r="C26" s="58" t="inlineStr">
        <is>
          <t>interne Ausfüllfelder (helles Grau)</t>
        </is>
      </c>
    </row>
    <row r="27">
      <c r="A27" s="50" t="inlineStr">
        <is>
          <t>Zeile_Wechsel</t>
        </is>
      </c>
      <c r="B27" s="41" t="inlineStr">
        <is>
          <t>FAFAFA</t>
        </is>
      </c>
      <c r="C27" s="59" t="inlineStr">
        <is>
          <t>Zeilenwechsel in Tabellen</t>
        </is>
      </c>
    </row>
    <row r="28">
      <c r="A28" s="50" t="inlineStr">
        <is>
          <t>Schrift_Excel</t>
        </is>
      </c>
      <c r="B28" s="41" t="inlineStr">
        <is>
          <t>Arial</t>
        </is>
      </c>
      <c r="C28" s="51" t="inlineStr"/>
    </row>
    <row r="29">
      <c r="A29" s="50" t="inlineStr">
        <is>
          <t>Schrift_Web</t>
        </is>
      </c>
      <c r="B29" s="41" t="inlineStr">
        <is>
          <t>Poppins</t>
        </is>
      </c>
      <c r="C29" s="51" t="inlineStr">
        <is>
          <t>Google-Font für den Webkatalog, mit Systemschrift als Rückfall</t>
        </is>
      </c>
    </row>
  </sheetData>
  <mergeCells count="2">
    <mergeCell ref="A1:C1"/>
    <mergeCell ref="A2:C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2026-09-22T05:37:21Z</dcterms:created>
  <dcterms:modified xmlns:dcterms="http://purl.org/dc/terms/" xmlns:xsi="http://www.w3.org/2001/XMLSchema-instance" xsi:type="dcterms:W3CDTF">2026-09-22T05:37:22Z</dcterms:modified>
</cp:coreProperties>
</file>