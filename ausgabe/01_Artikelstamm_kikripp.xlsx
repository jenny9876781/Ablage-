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'Artikelstamm'!$A$2:$AN$306</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0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10</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10 Regale insgesamt: 3 im Schlafraum 5, 1 im Treppenraum 1 (NU05-05), 1 in der Garage (NU07-06), 3 im Gruppenraum 4 (BA04-03) und 2 im Flur 1 des Bestandsgebäudes (BU01-03).</t>
        </is>
      </c>
      <c r="AN188" s="22" t="inlineStr">
        <is>
          <t>Zusammengefasste Position über fünf Räume – Post-it-Nummern: NU05-05, NU07-06, BA04-03, BU01-03.</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4</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4 Schränke insgesamt: 2 im Flur 2 (BA02-08) und 2 im Gruppenraum 4 (dort mit BA04-09 beschriftet). Abgebildet ist einer davon, ein weiterer auf Foto F-308.</t>
        </is>
      </c>
      <c r="AN241" s="22" t="inlineStr">
        <is>
          <t>Zusammengefasste Position – Post-it-Nummer im zweiten Raum: BA04-09.</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inlineStr">
        <is>
          <t>BA07-04</t>
        </is>
      </c>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2 Tische: einer im Gruppenraum 4 (BA04-07) und einer im Klassenzimmer (dort mit BA07-04 beschriftet). Der Inhalt gehört nicht dazu. Baugleich in Kupfer gibt es zwei Stück unter NU02-07.</t>
        </is>
      </c>
      <c r="AN266" s="22" t="inlineStr">
        <is>
          <t>Zusammengefasste Position – Post-it-Nummer im zweiten Raum: BA07-04.</t>
        </is>
      </c>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offene Ladefläche mit Bordwänden, gepolsterter Sitz vor dem Führerhaus, Holzlenkrad und vier Gummiräder mit roten Felgen.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inlineStr">
        <is>
          <t>F-335</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n"/>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 180 cm</t>
        </is>
      </c>
      <c r="F287" s="16" t="inlineStr">
        <is>
          <t>Spieltunnel aus grünem Stoff mit roten Ringen, etwa 180 cm lang bei 45 cm Durchmesser. 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inlineStr">
        <is>
          <t>F-336</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 Das Foto zeigt den Originalkarton mit der Abbildung; der Tunnel selbst ist zusammengefaltet darin.</t>
        </is>
      </c>
      <c r="AN287" s="22" t="n"/>
    </row>
    <row r="288" ht="30" customHeight="1">
      <c r="A288" s="15" t="inlineStr">
        <is>
          <t>BA07-01</t>
        </is>
      </c>
      <c r="B288" s="15" t="n"/>
      <c r="C288" s="15" t="n"/>
      <c r="D288" s="15" t="inlineStr">
        <is>
          <t>BA07</t>
        </is>
      </c>
      <c r="E288" s="15" t="inlineStr">
        <is>
          <t>Kissen in Wolkenform, hellblau</t>
        </is>
      </c>
      <c r="F288" s="16" t="inlineStr">
        <is>
          <t>Dekokissen in Wolkenform aus hellblauem Samtstoff, mit aufgestickten Augen, Lächeln und rosa Wangen.</t>
        </is>
      </c>
      <c r="G288" s="15" t="inlineStr">
        <is>
          <t>Textilien</t>
        </is>
      </c>
      <c r="H288" s="15" t="inlineStr">
        <is>
          <t>Klassenzimmer</t>
        </is>
      </c>
      <c r="I288" s="15" t="inlineStr">
        <is>
          <t>C</t>
        </is>
      </c>
      <c r="J288" s="17" t="n">
        <v>2</v>
      </c>
      <c r="K288" s="17" t="n"/>
      <c r="L288" s="18">
        <f>J288-IF(K288="",0,K288)</f>
        <v/>
      </c>
      <c r="M288" s="15" t="inlineStr">
        <is>
          <t>Stück</t>
        </is>
      </c>
      <c r="N288" s="15" t="inlineStr">
        <is>
          <t>gut</t>
        </is>
      </c>
      <c r="O288" s="19" t="n"/>
      <c r="P288" s="19" t="inlineStr">
        <is>
          <t>ja</t>
        </is>
      </c>
      <c r="Q288" s="19" t="n"/>
      <c r="R288" s="20" t="n"/>
      <c r="S288" s="20" t="n">
        <v>12</v>
      </c>
      <c r="T288" s="19" t="inlineStr">
        <is>
          <t>VHB</t>
        </is>
      </c>
      <c r="U288" s="21">
        <f>L288*S288</f>
        <v/>
      </c>
      <c r="V288" s="15" t="inlineStr">
        <is>
          <t>Versand möglich</t>
        </is>
      </c>
      <c r="W288" s="15" t="inlineStr">
        <is>
          <t>F-337</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2 Kissen, beide abgebildet.</t>
        </is>
      </c>
      <c r="AN288" s="22" t="n"/>
    </row>
    <row r="289" ht="30" customHeight="1">
      <c r="A289" s="15" t="inlineStr">
        <is>
          <t>BA07-02</t>
        </is>
      </c>
      <c r="B289" s="15" t="n"/>
      <c r="C289" s="15" t="n"/>
      <c r="D289" s="15" t="inlineStr">
        <is>
          <t>BA07</t>
        </is>
      </c>
      <c r="E289" s="15" t="inlineStr">
        <is>
          <t>Wandleuchte rund mit Holzrand</t>
        </is>
      </c>
      <c r="F289" s="16" t="inlineStr">
        <is>
          <t>Runde Wandleuchte: Rahmen aus gebogenem Schichtholz mit satinierter Scheibe, flache Bauform, Zuleitung sichtbar verlegt. Zwei verschiedene Durchmesser.</t>
        </is>
      </c>
      <c r="G289" s="15" t="inlineStr">
        <is>
          <t>Leuchten</t>
        </is>
      </c>
      <c r="H289" s="15" t="inlineStr">
        <is>
          <t>Klassenzimmer</t>
        </is>
      </c>
      <c r="I289" s="15" t="inlineStr">
        <is>
          <t>B</t>
        </is>
      </c>
      <c r="J289" s="17" t="n">
        <v>2</v>
      </c>
      <c r="K289" s="17" t="n"/>
      <c r="L289" s="18">
        <f>J289-IF(K289="",0,K289)</f>
        <v/>
      </c>
      <c r="M289" s="15" t="inlineStr">
        <is>
          <t>Stück</t>
        </is>
      </c>
      <c r="N289" s="15" t="inlineStr">
        <is>
          <t>gebraucht</t>
        </is>
      </c>
      <c r="O289" s="19" t="n"/>
      <c r="P289" s="19" t="inlineStr">
        <is>
          <t>ja</t>
        </is>
      </c>
      <c r="Q289" s="19" t="n"/>
      <c r="R289" s="20" t="n"/>
      <c r="S289" s="20" t="n">
        <v>45</v>
      </c>
      <c r="T289" s="19" t="inlineStr">
        <is>
          <t>VHB</t>
        </is>
      </c>
      <c r="U289" s="21">
        <f>L289*S289</f>
        <v/>
      </c>
      <c r="V289" s="15" t="inlineStr">
        <is>
          <t>nur Abholung</t>
        </is>
      </c>
      <c r="W289" s="15" t="inlineStr">
        <is>
          <t>F-338</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2 Leuchten in unterschiedlicher Größe, beide abgebildet.</t>
        </is>
      </c>
      <c r="AN289" s="22" t="n"/>
    </row>
    <row r="290" ht="30" customHeight="1">
      <c r="A290" s="15" t="inlineStr">
        <is>
          <t>BA07-03</t>
        </is>
      </c>
      <c r="B290" s="15" t="n"/>
      <c r="C290" s="15" t="n"/>
      <c r="D290" s="15" t="inlineStr">
        <is>
          <t>BA07</t>
        </is>
      </c>
      <c r="E290" s="15" t="inlineStr">
        <is>
          <t>Standregal grau mit Wolkenaufsatz</t>
        </is>
      </c>
      <c r="F290" s="16" t="inlineStr">
        <is>
          <t>Schmales Standregal in Grau mit drei Ablagen und vorderen Haltelleisten, oben ein ausgesägter Wolkenaufsatz, auf schrägen Holzbeinen. Als Bücherregal genutzt.</t>
        </is>
      </c>
      <c r="G290" s="15" t="inlineStr">
        <is>
          <t>Kita-Ausstattung</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45</v>
      </c>
      <c r="T290" s="19" t="inlineStr">
        <is>
          <t>VHB</t>
        </is>
      </c>
      <c r="U290" s="21">
        <f>L290*S290</f>
        <v/>
      </c>
      <c r="V290" s="15" t="inlineStr">
        <is>
          <t>nur Abholung</t>
        </is>
      </c>
      <c r="W290" s="15" t="inlineStr">
        <is>
          <t>F-339</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t>
        </is>
      </c>
      <c r="AN290" s="22" t="n"/>
    </row>
    <row r="291" ht="30" customHeight="1">
      <c r="A291" s="15" t="inlineStr">
        <is>
          <t>BA07-05</t>
        </is>
      </c>
      <c r="B291" s="15" t="n"/>
      <c r="C291" s="15" t="n"/>
      <c r="D291" s="15" t="inlineStr">
        <is>
          <t>BA07</t>
        </is>
      </c>
      <c r="E291" s="15" t="inlineStr">
        <is>
          <t>Tisch weiß, lang, auf schwarzen Beinen</t>
        </is>
      </c>
      <c r="F291" s="16" t="inlineStr">
        <is>
          <t>Langer Tisch mit weißer Platte auf vier schwarzen Rundbeinen mit Gleitern. Als Arbeits- und Ablagefläche genutzt.</t>
        </is>
      </c>
      <c r="G291" s="15" t="inlineStr">
        <is>
          <t>Möbel</t>
        </is>
      </c>
      <c r="H291" s="15" t="inlineStr">
        <is>
          <t>Klassenzimmer</t>
        </is>
      </c>
      <c r="I291" s="15" t="inlineStr">
        <is>
          <t>B</t>
        </is>
      </c>
      <c r="J291" s="17" t="n">
        <v>1</v>
      </c>
      <c r="K291" s="17" t="n"/>
      <c r="L291" s="18">
        <f>J291-IF(K291="",0,K291)</f>
        <v/>
      </c>
      <c r="M291" s="15" t="inlineStr">
        <is>
          <t>Stück</t>
        </is>
      </c>
      <c r="N291" s="15" t="inlineStr">
        <is>
          <t>gebraucht</t>
        </is>
      </c>
      <c r="O291" s="19" t="n"/>
      <c r="P291" s="19" t="inlineStr">
        <is>
          <t>ja</t>
        </is>
      </c>
      <c r="Q291" s="19" t="n"/>
      <c r="R291" s="20" t="n"/>
      <c r="S291" s="20" t="n">
        <v>70</v>
      </c>
      <c r="T291" s="19" t="inlineStr">
        <is>
          <t>VHB</t>
        </is>
      </c>
      <c r="U291" s="21">
        <f>L291*S291</f>
        <v/>
      </c>
      <c r="V291" s="15" t="inlineStr">
        <is>
          <t>nur Abholung</t>
        </is>
      </c>
      <c r="W291" s="15" t="inlineStr">
        <is>
          <t>F-341</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Tisch.</t>
        </is>
      </c>
      <c r="AN291" s="22" t="inlineStr">
        <is>
          <t>Stueckzahl auf dem Erfassungsblatt nicht eingetragen, als 1 angenommen - bitte bestaetigen.</t>
        </is>
      </c>
    </row>
    <row r="292" ht="30" customHeight="1">
      <c r="A292" s="15" t="inlineStr">
        <is>
          <t>BA07-06</t>
        </is>
      </c>
      <c r="B292" s="15" t="n"/>
      <c r="C292" s="15" t="n"/>
      <c r="D292" s="15" t="inlineStr">
        <is>
          <t>BA07</t>
        </is>
      </c>
      <c r="E292" s="15" t="inlineStr">
        <is>
          <t>Regal creme, 16 Fächer, auf Metallbeinen</t>
        </is>
      </c>
      <c r="F292" s="16" t="inlineStr">
        <is>
          <t>Großes Regal in Creme mit sechzehn Fächern in vier Reihen, auf schräg gestellten schwarzen Metallbeinen.</t>
        </is>
      </c>
      <c r="G292" s="15" t="inlineStr">
        <is>
          <t>Möbel</t>
        </is>
      </c>
      <c r="H292" s="15" t="inlineStr">
        <is>
          <t>Klassenzimmer</t>
        </is>
      </c>
      <c r="I292" s="15" t="inlineStr">
        <is>
          <t>B</t>
        </is>
      </c>
      <c r="J292" s="17" t="n">
        <v>1</v>
      </c>
      <c r="K292" s="17" t="n"/>
      <c r="L292" s="18">
        <f>J292-IF(K292="",0,K292)</f>
        <v/>
      </c>
      <c r="M292" s="15" t="inlineStr">
        <is>
          <t>Stück</t>
        </is>
      </c>
      <c r="N292" s="15" t="inlineStr">
        <is>
          <t>gebraucht</t>
        </is>
      </c>
      <c r="O292" s="19" t="n"/>
      <c r="P292" s="19" t="inlineStr">
        <is>
          <t>ja</t>
        </is>
      </c>
      <c r="Q292" s="19" t="n"/>
      <c r="R292" s="20" t="n"/>
      <c r="S292" s="20" t="n">
        <v>90</v>
      </c>
      <c r="T292" s="19" t="inlineStr">
        <is>
          <t>VHB</t>
        </is>
      </c>
      <c r="U292" s="21">
        <f>L292*S292</f>
        <v/>
      </c>
      <c r="V292" s="15" t="inlineStr">
        <is>
          <t>nur Abholung</t>
        </is>
      </c>
      <c r="W292" s="15" t="inlineStr">
        <is>
          <t>F-342</t>
        </is>
      </c>
      <c r="X292" s="19" t="inlineStr">
        <is>
          <t>ja</t>
        </is>
      </c>
      <c r="Y292" s="19" t="n"/>
      <c r="Z292" s="19" t="inlineStr">
        <is>
          <t>verfügbar</t>
        </is>
      </c>
      <c r="AA292" s="19" t="n"/>
      <c r="AB292" s="19" t="n"/>
      <c r="AC292" s="19" t="n"/>
      <c r="AD292" s="19" t="n"/>
      <c r="AE292" s="20" t="n"/>
      <c r="AF292" s="21">
        <f>IF(K292="","",K292*AE292)</f>
        <v/>
      </c>
      <c r="AG292" s="19" t="n"/>
      <c r="AH292" s="19" t="n"/>
      <c r="AI292" s="19" t="n"/>
      <c r="AJ292" s="19" t="n"/>
      <c r="AK292" s="19" t="n"/>
      <c r="AL292" s="19" t="n"/>
      <c r="AM292" s="16" t="inlineStr">
        <is>
          <t>1 Regal. Der Inhalt gehört nicht dazu.</t>
        </is>
      </c>
      <c r="AN292" s="22" t="n"/>
    </row>
    <row r="293" ht="30" customHeight="1">
      <c r="A293" s="15" t="inlineStr">
        <is>
          <t>BA08-05</t>
        </is>
      </c>
      <c r="B293" s="15" t="n"/>
      <c r="C293" s="15" t="n"/>
      <c r="D293" s="15" t="inlineStr">
        <is>
          <t>BA08</t>
        </is>
      </c>
      <c r="E293" s="15" t="inlineStr">
        <is>
          <t>Acrylbild schwarz-weiß, Kreise mit Punkten</t>
        </is>
      </c>
      <c r="F293" s="16" t="inlineStr">
        <is>
          <t>Acryl auf Leinwand, großes Quadrat: mit breitem Pinsel gezogene Kreise, darin je mehrere gemalte Punkte – die Anmutung von Würfeln. Eigenarbeit einer Privatperson, nicht signiert.</t>
        </is>
      </c>
      <c r="G293" s="15" t="inlineStr">
        <is>
          <t>Kunst</t>
        </is>
      </c>
      <c r="H293" s="15" t="inlineStr">
        <is>
          <t>Atelier</t>
        </is>
      </c>
      <c r="I293" s="15" t="inlineStr">
        <is>
          <t>B</t>
        </is>
      </c>
      <c r="J293" s="17" t="n">
        <v>1</v>
      </c>
      <c r="K293" s="17" t="n"/>
      <c r="L293" s="18">
        <f>J293-IF(K293="",0,K293)</f>
        <v/>
      </c>
      <c r="M293" s="15" t="inlineStr">
        <is>
          <t>Stück</t>
        </is>
      </c>
      <c r="N293" s="15" t="inlineStr">
        <is>
          <t>gut</t>
        </is>
      </c>
      <c r="O293" s="19" t="n"/>
      <c r="P293" s="19" t="inlineStr">
        <is>
          <t>ja</t>
        </is>
      </c>
      <c r="Q293" s="19" t="n"/>
      <c r="R293" s="20" t="n"/>
      <c r="S293" s="20" t="n">
        <v>150</v>
      </c>
      <c r="T293" s="19" t="inlineStr">
        <is>
          <t>VHB</t>
        </is>
      </c>
      <c r="U293" s="21">
        <f>L293*S293</f>
        <v/>
      </c>
      <c r="V293" s="15" t="inlineStr">
        <is>
          <t>Versand möglich</t>
        </is>
      </c>
      <c r="W293" s="15" t="inlineStr">
        <is>
          <t>F-344</t>
        </is>
      </c>
      <c r="X293" s="19" t="inlineStr">
        <is>
          <t>ja</t>
        </is>
      </c>
      <c r="Y293" s="19" t="n"/>
      <c r="Z293" s="19" t="inlineStr">
        <is>
          <t>verfügbar</t>
        </is>
      </c>
      <c r="AA293" s="19" t="n"/>
      <c r="AB293" s="19" t="n"/>
      <c r="AC293" s="19" t="n"/>
      <c r="AD293" s="19" t="n"/>
      <c r="AE293" s="20" t="n"/>
      <c r="AF293" s="21">
        <f>IF(K293="","",K293*AE293)</f>
        <v/>
      </c>
      <c r="AG293" s="19" t="n"/>
      <c r="AH293" s="19" t="n"/>
      <c r="AI293" s="19" t="n"/>
      <c r="AJ293" s="19" t="n"/>
      <c r="AK293" s="19" t="n"/>
      <c r="AL293" s="19" t="n"/>
      <c r="AM293" s="16" t="inlineStr">
        <is>
          <t>1 Bild.</t>
        </is>
      </c>
      <c r="AN293" s="22" t="n"/>
    </row>
    <row r="294" ht="30" customHeight="1">
      <c r="A294" s="15" t="inlineStr">
        <is>
          <t>BA08-06</t>
        </is>
      </c>
      <c r="B294" s="15" t="n"/>
      <c r="C294" s="15" t="n"/>
      <c r="D294" s="15" t="inlineStr">
        <is>
          <t>BA08</t>
        </is>
      </c>
      <c r="E294" s="15" t="inlineStr">
        <is>
          <t>VS Schalenstuhl grau, Vierfußgestell</t>
        </is>
      </c>
      <c r="F294" s="16" t="inlineStr">
        <is>
          <t>Schalenstuhl von VS (Vereinigte Spezialmöbelfabriken): graue Kunststoffschale mit Rautenstruktur und Griffloch in der Lehne, auf grauem Vierfußgestell aus Rohr. Farbspritzer aus dem Atelierbetrieb auf Sitz und Lehne.</t>
        </is>
      </c>
      <c r="G294" s="15" t="inlineStr">
        <is>
          <t>Kita-Ausstattung</t>
        </is>
      </c>
      <c r="H294" s="15" t="inlineStr">
        <is>
          <t>Atelier</t>
        </is>
      </c>
      <c r="I294" s="15" t="inlineStr">
        <is>
          <t>B</t>
        </is>
      </c>
      <c r="J294" s="17" t="n">
        <v>9</v>
      </c>
      <c r="K294" s="17" t="n"/>
      <c r="L294" s="18">
        <f>J294-IF(K294="",0,K294)</f>
        <v/>
      </c>
      <c r="M294" s="15" t="inlineStr">
        <is>
          <t>Stück</t>
        </is>
      </c>
      <c r="N294" s="15" t="inlineStr">
        <is>
          <t>gebraucht</t>
        </is>
      </c>
      <c r="O294" s="19" t="n"/>
      <c r="P294" s="19" t="inlineStr">
        <is>
          <t>ja</t>
        </is>
      </c>
      <c r="Q294" s="19" t="n"/>
      <c r="R294" s="20" t="n"/>
      <c r="S294" s="20" t="n">
        <v>50</v>
      </c>
      <c r="T294" s="19" t="inlineStr">
        <is>
          <t>VHB</t>
        </is>
      </c>
      <c r="U294" s="21">
        <f>L294*S294</f>
        <v/>
      </c>
      <c r="V294" s="15" t="inlineStr">
        <is>
          <t>nur Abholung</t>
        </is>
      </c>
      <c r="W294" s="15" t="inlineStr">
        <is>
          <t>F-345</t>
        </is>
      </c>
      <c r="X294" s="19" t="inlineStr">
        <is>
          <t>ja</t>
        </is>
      </c>
      <c r="Y294" s="19" t="n"/>
      <c r="Z294" s="19" t="inlineStr">
        <is>
          <t>verfügbar</t>
        </is>
      </c>
      <c r="AA294" s="19" t="inlineStr">
        <is>
          <t>VS</t>
        </is>
      </c>
      <c r="AB294" s="19" t="n"/>
      <c r="AC294" s="19" t="n"/>
      <c r="AD294" s="19" t="n"/>
      <c r="AE294" s="20" t="n"/>
      <c r="AF294" s="21">
        <f>IF(K294="","",K294*AE294)</f>
        <v/>
      </c>
      <c r="AG294" s="19" t="n"/>
      <c r="AH294" s="19" t="n"/>
      <c r="AI294" s="19" t="n"/>
      <c r="AJ294" s="19" t="n"/>
      <c r="AK294" s="19" t="n"/>
      <c r="AL294" s="19" t="n"/>
      <c r="AM294" s="16" t="inlineStr">
        <is>
          <t>9 Stühle – abgebildet ist einer davon. Das Logo ist auf Foto F-346 zu sehen. Ein anderes VS-Modell auf Kufengestell steht unter NU02-04.</t>
        </is>
      </c>
      <c r="AN294" s="22" t="n"/>
    </row>
    <row r="295" ht="30" customHeight="1">
      <c r="A295" s="15" t="inlineStr">
        <is>
          <t>BA08-07</t>
        </is>
      </c>
      <c r="B295" s="15" t="n"/>
      <c r="C295" s="15" t="n"/>
      <c r="D295" s="15" t="inlineStr">
        <is>
          <t>BA08</t>
        </is>
      </c>
      <c r="E295" s="15" t="inlineStr">
        <is>
          <t>Konvolut Feinkrepp-Papier</t>
        </is>
      </c>
      <c r="F295" s="16" t="inlineStr">
        <is>
          <t>Rollen Feinkrepp von Marpa Jansen, je 50 × 250 cm, in Blau, Grün, Gelb, Rot, Orange und Braun. Teils angebrochen, dazu ein Beutel mit zugeschnittenen Schnipseln.</t>
        </is>
      </c>
      <c r="G295" s="15" t="inlineStr">
        <is>
          <t>Verbrauchsmaterial</t>
        </is>
      </c>
      <c r="H295" s="15" t="inlineStr">
        <is>
          <t>Atelier</t>
        </is>
      </c>
      <c r="I295" s="15" t="inlineStr">
        <is>
          <t>C</t>
        </is>
      </c>
      <c r="J295" s="17" t="n">
        <v>1</v>
      </c>
      <c r="K295" s="17" t="n"/>
      <c r="L295" s="18">
        <f>J295-IF(K295="",0,K295)</f>
        <v/>
      </c>
      <c r="M295" s="15" t="inlineStr">
        <is>
          <t>Konvolut</t>
        </is>
      </c>
      <c r="N295" s="15" t="inlineStr">
        <is>
          <t>gebraucht</t>
        </is>
      </c>
      <c r="O295" s="19" t="n"/>
      <c r="P295" s="19" t="inlineStr">
        <is>
          <t>ja</t>
        </is>
      </c>
      <c r="Q295" s="19" t="n"/>
      <c r="R295" s="20" t="n"/>
      <c r="S295" s="20" t="n">
        <v>20</v>
      </c>
      <c r="T295" s="19" t="inlineStr">
        <is>
          <t>VHB</t>
        </is>
      </c>
      <c r="U295" s="21">
        <f>L295*S295</f>
        <v/>
      </c>
      <c r="V295" s="15" t="inlineStr">
        <is>
          <t>nur Abholung</t>
        </is>
      </c>
      <c r="W295" s="15" t="inlineStr">
        <is>
          <t>F-347</t>
        </is>
      </c>
      <c r="X295" s="19" t="inlineStr">
        <is>
          <t>ja</t>
        </is>
      </c>
      <c r="Y295" s="19" t="n"/>
      <c r="Z295" s="19" t="inlineStr">
        <is>
          <t>verfügbar</t>
        </is>
      </c>
      <c r="AA295" s="19" t="inlineStr">
        <is>
          <t>Marpa Jansen</t>
        </is>
      </c>
      <c r="AB295" s="19" t="n"/>
      <c r="AC295" s="19" t="n"/>
      <c r="AD295" s="19" t="n"/>
      <c r="AE295" s="20" t="n"/>
      <c r="AF295" s="21">
        <f>IF(K295="","",K295*AE295)</f>
        <v/>
      </c>
      <c r="AG295" s="19" t="n"/>
      <c r="AH295" s="19" t="n"/>
      <c r="AI295" s="19" t="n"/>
      <c r="AJ295" s="19" t="n"/>
      <c r="AK295" s="19" t="n"/>
      <c r="AL295" s="19" t="n"/>
      <c r="AM295" s="16" t="inlineStr">
        <is>
          <t>1 Konvolut. Der Schubladeninhalt ist auf Foto F-348 zu sehen.</t>
        </is>
      </c>
      <c r="AN295" s="22" t="n"/>
    </row>
    <row r="296" ht="30" customHeight="1">
      <c r="A296" s="15" t="inlineStr">
        <is>
          <t>BA08-08</t>
        </is>
      </c>
      <c r="B296" s="15" t="n"/>
      <c r="C296" s="15" t="n"/>
      <c r="D296" s="15" t="inlineStr">
        <is>
          <t>BA08</t>
        </is>
      </c>
      <c r="E296" s="15" t="inlineStr">
        <is>
          <t>Deko-Pilze auf Holzfuß</t>
        </is>
      </c>
      <c r="F296" s="16" t="inlineStr">
        <is>
          <t>Dekopilze mit gedrechseltem Fuß aus Massivholz: zwei mit gehämmerter Metallkappe in Silberoptik, einer mit Kappe in Betonoptik.</t>
        </is>
      </c>
      <c r="G296" s="15" t="inlineStr">
        <is>
          <t>Deko</t>
        </is>
      </c>
      <c r="H296" s="15" t="inlineStr">
        <is>
          <t>Atelier</t>
        </is>
      </c>
      <c r="I296" s="15" t="inlineStr">
        <is>
          <t>C</t>
        </is>
      </c>
      <c r="J296" s="17" t="n">
        <v>3</v>
      </c>
      <c r="K296" s="17" t="n"/>
      <c r="L296" s="18">
        <f>J296-IF(K296="",0,K296)</f>
        <v/>
      </c>
      <c r="M296" s="15" t="inlineStr">
        <is>
          <t>Stück</t>
        </is>
      </c>
      <c r="N296" s="15" t="inlineStr">
        <is>
          <t>gut</t>
        </is>
      </c>
      <c r="O296" s="19" t="n"/>
      <c r="P296" s="19" t="inlineStr">
        <is>
          <t>ja</t>
        </is>
      </c>
      <c r="Q296" s="19" t="n"/>
      <c r="R296" s="20" t="n"/>
      <c r="S296" s="20" t="n">
        <v>18</v>
      </c>
      <c r="T296" s="19" t="inlineStr">
        <is>
          <t>VHB</t>
        </is>
      </c>
      <c r="U296" s="21">
        <f>L296*S296</f>
        <v/>
      </c>
      <c r="V296" s="15" t="inlineStr">
        <is>
          <t>Versand möglich</t>
        </is>
      </c>
      <c r="W296" s="15" t="inlineStr">
        <is>
          <t>F-349</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3 Pilze, alle abgebildet.</t>
        </is>
      </c>
      <c r="AN296" s="22" t="n"/>
    </row>
    <row r="297" ht="30" customHeight="1">
      <c r="A297" s="15" t="inlineStr">
        <is>
          <t>BA08-09</t>
        </is>
      </c>
      <c r="B297" s="15" t="n"/>
      <c r="C297" s="15" t="n"/>
      <c r="D297" s="15" t="inlineStr">
        <is>
          <t>BA08</t>
        </is>
      </c>
      <c r="E297" s="15" t="inlineStr">
        <is>
          <t>Bastelscheren im Betzold-Holzblock</t>
        </is>
      </c>
      <c r="F297" s="16" t="inlineStr">
        <is>
          <t>Kinder-Bastelscheren mit Kunststoffgriffen in gemischten Farben, dazu ein Holzblock mit Steckbohrungen von Betzold als Ablage.</t>
        </is>
      </c>
      <c r="G297" s="15" t="inlineStr">
        <is>
          <t>Kita-Ausstattung</t>
        </is>
      </c>
      <c r="H297" s="15" t="inlineStr">
        <is>
          <t>Atelier</t>
        </is>
      </c>
      <c r="I297" s="15" t="inlineStr">
        <is>
          <t>C</t>
        </is>
      </c>
      <c r="J297" s="17" t="n">
        <v>15</v>
      </c>
      <c r="K297" s="17" t="n"/>
      <c r="L297" s="18">
        <f>J297-IF(K297="",0,K297)</f>
        <v/>
      </c>
      <c r="M297" s="15" t="inlineStr">
        <is>
          <t>Stück</t>
        </is>
      </c>
      <c r="N297" s="15" t="inlineStr">
        <is>
          <t>gebraucht</t>
        </is>
      </c>
      <c r="O297" s="19" t="n"/>
      <c r="P297" s="19" t="inlineStr">
        <is>
          <t>ja</t>
        </is>
      </c>
      <c r="Q297" s="19" t="n"/>
      <c r="R297" s="20" t="n"/>
      <c r="S297" s="20" t="n">
        <v>2</v>
      </c>
      <c r="T297" s="19" t="inlineStr">
        <is>
          <t>VHB</t>
        </is>
      </c>
      <c r="U297" s="21">
        <f>L297*S297</f>
        <v/>
      </c>
      <c r="V297" s="15" t="inlineStr">
        <is>
          <t>nur Abholung</t>
        </is>
      </c>
      <c r="W297" s="15" t="inlineStr">
        <is>
          <t>F-350</t>
        </is>
      </c>
      <c r="X297" s="19" t="inlineStr">
        <is>
          <t>ja</t>
        </is>
      </c>
      <c r="Y297" s="19" t="n"/>
      <c r="Z297" s="19" t="inlineStr">
        <is>
          <t>verfügbar</t>
        </is>
      </c>
      <c r="AA297" s="19" t="inlineStr">
        <is>
          <t>Betzold</t>
        </is>
      </c>
      <c r="AB297" s="19" t="n"/>
      <c r="AC297" s="19" t="n"/>
      <c r="AD297" s="19" t="n"/>
      <c r="AE297" s="20" t="n"/>
      <c r="AF297" s="21">
        <f>IF(K297="","",K297*AE297)</f>
        <v/>
      </c>
      <c r="AG297" s="19" t="n"/>
      <c r="AH297" s="19" t="n"/>
      <c r="AI297" s="19" t="n"/>
      <c r="AJ297" s="19" t="n"/>
      <c r="AK297" s="19" t="n"/>
      <c r="AL297" s="19" t="n"/>
      <c r="AM297" s="16" t="inlineStr">
        <is>
          <t>15 Scheren, der Holzblock gehört dazu.</t>
        </is>
      </c>
      <c r="AN297" s="22" t="n"/>
    </row>
    <row r="298" ht="30" customHeight="1">
      <c r="A298" s="15" t="inlineStr">
        <is>
          <t>BA08-10</t>
        </is>
      </c>
      <c r="B298" s="15" t="n"/>
      <c r="C298" s="15" t="n"/>
      <c r="D298" s="15" t="inlineStr">
        <is>
          <t>BA08</t>
        </is>
      </c>
      <c r="E298" s="15" t="inlineStr">
        <is>
          <t>Kunstpflanze Gras im weißen Topf</t>
        </is>
      </c>
      <c r="F298" s="16" t="inlineStr">
        <is>
          <t>Künstliches Ziergras mit gedrehten Halmen in einem weißen Übertopf aus Metall mit durchbrochenem Spitzenrand.</t>
        </is>
      </c>
      <c r="G298" s="15" t="inlineStr">
        <is>
          <t>Deko</t>
        </is>
      </c>
      <c r="H298" s="15" t="inlineStr">
        <is>
          <t>Atelier</t>
        </is>
      </c>
      <c r="I298" s="15" t="inlineStr">
        <is>
          <t>C</t>
        </is>
      </c>
      <c r="J298" s="17" t="n">
        <v>2</v>
      </c>
      <c r="K298" s="17" t="n"/>
      <c r="L298" s="18">
        <f>J298-IF(K298="",0,K298)</f>
        <v/>
      </c>
      <c r="M298" s="15" t="inlineStr">
        <is>
          <t>Stück</t>
        </is>
      </c>
      <c r="N298" s="15" t="inlineStr">
        <is>
          <t>gut</t>
        </is>
      </c>
      <c r="O298" s="19" t="n"/>
      <c r="P298" s="19" t="inlineStr">
        <is>
          <t>ja</t>
        </is>
      </c>
      <c r="Q298" s="19" t="n"/>
      <c r="R298" s="20" t="n"/>
      <c r="S298" s="20" t="n">
        <v>15</v>
      </c>
      <c r="T298" s="19" t="inlineStr">
        <is>
          <t>VHB</t>
        </is>
      </c>
      <c r="U298" s="21">
        <f>L298*S298</f>
        <v/>
      </c>
      <c r="V298" s="15" t="inlineStr">
        <is>
          <t>Versand möglich</t>
        </is>
      </c>
      <c r="W298" s="15" t="inlineStr">
        <is>
          <t>F-351</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2 Stück, beide abgebildet.</t>
        </is>
      </c>
      <c r="AN298" s="22" t="n"/>
    </row>
    <row r="299" ht="30" customHeight="1">
      <c r="A299" s="15" t="inlineStr">
        <is>
          <t>BA08-11</t>
        </is>
      </c>
      <c r="B299" s="15" t="n"/>
      <c r="C299" s="15" t="n"/>
      <c r="D299" s="15" t="inlineStr">
        <is>
          <t>BA08</t>
        </is>
      </c>
      <c r="E299" s="15" t="inlineStr">
        <is>
          <t>Bilderrahmen mit Zeichenwerkzeug</t>
        </is>
      </c>
      <c r="F299" s="16" t="inlineStr">
        <is>
          <t>Zwei schwarze Rahmen hinter Glas, gepunkteter Hintergrund: einer mit Bleistift, Lineal und gefaltetem Papier, einer mit sechs Pinseln in verschiedenen Breiten. Passend für ein Atelier oder Arbeitszimmer.</t>
        </is>
      </c>
      <c r="G299" s="15" t="inlineStr">
        <is>
          <t>Deko</t>
        </is>
      </c>
      <c r="H299" s="15" t="inlineStr">
        <is>
          <t>Atelier</t>
        </is>
      </c>
      <c r="I299" s="15" t="inlineStr">
        <is>
          <t>C</t>
        </is>
      </c>
      <c r="J299" s="17" t="n">
        <v>2</v>
      </c>
      <c r="K299" s="17" t="n"/>
      <c r="L299" s="18">
        <f>J299-IF(K299="",0,K299)</f>
        <v/>
      </c>
      <c r="M299" s="15" t="inlineStr">
        <is>
          <t>Stück</t>
        </is>
      </c>
      <c r="N299" s="15" t="inlineStr">
        <is>
          <t>gut</t>
        </is>
      </c>
      <c r="O299" s="19" t="n"/>
      <c r="P299" s="19" t="inlineStr">
        <is>
          <t>ja</t>
        </is>
      </c>
      <c r="Q299" s="19" t="n"/>
      <c r="R299" s="20" t="n"/>
      <c r="S299" s="20" t="n">
        <v>25</v>
      </c>
      <c r="T299" s="19" t="inlineStr">
        <is>
          <t>VHB</t>
        </is>
      </c>
      <c r="U299" s="21">
        <f>L299*S299</f>
        <v/>
      </c>
      <c r="V299" s="15" t="inlineStr">
        <is>
          <t>Versand möglich</t>
        </is>
      </c>
      <c r="W299" s="15" t="inlineStr">
        <is>
          <t>F-352</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2 Bilder, beide abgebildet.</t>
        </is>
      </c>
      <c r="AN299" s="22" t="n"/>
    </row>
    <row r="300" ht="30" customHeight="1">
      <c r="A300" s="15" t="inlineStr">
        <is>
          <t>BA08-12</t>
        </is>
      </c>
      <c r="B300" s="15" t="n"/>
      <c r="C300" s="15" t="n"/>
      <c r="D300" s="15" t="inlineStr">
        <is>
          <t>BA08</t>
        </is>
      </c>
      <c r="E300" s="15" t="inlineStr">
        <is>
          <t>Wandregalbrett weiß</t>
        </is>
      </c>
      <c r="F300" s="16" t="inlineStr">
        <is>
          <t>Schmales weißes Wandregalbrett mit vorderer Kante, zum Anschrauben.</t>
        </is>
      </c>
      <c r="G300" s="15" t="inlineStr">
        <is>
          <t>Möbel</t>
        </is>
      </c>
      <c r="H300" s="15" t="inlineStr">
        <is>
          <t>Atelier</t>
        </is>
      </c>
      <c r="I300" s="15" t="inlineStr">
        <is>
          <t>C</t>
        </is>
      </c>
      <c r="J300" s="17" t="n">
        <v>2</v>
      </c>
      <c r="K300" s="17" t="n"/>
      <c r="L300" s="18">
        <f>J300-IF(K300="",0,K300)</f>
        <v/>
      </c>
      <c r="M300" s="15" t="inlineStr">
        <is>
          <t>Stück</t>
        </is>
      </c>
      <c r="N300" s="15" t="inlineStr">
        <is>
          <t>gebraucht</t>
        </is>
      </c>
      <c r="O300" s="19" t="n"/>
      <c r="P300" s="19" t="inlineStr">
        <is>
          <t>ja</t>
        </is>
      </c>
      <c r="Q300" s="19" t="n"/>
      <c r="R300" s="20" t="n"/>
      <c r="S300" s="20" t="n">
        <v>15</v>
      </c>
      <c r="T300" s="19" t="inlineStr">
        <is>
          <t>VHB</t>
        </is>
      </c>
      <c r="U300" s="21">
        <f>L300*S300</f>
        <v/>
      </c>
      <c r="V300" s="15" t="inlineStr">
        <is>
          <t>nur Abholung</t>
        </is>
      </c>
      <c r="W300" s="15" t="inlineStr">
        <is>
          <t>F-353</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2 Bretter. Die blauen Becher darauf gehören nicht dazu.</t>
        </is>
      </c>
      <c r="AN300" s="22" t="n"/>
    </row>
    <row r="301" ht="30" customHeight="1">
      <c r="A301" s="15" t="inlineStr">
        <is>
          <t>BU01-01</t>
        </is>
      </c>
      <c r="B301" s="15" t="n"/>
      <c r="C301" s="15" t="n"/>
      <c r="D301" s="15" t="inlineStr">
        <is>
          <t>BU01</t>
        </is>
      </c>
      <c r="E301" s="15" t="inlineStr">
        <is>
          <t>Hausbett Buche massiv</t>
        </is>
      </c>
      <c r="F301" s="16" t="inlineStr">
        <is>
          <t>Kinderbett in Hausform aus massiver Buche, natur geölt, mit Dachgiebel und umlaufendem Rahmen. Einschließlich Matratze.</t>
        </is>
      </c>
      <c r="G301" s="15" t="inlineStr">
        <is>
          <t>Kita-Ausstattung</t>
        </is>
      </c>
      <c r="H301" s="15" t="inlineStr">
        <is>
          <t>Flur 1</t>
        </is>
      </c>
      <c r="I301" s="15" t="inlineStr">
        <is>
          <t>A</t>
        </is>
      </c>
      <c r="J301" s="17" t="n">
        <v>1</v>
      </c>
      <c r="K301" s="17" t="n"/>
      <c r="L301" s="18">
        <f>J301-IF(K301="",0,K301)</f>
        <v/>
      </c>
      <c r="M301" s="15" t="inlineStr">
        <is>
          <t>Stück</t>
        </is>
      </c>
      <c r="N301" s="15" t="inlineStr">
        <is>
          <t>gebraucht</t>
        </is>
      </c>
      <c r="O301" s="19" t="n"/>
      <c r="P301" s="19" t="inlineStr">
        <is>
          <t>ja</t>
        </is>
      </c>
      <c r="Q301" s="19" t="n"/>
      <c r="R301" s="20" t="n"/>
      <c r="S301" s="20" t="n">
        <v>220</v>
      </c>
      <c r="T301" s="19" t="inlineStr">
        <is>
          <t>VHB</t>
        </is>
      </c>
      <c r="U301" s="21">
        <f>L301*S301</f>
        <v/>
      </c>
      <c r="V301" s="15" t="inlineStr">
        <is>
          <t>nur Abholung</t>
        </is>
      </c>
      <c r="W301" s="15" t="inlineStr">
        <is>
          <t>F-356</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Bett einschließlich Matratze. Kissen und Bettschlange gehören nicht dazu.</t>
        </is>
      </c>
      <c r="AN301" s="22" t="n"/>
    </row>
    <row r="302" ht="30" customHeight="1">
      <c r="A302" s="15" t="inlineStr">
        <is>
          <t>BU01-02</t>
        </is>
      </c>
      <c r="B302" s="15" t="n"/>
      <c r="C302" s="15" t="n"/>
      <c r="D302" s="15" t="inlineStr">
        <is>
          <t>BU01</t>
        </is>
      </c>
      <c r="E302" s="15" t="inlineStr">
        <is>
          <t>Spielküche klein mit Mikrowelle</t>
        </is>
      </c>
      <c r="F302" s="16" t="inlineStr">
        <is>
          <t>Kleine Spielküche aus Birke-Multiplex mit weißen Fronten: Aufsatz mit Mikrowelle und zwei offenen Fächern, Arbeitsplatte mit Kochfeld, Spülbecken und Wasserhahn, darunter Backofen mit Sichtfenster und ein Schrank.</t>
        </is>
      </c>
      <c r="G302" s="15" t="inlineStr">
        <is>
          <t>Kita-Ausstattung</t>
        </is>
      </c>
      <c r="H302" s="15" t="inlineStr">
        <is>
          <t>Flur 1</t>
        </is>
      </c>
      <c r="I302" s="15" t="inlineStr">
        <is>
          <t>B</t>
        </is>
      </c>
      <c r="J302" s="17" t="n">
        <v>1</v>
      </c>
      <c r="K302" s="17" t="n"/>
      <c r="L302" s="18">
        <f>J302-IF(K302="",0,K302)</f>
        <v/>
      </c>
      <c r="M302" s="15" t="inlineStr">
        <is>
          <t>Stück</t>
        </is>
      </c>
      <c r="N302" s="15" t="inlineStr">
        <is>
          <t>gebraucht</t>
        </is>
      </c>
      <c r="O302" s="19" t="n"/>
      <c r="P302" s="19" t="inlineStr">
        <is>
          <t>ja</t>
        </is>
      </c>
      <c r="Q302" s="19" t="n"/>
      <c r="R302" s="20" t="n"/>
      <c r="S302" s="20" t="n">
        <v>60</v>
      </c>
      <c r="T302" s="19" t="inlineStr">
        <is>
          <t>VHB</t>
        </is>
      </c>
      <c r="U302" s="21">
        <f>L302*S302</f>
        <v/>
      </c>
      <c r="V302" s="15" t="inlineStr">
        <is>
          <t>nur Abholung</t>
        </is>
      </c>
      <c r="W302" s="15" t="inlineStr">
        <is>
          <t>F-355</t>
        </is>
      </c>
      <c r="X302" s="19" t="inlineStr">
        <is>
          <t>ja</t>
        </is>
      </c>
      <c r="Y302" s="19" t="n"/>
      <c r="Z302" s="19" t="inlineStr">
        <is>
          <t>verfügbar</t>
        </is>
      </c>
      <c r="AA302" s="19" t="n"/>
      <c r="AB302" s="19" t="n"/>
      <c r="AC302" s="19" t="n"/>
      <c r="AD302" s="19" t="n"/>
      <c r="AE302" s="20" t="n"/>
      <c r="AF302" s="21">
        <f>IF(K302="","",K302*AE302)</f>
        <v/>
      </c>
      <c r="AG302" s="19" t="n"/>
      <c r="AH302" s="19" t="n"/>
      <c r="AI302" s="19" t="n"/>
      <c r="AJ302" s="19" t="n"/>
      <c r="AK302" s="19" t="n"/>
      <c r="AL302" s="19" t="n"/>
      <c r="AM302" s="16" t="inlineStr">
        <is>
          <t>1 Küche. Spielgeschirr und Zubehör gehören nicht dazu. Drei größere Spielküchen stehen unter NU03-03, NU07-03 und BA03-02.</t>
        </is>
      </c>
      <c r="AN302" s="22" t="n"/>
    </row>
    <row r="303" ht="30" customHeight="1">
      <c r="A303" s="15" t="inlineStr">
        <is>
          <t>BU01-04</t>
        </is>
      </c>
      <c r="B303" s="15" t="n"/>
      <c r="C303" s="15" t="n"/>
      <c r="D303" s="15" t="inlineStr">
        <is>
          <t>BU01</t>
        </is>
      </c>
      <c r="E303" s="15" t="inlineStr">
        <is>
          <t>Gestell Kiefer mit sechs Wannen</t>
        </is>
      </c>
      <c r="F303" s="16" t="inlineStr">
        <is>
          <t>Gestell aus Kiefer massiv mit sechs weißen Kunststoffwannen in zwei Reihen, als Spielzeugaufbewahrung genutzt.</t>
        </is>
      </c>
      <c r="G303" s="15" t="inlineStr">
        <is>
          <t>Kita-Ausstattung</t>
        </is>
      </c>
      <c r="H303" s="15" t="inlineStr">
        <is>
          <t>Flur 1</t>
        </is>
      </c>
      <c r="I303" s="15" t="inlineStr">
        <is>
          <t>B</t>
        </is>
      </c>
      <c r="J303" s="17" t="n">
        <v>1</v>
      </c>
      <c r="K303" s="17" t="n"/>
      <c r="L303" s="18">
        <f>J303-IF(K303="",0,K303)</f>
        <v/>
      </c>
      <c r="M303" s="15" t="inlineStr">
        <is>
          <t>Stück</t>
        </is>
      </c>
      <c r="N303" s="15" t="inlineStr">
        <is>
          <t>gebraucht</t>
        </is>
      </c>
      <c r="O303" s="19" t="n"/>
      <c r="P303" s="19" t="inlineStr">
        <is>
          <t>ja</t>
        </is>
      </c>
      <c r="Q303" s="19" t="n"/>
      <c r="R303" s="20" t="n"/>
      <c r="S303" s="20" t="n">
        <v>55</v>
      </c>
      <c r="T303" s="19" t="inlineStr">
        <is>
          <t>VHB</t>
        </is>
      </c>
      <c r="U303" s="21">
        <f>L303*S303</f>
        <v/>
      </c>
      <c r="V303" s="15" t="inlineStr">
        <is>
          <t>nur Abholung</t>
        </is>
      </c>
      <c r="W303" s="15" t="inlineStr">
        <is>
          <t>F-358</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1 Gestell einschließlich der Wannen. Der Inhalt gehört nicht dazu.</t>
        </is>
      </c>
      <c r="AN303" s="22" t="n"/>
    </row>
    <row r="304" ht="30" customHeight="1">
      <c r="A304" s="15" t="inlineStr">
        <is>
          <t>BU01-05</t>
        </is>
      </c>
      <c r="B304" s="15" t="n"/>
      <c r="C304" s="15" t="n"/>
      <c r="D304" s="15" t="inlineStr">
        <is>
          <t>BU01</t>
        </is>
      </c>
      <c r="E304" s="15" t="inlineStr">
        <is>
          <t>IKEA Småstad Kindertisch weiß</t>
        </is>
      </c>
      <c r="F304" s="16" t="inlineStr">
        <is>
          <t>Niedriger Kindertisch von IKEA in Weiß mit Seitenwangen, Etikett an der Unterseite: Småstad, 804.335.42. Die Platte ist stark verkratzt und mit einer Schutzfolie belegt.</t>
        </is>
      </c>
      <c r="G304" s="15" t="inlineStr">
        <is>
          <t>Kita-Ausstattung</t>
        </is>
      </c>
      <c r="H304" s="15" t="inlineStr">
        <is>
          <t>Flur 1</t>
        </is>
      </c>
      <c r="I304" s="15" t="inlineStr">
        <is>
          <t>B</t>
        </is>
      </c>
      <c r="J304" s="17" t="n">
        <v>2</v>
      </c>
      <c r="K304" s="17" t="n"/>
      <c r="L304" s="18">
        <f>J304-IF(K304="",0,K304)</f>
        <v/>
      </c>
      <c r="M304" s="15" t="inlineStr">
        <is>
          <t>Stück</t>
        </is>
      </c>
      <c r="N304" s="15" t="inlineStr">
        <is>
          <t>stark gebraucht</t>
        </is>
      </c>
      <c r="O304" s="19" t="n"/>
      <c r="P304" s="19" t="inlineStr">
        <is>
          <t>ja</t>
        </is>
      </c>
      <c r="Q304" s="19" t="n"/>
      <c r="R304" s="20" t="n"/>
      <c r="S304" s="20" t="n">
        <v>35</v>
      </c>
      <c r="T304" s="19" t="inlineStr">
        <is>
          <t>VHB</t>
        </is>
      </c>
      <c r="U304" s="21">
        <f>L304*S304</f>
        <v/>
      </c>
      <c r="V304" s="15" t="inlineStr">
        <is>
          <t>nur Abholung</t>
        </is>
      </c>
      <c r="W304" s="15" t="inlineStr">
        <is>
          <t>F-359</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2 Tische – abgebildet ist einer davon. Das Etikett ist auf Foto F-360 zu sehen.</t>
        </is>
      </c>
      <c r="AN304" s="22" t="n"/>
    </row>
    <row r="305" ht="30" customHeight="1">
      <c r="A305" s="15" t="inlineStr">
        <is>
          <t>BU01-06</t>
        </is>
      </c>
      <c r="B305" s="15" t="n"/>
      <c r="C305" s="15" t="n"/>
      <c r="D305" s="15" t="inlineStr">
        <is>
          <t>BU01</t>
        </is>
      </c>
      <c r="E305" s="15" t="inlineStr">
        <is>
          <t>Wanddeko Lama, Steckwand</t>
        </is>
      </c>
      <c r="F305" s="16" t="inlineStr">
        <is>
          <t>Wandelement in Lamaform aus weiß lackiertem Holz mit grauen Ohren, Gesicht und Füßen, durchgehend gelocht zum Einstecken von Haken oder Stäben.</t>
        </is>
      </c>
      <c r="G305" s="15" t="inlineStr">
        <is>
          <t>Deko</t>
        </is>
      </c>
      <c r="H305" s="15" t="inlineStr">
        <is>
          <t>Flur 1</t>
        </is>
      </c>
      <c r="I305" s="15" t="inlineStr">
        <is>
          <t>C</t>
        </is>
      </c>
      <c r="J305" s="17" t="n">
        <v>2</v>
      </c>
      <c r="K305" s="17" t="n"/>
      <c r="L305" s="18">
        <f>J305-IF(K305="",0,K305)</f>
        <v/>
      </c>
      <c r="M305" s="15" t="inlineStr">
        <is>
          <t>Stück</t>
        </is>
      </c>
      <c r="N305" s="15" t="inlineStr">
        <is>
          <t>gebraucht</t>
        </is>
      </c>
      <c r="O305" s="19" t="n"/>
      <c r="P305" s="19" t="inlineStr">
        <is>
          <t>ja</t>
        </is>
      </c>
      <c r="Q305" s="19" t="n"/>
      <c r="R305" s="20" t="n"/>
      <c r="S305" s="20" t="n">
        <v>25</v>
      </c>
      <c r="T305" s="19" t="inlineStr">
        <is>
          <t>VHB</t>
        </is>
      </c>
      <c r="U305" s="21">
        <f>L305*S305</f>
        <v/>
      </c>
      <c r="V305" s="15" t="inlineStr">
        <is>
          <t>nur Abholung</t>
        </is>
      </c>
      <c r="W305" s="15" t="inlineStr">
        <is>
          <t>F-361</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2 Stück – abgebildet ist eines davon.</t>
        </is>
      </c>
      <c r="AN305" s="22" t="n"/>
    </row>
    <row r="306" ht="30" customHeight="1">
      <c r="A306" s="15" t="inlineStr">
        <is>
          <t>BU01-07</t>
        </is>
      </c>
      <c r="B306" s="15" t="n"/>
      <c r="C306" s="15" t="n"/>
      <c r="D306" s="15" t="inlineStr">
        <is>
          <t>BU01</t>
        </is>
      </c>
      <c r="E306" s="15" t="inlineStr">
        <is>
          <t>IKEA Grua Wandspiegel, schwarzer Rahmen</t>
        </is>
      </c>
      <c r="F306" s="16" t="inlineStr">
        <is>
          <t>Wandspiegel mit schmalem schwarzem Rahmen und abgerundeten Ecken. Etikett auf der Rückseite: Grua, IKEA.</t>
        </is>
      </c>
      <c r="G306" s="15" t="inlineStr">
        <is>
          <t>Deko</t>
        </is>
      </c>
      <c r="H306" s="15" t="inlineStr">
        <is>
          <t>Flur 1</t>
        </is>
      </c>
      <c r="I306" s="15" t="inlineStr">
        <is>
          <t>C</t>
        </is>
      </c>
      <c r="J306" s="17" t="n">
        <v>1</v>
      </c>
      <c r="K306" s="17" t="n"/>
      <c r="L306" s="18">
        <f>J306-IF(K306="",0,K306)</f>
        <v/>
      </c>
      <c r="M306" s="15" t="inlineStr">
        <is>
          <t>Stück</t>
        </is>
      </c>
      <c r="N306" s="15" t="inlineStr">
        <is>
          <t>gebraucht</t>
        </is>
      </c>
      <c r="O306" s="19" t="n"/>
      <c r="P306" s="19" t="inlineStr">
        <is>
          <t>ja</t>
        </is>
      </c>
      <c r="Q306" s="19" t="n"/>
      <c r="R306" s="20" t="n"/>
      <c r="S306" s="20" t="n">
        <v>25</v>
      </c>
      <c r="T306" s="19" t="inlineStr">
        <is>
          <t>VHB</t>
        </is>
      </c>
      <c r="U306" s="21">
        <f>L306*S306</f>
        <v/>
      </c>
      <c r="V306" s="15" t="inlineStr">
        <is>
          <t>nur Abholung</t>
        </is>
      </c>
      <c r="W306" s="15" t="inlineStr">
        <is>
          <t>F-362</t>
        </is>
      </c>
      <c r="X306" s="19" t="inlineStr">
        <is>
          <t>ja</t>
        </is>
      </c>
      <c r="Y306" s="19" t="n"/>
      <c r="Z306" s="19" t="inlineStr">
        <is>
          <t>verfügbar</t>
        </is>
      </c>
      <c r="AA306" s="19" t="inlineStr">
        <is>
          <t>IKEA</t>
        </is>
      </c>
      <c r="AB306" s="19" t="n"/>
      <c r="AC306" s="19" t="n"/>
      <c r="AD306" s="19" t="n"/>
      <c r="AE306" s="20" t="n"/>
      <c r="AF306" s="21">
        <f>IF(K306="","",K306*AE306)</f>
        <v/>
      </c>
      <c r="AG306" s="19" t="n"/>
      <c r="AH306" s="19" t="n"/>
      <c r="AI306" s="19" t="n"/>
      <c r="AJ306" s="19" t="n"/>
      <c r="AK306" s="19" t="n"/>
      <c r="AL306" s="19" t="n"/>
      <c r="AM306" s="16" t="inlineStr">
        <is>
          <t>1 Spiegel. Das Etikett ist auf Foto F-363 zu sehen.</t>
        </is>
      </c>
      <c r="AN306" s="22" t="n"/>
    </row>
  </sheetData>
  <autoFilter ref="A2:AN306"/>
  <mergeCells count="7">
    <mergeCell ref="AI1:AL1"/>
    <mergeCell ref="V1:AD1"/>
    <mergeCell ref="S1:U1"/>
    <mergeCell ref="Q1:R1"/>
    <mergeCell ref="A1:P1"/>
    <mergeCell ref="AE1:AH1"/>
    <mergeCell ref="AM1:AN1"/>
  </mergeCells>
  <conditionalFormatting sqref="Z3:Z306">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06">
    <cfRule type="cellIs" priority="4" operator="equal" dxfId="3">
      <formula>"A"</formula>
    </cfRule>
  </conditionalFormatting>
  <conditionalFormatting sqref="P3:P306">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COUNTA(Artikelstamm!$A$3:$A$306)</f>
        <v/>
      </c>
    </row>
    <row r="6">
      <c r="A6" s="26" t="inlineStr">
        <is>
          <t>davon verfügbar</t>
        </is>
      </c>
      <c r="B6" s="27">
        <f>COUNTIF(Artikelstamm!$Z$3:$Z$306,"verfügbar")</f>
        <v/>
      </c>
    </row>
    <row r="7">
      <c r="A7" s="26" t="inlineStr">
        <is>
          <t>davon reserviert</t>
        </is>
      </c>
      <c r="B7" s="27">
        <f>COUNTIF(Artikelstamm!$Z$3:$Z$306,"reserviert")</f>
        <v/>
      </c>
    </row>
    <row r="8">
      <c r="A8" s="26" t="inlineStr">
        <is>
          <t>davon teilverkauft</t>
        </is>
      </c>
      <c r="B8" s="27">
        <f>COUNTIF(Artikelstamm!$Z$3:$Z$306,"teilverkauft")</f>
        <v/>
      </c>
    </row>
    <row r="9">
      <c r="A9" s="26" t="inlineStr">
        <is>
          <t>davon verkauft</t>
        </is>
      </c>
      <c r="B9" s="27">
        <f>COUNTIF(Artikelstamm!$Z$3:$Z$306,"verkauft")</f>
        <v/>
      </c>
    </row>
    <row r="10">
      <c r="A10" s="26" t="inlineStr">
        <is>
          <t>Einheiten noch im Bestand</t>
        </is>
      </c>
      <c r="B10" s="27">
        <f>SUM(Artikelstamm!$L$3:$L$306)</f>
        <v/>
      </c>
    </row>
    <row r="11">
      <c r="A11" s="28" t="inlineStr">
        <is>
          <t>Restbestand zu Wunschpreisen (netto)</t>
        </is>
      </c>
      <c r="B11" s="29">
        <f>SUM(Artikelstamm!$U$3:$U$306)</f>
        <v/>
      </c>
    </row>
    <row r="12">
      <c r="A12" s="25" t="inlineStr">
        <is>
          <t>Erlöse</t>
        </is>
      </c>
    </row>
    <row r="13">
      <c r="A13" s="26" t="inlineStr">
        <is>
          <t>Verkaufte Einheiten</t>
        </is>
      </c>
      <c r="B13" s="27">
        <f>SUM(Artikelstamm!$K$3:$K$306)</f>
        <v/>
      </c>
    </row>
    <row r="14">
      <c r="A14" s="26" t="inlineStr">
        <is>
          <t>Umsatz netto</t>
        </is>
      </c>
      <c r="B14" s="30">
        <f>SUMPRODUCT(Artikelstamm!$K$3:$K$306,Artikelstamm!$AE$3:$AE$306)</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SUMPRODUCT((Artikelstamm!$AJ$3:$AJ$306="bezahlt")*Artikelstamm!$K$3:$K$306*Artikelstamm!$AE$3:$AE$306)</f>
        <v/>
      </c>
    </row>
    <row r="18">
      <c r="A18" s="26" t="inlineStr">
        <is>
          <t>noch offen (netto)</t>
        </is>
      </c>
      <c r="B18" s="30">
        <f>B14-B17</f>
        <v/>
      </c>
    </row>
    <row r="20">
      <c r="A20" s="25" t="inlineStr">
        <is>
          <t>To-do</t>
        </is>
      </c>
    </row>
    <row r="21">
      <c r="A21" s="28" t="inlineStr">
        <is>
          <t>Rechnungen noch zu schreiben</t>
        </is>
      </c>
      <c r="B21" s="31">
        <f>COUNTIFS(Artikelstamm!$Z$3:$Z$306,"*verkauft",Artikelstamm!$AI$3:$AI$306,"")</f>
        <v/>
      </c>
    </row>
    <row r="22">
      <c r="A22" s="28" t="inlineStr">
        <is>
          <t>Rechnungen offen (unbezahlt)</t>
        </is>
      </c>
      <c r="B22" s="31">
        <f>COUNTIFS(Artikelstamm!$Z$3:$Z$306,"*verkauft",Artikelstamm!$AJ$3:$AJ$306,"offen")</f>
        <v/>
      </c>
    </row>
    <row r="23">
      <c r="A23" s="26" t="inlineStr">
        <is>
          <t>Reservierungen ohne Abholtermin</t>
        </is>
      </c>
      <c r="B23" s="27">
        <f>COUNTIFS(Artikelstamm!$Z$3:$Z$306,"reserviert",Artikelstamm!$AL$3:$AL$306,"")</f>
        <v/>
      </c>
    </row>
    <row r="24">
      <c r="A24" s="26" t="inlineStr">
        <is>
          <t>Artikel ohne Preis</t>
        </is>
      </c>
      <c r="B24" s="27">
        <f>COUNTIFS(Artikelstamm!$S$3:$S$306,"")</f>
        <v/>
      </c>
    </row>
    <row r="25">
      <c r="A25" s="26" t="inlineStr">
        <is>
          <t>Artikel ohne Maßangabe</t>
        </is>
      </c>
      <c r="B25" s="27">
        <f>COUNTIFS(Artikelstamm!$O$3:$O$306,"")</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COUNTIF(Artikelstamm!$I$3:$I$306,$A30)</f>
        <v/>
      </c>
      <c r="C30" s="34">
        <f>SUMPRODUCT((Artikelstamm!$I$3:$I$306=$A30)*Artikelstamm!$K$3:$K$306*Artikelstamm!$AE$3:$AE$306)</f>
        <v/>
      </c>
      <c r="D30" s="34">
        <f>SUMIF(Artikelstamm!$I$3:$I$306,$A30,Artikelstamm!$U$3:$U$306)</f>
        <v/>
      </c>
    </row>
    <row r="31">
      <c r="A31" s="26" t="inlineStr">
        <is>
          <t>B</t>
        </is>
      </c>
      <c r="B31" s="33">
        <f>COUNTIF(Artikelstamm!$I$3:$I$306,$A31)</f>
        <v/>
      </c>
      <c r="C31" s="34">
        <f>SUMPRODUCT((Artikelstamm!$I$3:$I$306=$A31)*Artikelstamm!$K$3:$K$306*Artikelstamm!$AE$3:$AE$306)</f>
        <v/>
      </c>
      <c r="D31" s="34">
        <f>SUMIF(Artikelstamm!$I$3:$I$306,$A31,Artikelstamm!$U$3:$U$306)</f>
        <v/>
      </c>
    </row>
    <row r="32">
      <c r="A32" s="26" t="inlineStr">
        <is>
          <t>C</t>
        </is>
      </c>
      <c r="B32" s="33">
        <f>COUNTIF(Artikelstamm!$I$3:$I$306,$A32)</f>
        <v/>
      </c>
      <c r="C32" s="34">
        <f>SUMPRODUCT((Artikelstamm!$I$3:$I$306=$A32)*Artikelstamm!$K$3:$K$306*Artikelstamm!$AE$3:$AE$306)</f>
        <v/>
      </c>
      <c r="D32" s="34">
        <f>SUMIF(Artikelstamm!$I$3:$I$306,$A32,Artikelstamm!$U$3:$U$306)</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COUNTIF(Artikelstamm!$G$3:$G$306,$A37)</f>
        <v/>
      </c>
      <c r="C37" s="34">
        <f>SUMPRODUCT((Artikelstamm!$G$3:$G$306=$A37)*Artikelstamm!$K$3:$K$306*Artikelstamm!$AE$3:$AE$306)</f>
        <v/>
      </c>
      <c r="D37" s="34">
        <f>SUMIF(Artikelstamm!$G$3:$G$306,$A37,Artikelstamm!$U$3:$U$306)</f>
        <v/>
      </c>
    </row>
    <row r="38">
      <c r="A38" s="26" t="inlineStr">
        <is>
          <t>Deko</t>
        </is>
      </c>
      <c r="B38" s="33">
        <f>COUNTIF(Artikelstamm!$G$3:$G$306,$A38)</f>
        <v/>
      </c>
      <c r="C38" s="34">
        <f>SUMPRODUCT((Artikelstamm!$G$3:$G$306=$A38)*Artikelstamm!$K$3:$K$306*Artikelstamm!$AE$3:$AE$306)</f>
        <v/>
      </c>
      <c r="D38" s="34">
        <f>SUMIF(Artikelstamm!$G$3:$G$306,$A38,Artikelstamm!$U$3:$U$306)</f>
        <v/>
      </c>
    </row>
    <row r="39">
      <c r="A39" s="26" t="inlineStr">
        <is>
          <t>Designmöbel</t>
        </is>
      </c>
      <c r="B39" s="33">
        <f>COUNTIF(Artikelstamm!$G$3:$G$306,$A39)</f>
        <v/>
      </c>
      <c r="C39" s="34">
        <f>SUMPRODUCT((Artikelstamm!$G$3:$G$306=$A39)*Artikelstamm!$K$3:$K$306*Artikelstamm!$AE$3:$AE$306)</f>
        <v/>
      </c>
      <c r="D39" s="34">
        <f>SUMIF(Artikelstamm!$G$3:$G$306,$A39,Artikelstamm!$U$3:$U$306)</f>
        <v/>
      </c>
    </row>
    <row r="40">
      <c r="A40" s="26" t="inlineStr">
        <is>
          <t>Garten</t>
        </is>
      </c>
      <c r="B40" s="33">
        <f>COUNTIF(Artikelstamm!$G$3:$G$306,$A40)</f>
        <v/>
      </c>
      <c r="C40" s="34">
        <f>SUMPRODUCT((Artikelstamm!$G$3:$G$306=$A40)*Artikelstamm!$K$3:$K$306*Artikelstamm!$AE$3:$AE$306)</f>
        <v/>
      </c>
      <c r="D40" s="34">
        <f>SUMIF(Artikelstamm!$G$3:$G$306,$A40,Artikelstamm!$U$3:$U$306)</f>
        <v/>
      </c>
    </row>
    <row r="41">
      <c r="A41" s="26" t="inlineStr">
        <is>
          <t>Kita-Ausstattung</t>
        </is>
      </c>
      <c r="B41" s="33">
        <f>COUNTIF(Artikelstamm!$G$3:$G$306,$A41)</f>
        <v/>
      </c>
      <c r="C41" s="34">
        <f>SUMPRODUCT((Artikelstamm!$G$3:$G$306=$A41)*Artikelstamm!$K$3:$K$306*Artikelstamm!$AE$3:$AE$306)</f>
        <v/>
      </c>
      <c r="D41" s="34">
        <f>SUMIF(Artikelstamm!$G$3:$G$306,$A41,Artikelstamm!$U$3:$U$306)</f>
        <v/>
      </c>
    </row>
    <row r="42">
      <c r="A42" s="26" t="inlineStr">
        <is>
          <t>Kunst</t>
        </is>
      </c>
      <c r="B42" s="33">
        <f>COUNTIF(Artikelstamm!$G$3:$G$306,$A42)</f>
        <v/>
      </c>
      <c r="C42" s="34">
        <f>SUMPRODUCT((Artikelstamm!$G$3:$G$306=$A42)*Artikelstamm!$K$3:$K$306*Artikelstamm!$AE$3:$AE$306)</f>
        <v/>
      </c>
      <c r="D42" s="34">
        <f>SUMIF(Artikelstamm!$G$3:$G$306,$A42,Artikelstamm!$U$3:$U$306)</f>
        <v/>
      </c>
    </row>
    <row r="43">
      <c r="A43" s="26" t="inlineStr">
        <is>
          <t>Leuchten</t>
        </is>
      </c>
      <c r="B43" s="33">
        <f>COUNTIF(Artikelstamm!$G$3:$G$306,$A43)</f>
        <v/>
      </c>
      <c r="C43" s="34">
        <f>SUMPRODUCT((Artikelstamm!$G$3:$G$306=$A43)*Artikelstamm!$K$3:$K$306*Artikelstamm!$AE$3:$AE$306)</f>
        <v/>
      </c>
      <c r="D43" s="34">
        <f>SUMIF(Artikelstamm!$G$3:$G$306,$A43,Artikelstamm!$U$3:$U$306)</f>
        <v/>
      </c>
    </row>
    <row r="44">
      <c r="A44" s="26" t="inlineStr">
        <is>
          <t>Möbel</t>
        </is>
      </c>
      <c r="B44" s="33">
        <f>COUNTIF(Artikelstamm!$G$3:$G$306,$A44)</f>
        <v/>
      </c>
      <c r="C44" s="34">
        <f>SUMPRODUCT((Artikelstamm!$G$3:$G$306=$A44)*Artikelstamm!$K$3:$K$306*Artikelstamm!$AE$3:$AE$306)</f>
        <v/>
      </c>
      <c r="D44" s="34">
        <f>SUMIF(Artikelstamm!$G$3:$G$306,$A44,Artikelstamm!$U$3:$U$306)</f>
        <v/>
      </c>
    </row>
    <row r="45">
      <c r="A45" s="26" t="inlineStr">
        <is>
          <t>Pflanzen</t>
        </is>
      </c>
      <c r="B45" s="33">
        <f>COUNTIF(Artikelstamm!$G$3:$G$306,$A45)</f>
        <v/>
      </c>
      <c r="C45" s="34">
        <f>SUMPRODUCT((Artikelstamm!$G$3:$G$306=$A45)*Artikelstamm!$K$3:$K$306*Artikelstamm!$AE$3:$AE$306)</f>
        <v/>
      </c>
      <c r="D45" s="34">
        <f>SUMIF(Artikelstamm!$G$3:$G$306,$A45,Artikelstamm!$U$3:$U$306)</f>
        <v/>
      </c>
    </row>
    <row r="46">
      <c r="A46" s="26" t="inlineStr">
        <is>
          <t>Sonstiges</t>
        </is>
      </c>
      <c r="B46" s="33">
        <f>COUNTIF(Artikelstamm!$G$3:$G$306,$A46)</f>
        <v/>
      </c>
      <c r="C46" s="34">
        <f>SUMPRODUCT((Artikelstamm!$G$3:$G$306=$A46)*Artikelstamm!$K$3:$K$306*Artikelstamm!$AE$3:$AE$306)</f>
        <v/>
      </c>
      <c r="D46" s="34">
        <f>SUMIF(Artikelstamm!$G$3:$G$306,$A46,Artikelstamm!$U$3:$U$306)</f>
        <v/>
      </c>
    </row>
    <row r="47">
      <c r="A47" s="26" t="inlineStr">
        <is>
          <t>Technik</t>
        </is>
      </c>
      <c r="B47" s="33">
        <f>COUNTIF(Artikelstamm!$G$3:$G$306,$A47)</f>
        <v/>
      </c>
      <c r="C47" s="34">
        <f>SUMPRODUCT((Artikelstamm!$G$3:$G$306=$A47)*Artikelstamm!$K$3:$K$306*Artikelstamm!$AE$3:$AE$306)</f>
        <v/>
      </c>
      <c r="D47" s="34">
        <f>SUMIF(Artikelstamm!$G$3:$G$306,$A47,Artikelstamm!$U$3:$U$306)</f>
        <v/>
      </c>
    </row>
    <row r="48">
      <c r="A48" s="26" t="inlineStr">
        <is>
          <t>Textilien</t>
        </is>
      </c>
      <c r="B48" s="33">
        <f>COUNTIF(Artikelstamm!$G$3:$G$306,$A48)</f>
        <v/>
      </c>
      <c r="C48" s="34">
        <f>SUMPRODUCT((Artikelstamm!$G$3:$G$306=$A48)*Artikelstamm!$K$3:$K$306*Artikelstamm!$AE$3:$AE$306)</f>
        <v/>
      </c>
      <c r="D48" s="34">
        <f>SUMIF(Artikelstamm!$G$3:$G$306,$A48,Artikelstamm!$U$3:$U$306)</f>
        <v/>
      </c>
    </row>
    <row r="49">
      <c r="A49" s="26" t="inlineStr">
        <is>
          <t>Uhren</t>
        </is>
      </c>
      <c r="B49" s="33">
        <f>COUNTIF(Artikelstamm!$G$3:$G$306,$A49)</f>
        <v/>
      </c>
      <c r="C49" s="34">
        <f>SUMPRODUCT((Artikelstamm!$G$3:$G$306=$A49)*Artikelstamm!$K$3:$K$306*Artikelstamm!$AE$3:$AE$306)</f>
        <v/>
      </c>
      <c r="D49" s="34">
        <f>SUMIF(Artikelstamm!$G$3:$G$306,$A49,Artikelstamm!$U$3:$U$306)</f>
        <v/>
      </c>
    </row>
    <row r="50">
      <c r="A50" s="26" t="inlineStr">
        <is>
          <t>Verbrauchsmaterial</t>
        </is>
      </c>
      <c r="B50" s="33">
        <f>COUNTIF(Artikelstamm!$G$3:$G$306,$A50)</f>
        <v/>
      </c>
      <c r="C50" s="34">
        <f>SUMPRODUCT((Artikelstamm!$G$3:$G$306=$A50)*Artikelstamm!$K$3:$K$306*Artikelstamm!$AE$3:$AE$306)</f>
        <v/>
      </c>
      <c r="D50" s="34">
        <f>SUMIF(Artikelstamm!$G$3:$G$306,$A50,Artikelstamm!$U$3:$U$306)</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COUNTIF(Artikelstamm!$H$3:$H$306,$A55)</f>
        <v/>
      </c>
      <c r="C55" s="34">
        <f>SUMPRODUCT((Artikelstamm!$H$3:$H$306=$A55)*Artikelstamm!$K$3:$K$306*Artikelstamm!$AE$3:$AE$306)</f>
        <v/>
      </c>
      <c r="D55" s="34">
        <f>SUMIF(Artikelstamm!$H$3:$H$306,$A55,Artikelstamm!$U$3:$U$306)</f>
        <v/>
      </c>
    </row>
    <row r="56">
      <c r="A56" s="26" t="inlineStr">
        <is>
          <t>Büro</t>
        </is>
      </c>
      <c r="B56" s="33">
        <f>COUNTIF(Artikelstamm!$H$3:$H$306,$A56)</f>
        <v/>
      </c>
      <c r="C56" s="34">
        <f>SUMPRODUCT((Artikelstamm!$H$3:$H$306=$A56)*Artikelstamm!$K$3:$K$306*Artikelstamm!$AE$3:$AE$306)</f>
        <v/>
      </c>
      <c r="D56" s="34">
        <f>SUMIF(Artikelstamm!$H$3:$H$306,$A56,Artikelstamm!$U$3:$U$306)</f>
        <v/>
      </c>
    </row>
    <row r="57">
      <c r="A57" s="26" t="inlineStr">
        <is>
          <t>Büro / Besprechung</t>
        </is>
      </c>
      <c r="B57" s="33">
        <f>COUNTIF(Artikelstamm!$H$3:$H$306,$A57)</f>
        <v/>
      </c>
      <c r="C57" s="34">
        <f>SUMPRODUCT((Artikelstamm!$H$3:$H$306=$A57)*Artikelstamm!$K$3:$K$306*Artikelstamm!$AE$3:$AE$306)</f>
        <v/>
      </c>
      <c r="D57" s="34">
        <f>SUMIF(Artikelstamm!$H$3:$H$306,$A57,Artikelstamm!$U$3:$U$306)</f>
        <v/>
      </c>
    </row>
    <row r="58">
      <c r="A58" s="26" t="inlineStr">
        <is>
          <t>Dachterrasse</t>
        </is>
      </c>
      <c r="B58" s="33">
        <f>COUNTIF(Artikelstamm!$H$3:$H$306,$A58)</f>
        <v/>
      </c>
      <c r="C58" s="34">
        <f>SUMPRODUCT((Artikelstamm!$H$3:$H$306=$A58)*Artikelstamm!$K$3:$K$306*Artikelstamm!$AE$3:$AE$306)</f>
        <v/>
      </c>
      <c r="D58" s="34">
        <f>SUMIF(Artikelstamm!$H$3:$H$306,$A58,Artikelstamm!$U$3:$U$306)</f>
        <v/>
      </c>
    </row>
    <row r="59">
      <c r="A59" s="26" t="inlineStr">
        <is>
          <t>Flur</t>
        </is>
      </c>
      <c r="B59" s="33">
        <f>COUNTIF(Artikelstamm!$H$3:$H$306,$A59)</f>
        <v/>
      </c>
      <c r="C59" s="34">
        <f>SUMPRODUCT((Artikelstamm!$H$3:$H$306=$A59)*Artikelstamm!$K$3:$K$306*Artikelstamm!$AE$3:$AE$306)</f>
        <v/>
      </c>
      <c r="D59" s="34">
        <f>SUMIF(Artikelstamm!$H$3:$H$306,$A59,Artikelstamm!$U$3:$U$306)</f>
        <v/>
      </c>
    </row>
    <row r="60">
      <c r="A60" s="26" t="inlineStr">
        <is>
          <t>Flur 1</t>
        </is>
      </c>
      <c r="B60" s="33">
        <f>COUNTIF(Artikelstamm!$H$3:$H$306,$A60)</f>
        <v/>
      </c>
      <c r="C60" s="34">
        <f>SUMPRODUCT((Artikelstamm!$H$3:$H$306=$A60)*Artikelstamm!$K$3:$K$306*Artikelstamm!$AE$3:$AE$306)</f>
        <v/>
      </c>
      <c r="D60" s="34">
        <f>SUMIF(Artikelstamm!$H$3:$H$306,$A60,Artikelstamm!$U$3:$U$306)</f>
        <v/>
      </c>
    </row>
    <row r="61">
      <c r="A61" s="26" t="inlineStr">
        <is>
          <t>Flur 2</t>
        </is>
      </c>
      <c r="B61" s="33">
        <f>COUNTIF(Artikelstamm!$H$3:$H$306,$A61)</f>
        <v/>
      </c>
      <c r="C61" s="34">
        <f>SUMPRODUCT((Artikelstamm!$H$3:$H$306=$A61)*Artikelstamm!$K$3:$K$306*Artikelstamm!$AE$3:$AE$306)</f>
        <v/>
      </c>
      <c r="D61" s="34">
        <f>SUMIF(Artikelstamm!$H$3:$H$306,$A61,Artikelstamm!$U$3:$U$306)</f>
        <v/>
      </c>
    </row>
    <row r="62">
      <c r="A62" s="26" t="inlineStr">
        <is>
          <t>Galerie</t>
        </is>
      </c>
      <c r="B62" s="33">
        <f>COUNTIF(Artikelstamm!$H$3:$H$306,$A62)</f>
        <v/>
      </c>
      <c r="C62" s="34">
        <f>SUMPRODUCT((Artikelstamm!$H$3:$H$306=$A62)*Artikelstamm!$K$3:$K$306*Artikelstamm!$AE$3:$AE$306)</f>
        <v/>
      </c>
      <c r="D62" s="34">
        <f>SUMIF(Artikelstamm!$H$3:$H$306,$A62,Artikelstamm!$U$3:$U$306)</f>
        <v/>
      </c>
    </row>
    <row r="63">
      <c r="A63" s="26" t="inlineStr">
        <is>
          <t>Garage</t>
        </is>
      </c>
      <c r="B63" s="33">
        <f>COUNTIF(Artikelstamm!$H$3:$H$306,$A63)</f>
        <v/>
      </c>
      <c r="C63" s="34">
        <f>SUMPRODUCT((Artikelstamm!$H$3:$H$306=$A63)*Artikelstamm!$K$3:$K$306*Artikelstamm!$AE$3:$AE$306)</f>
        <v/>
      </c>
      <c r="D63" s="34">
        <f>SUMIF(Artikelstamm!$H$3:$H$306,$A63,Artikelstamm!$U$3:$U$306)</f>
        <v/>
      </c>
    </row>
    <row r="64">
      <c r="A64" s="26" t="inlineStr">
        <is>
          <t>Gartenanlage</t>
        </is>
      </c>
      <c r="B64" s="33">
        <f>COUNTIF(Artikelstamm!$H$3:$H$306,$A64)</f>
        <v/>
      </c>
      <c r="C64" s="34">
        <f>SUMPRODUCT((Artikelstamm!$H$3:$H$306=$A64)*Artikelstamm!$K$3:$K$306*Artikelstamm!$AE$3:$AE$306)</f>
        <v/>
      </c>
      <c r="D64" s="34">
        <f>SUMIF(Artikelstamm!$H$3:$H$306,$A64,Artikelstamm!$U$3:$U$306)</f>
        <v/>
      </c>
    </row>
    <row r="65">
      <c r="A65" s="26" t="inlineStr">
        <is>
          <t>Gruppenraum</t>
        </is>
      </c>
      <c r="B65" s="33">
        <f>COUNTIF(Artikelstamm!$H$3:$H$306,$A65)</f>
        <v/>
      </c>
      <c r="C65" s="34">
        <f>SUMPRODUCT((Artikelstamm!$H$3:$H$306=$A65)*Artikelstamm!$K$3:$K$306*Artikelstamm!$AE$3:$AE$306)</f>
        <v/>
      </c>
      <c r="D65" s="34">
        <f>SUMIF(Artikelstamm!$H$3:$H$306,$A65,Artikelstamm!$U$3:$U$306)</f>
        <v/>
      </c>
    </row>
    <row r="66">
      <c r="A66" s="26" t="inlineStr">
        <is>
          <t>Gruppenraum 2</t>
        </is>
      </c>
      <c r="B66" s="33">
        <f>COUNTIF(Artikelstamm!$H$3:$H$306,$A66)</f>
        <v/>
      </c>
      <c r="C66" s="34">
        <f>SUMPRODUCT((Artikelstamm!$H$3:$H$306=$A66)*Artikelstamm!$K$3:$K$306*Artikelstamm!$AE$3:$AE$306)</f>
        <v/>
      </c>
      <c r="D66" s="34">
        <f>SUMIF(Artikelstamm!$H$3:$H$306,$A66,Artikelstamm!$U$3:$U$306)</f>
        <v/>
      </c>
    </row>
    <row r="67">
      <c r="A67" s="26" t="inlineStr">
        <is>
          <t>Gruppenraum 4</t>
        </is>
      </c>
      <c r="B67" s="33">
        <f>COUNTIF(Artikelstamm!$H$3:$H$306,$A67)</f>
        <v/>
      </c>
      <c r="C67" s="34">
        <f>SUMPRODUCT((Artikelstamm!$H$3:$H$306=$A67)*Artikelstamm!$K$3:$K$306*Artikelstamm!$AE$3:$AE$306)</f>
        <v/>
      </c>
      <c r="D67" s="34">
        <f>SUMIF(Artikelstamm!$H$3:$H$306,$A67,Artikelstamm!$U$3:$U$306)</f>
        <v/>
      </c>
    </row>
    <row r="68">
      <c r="A68" s="26" t="inlineStr">
        <is>
          <t>Gruppenraum 5</t>
        </is>
      </c>
      <c r="B68" s="33">
        <f>COUNTIF(Artikelstamm!$H$3:$H$306,$A68)</f>
        <v/>
      </c>
      <c r="C68" s="34">
        <f>SUMPRODUCT((Artikelstamm!$H$3:$H$306=$A68)*Artikelstamm!$K$3:$K$306*Artikelstamm!$AE$3:$AE$306)</f>
        <v/>
      </c>
      <c r="D68" s="34">
        <f>SUMIF(Artikelstamm!$H$3:$H$306,$A68,Artikelstamm!$U$3:$U$306)</f>
        <v/>
      </c>
    </row>
    <row r="69">
      <c r="A69" s="26" t="inlineStr">
        <is>
          <t>Klassenzimmer</t>
        </is>
      </c>
      <c r="B69" s="33">
        <f>COUNTIF(Artikelstamm!$H$3:$H$306,$A69)</f>
        <v/>
      </c>
      <c r="C69" s="34">
        <f>SUMPRODUCT((Artikelstamm!$H$3:$H$306=$A69)*Artikelstamm!$K$3:$K$306*Artikelstamm!$AE$3:$AE$306)</f>
        <v/>
      </c>
      <c r="D69" s="34">
        <f>SUMIF(Artikelstamm!$H$3:$H$306,$A69,Artikelstamm!$U$3:$U$306)</f>
        <v/>
      </c>
    </row>
    <row r="70">
      <c r="A70" s="26" t="inlineStr">
        <is>
          <t>Küche</t>
        </is>
      </c>
      <c r="B70" s="33">
        <f>COUNTIF(Artikelstamm!$H$3:$H$306,$A70)</f>
        <v/>
      </c>
      <c r="C70" s="34">
        <f>SUMPRODUCT((Artikelstamm!$H$3:$H$306=$A70)*Artikelstamm!$K$3:$K$306*Artikelstamm!$AE$3:$AE$306)</f>
        <v/>
      </c>
      <c r="D70" s="34">
        <f>SUMIF(Artikelstamm!$H$3:$H$306,$A70,Artikelstamm!$U$3:$U$306)</f>
        <v/>
      </c>
    </row>
    <row r="71">
      <c r="A71" s="26" t="inlineStr">
        <is>
          <t>Material / Turnraum</t>
        </is>
      </c>
      <c r="B71" s="33">
        <f>COUNTIF(Artikelstamm!$H$3:$H$306,$A71)</f>
        <v/>
      </c>
      <c r="C71" s="34">
        <f>SUMPRODUCT((Artikelstamm!$H$3:$H$306=$A71)*Artikelstamm!$K$3:$K$306*Artikelstamm!$AE$3:$AE$306)</f>
        <v/>
      </c>
      <c r="D71" s="34">
        <f>SUMIF(Artikelstamm!$H$3:$H$306,$A71,Artikelstamm!$U$3:$U$306)</f>
        <v/>
      </c>
    </row>
    <row r="72">
      <c r="A72" s="26" t="inlineStr">
        <is>
          <t>Personal</t>
        </is>
      </c>
      <c r="B72" s="33">
        <f>COUNTIF(Artikelstamm!$H$3:$H$306,$A72)</f>
        <v/>
      </c>
      <c r="C72" s="34">
        <f>SUMPRODUCT((Artikelstamm!$H$3:$H$306=$A72)*Artikelstamm!$K$3:$K$306*Artikelstamm!$AE$3:$AE$306)</f>
        <v/>
      </c>
      <c r="D72" s="34">
        <f>SUMIF(Artikelstamm!$H$3:$H$306,$A72,Artikelstamm!$U$3:$U$306)</f>
        <v/>
      </c>
    </row>
    <row r="73">
      <c r="A73" s="26" t="inlineStr">
        <is>
          <t>Ruhe- / Schlafraum</t>
        </is>
      </c>
      <c r="B73" s="33">
        <f>COUNTIF(Artikelstamm!$H$3:$H$306,$A73)</f>
        <v/>
      </c>
      <c r="C73" s="34">
        <f>SUMPRODUCT((Artikelstamm!$H$3:$H$306=$A73)*Artikelstamm!$K$3:$K$306*Artikelstamm!$AE$3:$AE$306)</f>
        <v/>
      </c>
      <c r="D73" s="34">
        <f>SUMIF(Artikelstamm!$H$3:$H$306,$A73,Artikelstamm!$U$3:$U$306)</f>
        <v/>
      </c>
    </row>
    <row r="74">
      <c r="A74" s="26" t="inlineStr">
        <is>
          <t>Schlafraum 4</t>
        </is>
      </c>
      <c r="B74" s="33">
        <f>COUNTIF(Artikelstamm!$H$3:$H$306,$A74)</f>
        <v/>
      </c>
      <c r="C74" s="34">
        <f>SUMPRODUCT((Artikelstamm!$H$3:$H$306=$A74)*Artikelstamm!$K$3:$K$306*Artikelstamm!$AE$3:$AE$306)</f>
        <v/>
      </c>
      <c r="D74" s="34">
        <f>SUMIF(Artikelstamm!$H$3:$H$306,$A74,Artikelstamm!$U$3:$U$306)</f>
        <v/>
      </c>
    </row>
    <row r="75">
      <c r="A75" s="26" t="inlineStr">
        <is>
          <t>Schlafraum 5</t>
        </is>
      </c>
      <c r="B75" s="33">
        <f>COUNTIF(Artikelstamm!$H$3:$H$306,$A75)</f>
        <v/>
      </c>
      <c r="C75" s="34">
        <f>SUMPRODUCT((Artikelstamm!$H$3:$H$306=$A75)*Artikelstamm!$K$3:$K$306*Artikelstamm!$AE$3:$AE$306)</f>
        <v/>
      </c>
      <c r="D75" s="34">
        <f>SUMIF(Artikelstamm!$H$3:$H$306,$A75,Artikelstamm!$U$3:$U$306)</f>
        <v/>
      </c>
    </row>
    <row r="76">
      <c r="A76" s="26" t="inlineStr">
        <is>
          <t>Speisesaal</t>
        </is>
      </c>
      <c r="B76" s="33">
        <f>COUNTIF(Artikelstamm!$H$3:$H$306,$A76)</f>
        <v/>
      </c>
      <c r="C76" s="34">
        <f>SUMPRODUCT((Artikelstamm!$H$3:$H$306=$A76)*Artikelstamm!$K$3:$K$306*Artikelstamm!$AE$3:$AE$306)</f>
        <v/>
      </c>
      <c r="D76" s="34">
        <f>SUMIF(Artikelstamm!$H$3:$H$306,$A76,Artikelstamm!$U$3:$U$306)</f>
        <v/>
      </c>
    </row>
    <row r="77">
      <c r="A77" s="26" t="inlineStr">
        <is>
          <t>Terrasse</t>
        </is>
      </c>
      <c r="B77" s="33">
        <f>COUNTIF(Artikelstamm!$H$3:$H$306,$A77)</f>
        <v/>
      </c>
      <c r="C77" s="34">
        <f>SUMPRODUCT((Artikelstamm!$H$3:$H$306=$A77)*Artikelstamm!$K$3:$K$306*Artikelstamm!$AE$3:$AE$306)</f>
        <v/>
      </c>
      <c r="D77" s="34">
        <f>SUMIF(Artikelstamm!$H$3:$H$306,$A77,Artikelstamm!$U$3:$U$306)</f>
        <v/>
      </c>
    </row>
    <row r="78">
      <c r="A78" s="26" t="inlineStr">
        <is>
          <t>Treppenraum 1</t>
        </is>
      </c>
      <c r="B78" s="33">
        <f>COUNTIF(Artikelstamm!$H$3:$H$306,$A78)</f>
        <v/>
      </c>
      <c r="C78" s="34">
        <f>SUMPRODUCT((Artikelstamm!$H$3:$H$306=$A78)*Artikelstamm!$K$3:$K$306*Artikelstamm!$AE$3:$AE$306)</f>
        <v/>
      </c>
      <c r="D78" s="34">
        <f>SUMIF(Artikelstamm!$H$3:$H$306,$A78,Artikelstamm!$U$3:$U$306)</f>
        <v/>
      </c>
    </row>
    <row r="79">
      <c r="A79" s="26" t="inlineStr">
        <is>
          <t>Turnraum</t>
        </is>
      </c>
      <c r="B79" s="33">
        <f>COUNTIF(Artikelstamm!$H$3:$H$306,$A79)</f>
        <v/>
      </c>
      <c r="C79" s="34">
        <f>SUMPRODUCT((Artikelstamm!$H$3:$H$306=$A79)*Artikelstamm!$K$3:$K$306*Artikelstamm!$AE$3:$AE$306)</f>
        <v/>
      </c>
      <c r="D79" s="34">
        <f>SUMIF(Artikelstamm!$H$3:$H$306,$A79,Artikelstamm!$U$3:$U$306)</f>
        <v/>
      </c>
    </row>
    <row r="80">
      <c r="A80" s="26" t="inlineStr">
        <is>
          <t>WC</t>
        </is>
      </c>
      <c r="B80" s="33">
        <f>COUNTIF(Artikelstamm!$H$3:$H$306,$A80)</f>
        <v/>
      </c>
      <c r="C80" s="34">
        <f>SUMPRODUCT((Artikelstamm!$H$3:$H$306=$A80)*Artikelstamm!$K$3:$K$306*Artikelstamm!$AE$3:$AE$306)</f>
        <v/>
      </c>
      <c r="D80" s="34">
        <f>SUMIF(Artikelstamm!$H$3:$H$306,$A80,Artikelstamm!$U$3:$U$306)</f>
        <v/>
      </c>
    </row>
    <row r="81">
      <c r="A81" s="26" t="inlineStr">
        <is>
          <t>WC Personal</t>
        </is>
      </c>
      <c r="B81" s="33">
        <f>COUNTIF(Artikelstamm!$H$3:$H$306,$A81)</f>
        <v/>
      </c>
      <c r="C81" s="34">
        <f>SUMPRODUCT((Artikelstamm!$H$3:$H$306=$A81)*Artikelstamm!$K$3:$K$306*Artikelstamm!$AE$3:$AE$306)</f>
        <v/>
      </c>
      <c r="D81" s="34">
        <f>SUMIF(Artikelstamm!$H$3:$H$306,$A81,Artikelstamm!$U$3:$U$306)</f>
        <v/>
      </c>
    </row>
    <row r="82">
      <c r="A82" s="26" t="inlineStr">
        <is>
          <t>Werkraum</t>
        </is>
      </c>
      <c r="B82" s="33">
        <f>COUNTIF(Artikelstamm!$H$3:$H$306,$A82)</f>
        <v/>
      </c>
      <c r="C82" s="34">
        <f>SUMPRODUCT((Artikelstamm!$H$3:$H$306=$A82)*Artikelstamm!$K$3:$K$306*Artikelstamm!$AE$3:$AE$306)</f>
        <v/>
      </c>
      <c r="D82" s="34">
        <f>SUMIF(Artikelstamm!$H$3:$H$306,$A82,Artikelstamm!$U$3:$U$306)</f>
        <v/>
      </c>
    </row>
    <row r="83">
      <c r="A83" s="28" t="inlineStr">
        <is>
          <t>Summe</t>
        </is>
      </c>
      <c r="B83" s="35">
        <f>SUM(B55:B82)</f>
        <v/>
      </c>
      <c r="C83" s="36">
        <f>SUM(C55:C82)</f>
        <v/>
      </c>
      <c r="D83" s="36">
        <f>SUM(D55:D82)</f>
        <v/>
      </c>
    </row>
    <row r="85">
      <c r="A85" s="25" t="inlineStr">
        <is>
          <t>Nach Verkaufskanal</t>
        </is>
      </c>
    </row>
    <row r="86">
      <c r="A86" s="32" t="inlineStr">
        <is>
          <t>Verkaufskanal</t>
        </is>
      </c>
      <c r="B86" s="32" t="inlineStr">
        <is>
          <t>Positionen</t>
        </is>
      </c>
      <c r="C86" s="32" t="inlineStr">
        <is>
          <t>Umsatz netto</t>
        </is>
      </c>
    </row>
    <row r="87">
      <c r="A87" s="26" t="inlineStr">
        <is>
          <t>Klinik</t>
        </is>
      </c>
      <c r="B87" s="33">
        <f>COUNTIF(Artikelstamm!$AC$3:$AC$306,$A87)</f>
        <v/>
      </c>
      <c r="C87" s="34">
        <f>SUMPRODUCT((Artikelstamm!$AC$3:$AC$306=$A87)*Artikelstamm!$K$3:$K$306*Artikelstamm!$AE$3:$AE$306)</f>
        <v/>
      </c>
    </row>
    <row r="88">
      <c r="A88" s="26" t="inlineStr">
        <is>
          <t>Kleinanzeigen</t>
        </is>
      </c>
      <c r="B88" s="33">
        <f>COUNTIF(Artikelstamm!$AC$3:$AC$306,$A88)</f>
        <v/>
      </c>
      <c r="C88" s="34">
        <f>SUMPRODUCT((Artikelstamm!$AC$3:$AC$306=$A88)*Artikelstamm!$K$3:$K$306*Artikelstamm!$AE$3:$AE$306)</f>
        <v/>
      </c>
    </row>
    <row r="89">
      <c r="A89" s="26" t="inlineStr">
        <is>
          <t>eBay</t>
        </is>
      </c>
      <c r="B89" s="33">
        <f>COUNTIF(Artikelstamm!$AC$3:$AC$306,$A89)</f>
        <v/>
      </c>
      <c r="C89" s="34">
        <f>SUMPRODUCT((Artikelstamm!$AC$3:$AC$306=$A89)*Artikelstamm!$K$3:$K$306*Artikelstamm!$AE$3:$AE$306)</f>
        <v/>
      </c>
    </row>
    <row r="90">
      <c r="A90" s="26" t="inlineStr">
        <is>
          <t>Direkt</t>
        </is>
      </c>
      <c r="B90" s="33">
        <f>COUNTIF(Artikelstamm!$AC$3:$AC$306,$A90)</f>
        <v/>
      </c>
      <c r="C90" s="34">
        <f>SUMPRODUCT((Artikelstamm!$AC$3:$AC$306=$A90)*Artikelstamm!$K$3:$K$306*Artikelstamm!$AE$3:$AE$306)</f>
        <v/>
      </c>
    </row>
    <row r="91">
      <c r="A91" s="26" t="inlineStr">
        <is>
          <t>Händler</t>
        </is>
      </c>
      <c r="B91" s="33">
        <f>COUNTIF(Artikelstamm!$AC$3:$AC$306,$A91)</f>
        <v/>
      </c>
      <c r="C91" s="34">
        <f>SUMPRODUCT((Artikelstamm!$AC$3:$AC$306=$A91)*Artikelstamm!$K$3:$K$306*Artikelstamm!$AE$3:$AE$306)</f>
        <v/>
      </c>
    </row>
    <row r="92">
      <c r="A92" s="26" t="inlineStr">
        <is>
          <t>Verkaufstag</t>
        </is>
      </c>
      <c r="B92" s="33">
        <f>COUNTIF(Artikelstamm!$AC$3:$AC$306,$A92)</f>
        <v/>
      </c>
      <c r="C92" s="34">
        <f>SUMPRODUCT((Artikelstamm!$AC$3:$AC$306=$A92)*Artikelstamm!$K$3:$K$306*Artikelstamm!$AE$3:$AE$306)</f>
        <v/>
      </c>
    </row>
    <row r="93">
      <c r="A93" s="28" t="inlineStr">
        <is>
          <t>Summe</t>
        </is>
      </c>
      <c r="B93" s="35">
        <f>SUM(B87:B92)</f>
        <v/>
      </c>
      <c r="C93" s="36">
        <f>SUM(C87:C92)</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2026-09-23T07:29:13Z</dcterms:created>
  <dcterms:modified xmlns:dcterms="http://purl.org/dc/terms/" xmlns:xsi="http://www.w3.org/2001/XMLSchema-instance" xsi:type="dcterms:W3CDTF">2026-09-23T07:29:14Z</dcterms:modified>
</cp:coreProperties>
</file>