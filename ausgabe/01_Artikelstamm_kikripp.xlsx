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'Artikelstamm'!$A$2:$AN$373</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7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gebraucht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gebraucht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gebraucht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gebraucht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sheetData>
  <autoFilter ref="A2:AN373"/>
  <mergeCells count="7">
    <mergeCell ref="AI1:AL1"/>
    <mergeCell ref="V1:AD1"/>
    <mergeCell ref="S1:U1"/>
    <mergeCell ref="Q1:R1"/>
    <mergeCell ref="A1:P1"/>
    <mergeCell ref="AE1:AH1"/>
    <mergeCell ref="AM1:AN1"/>
  </mergeCells>
  <conditionalFormatting sqref="Z3:Z373">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73">
    <cfRule type="cellIs" priority="4" operator="equal" dxfId="3">
      <formula>"A"</formula>
    </cfRule>
  </conditionalFormatting>
  <conditionalFormatting sqref="P3:P373">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COUNTA(Artikelstamm!$A$3:$A$373)</f>
        <v/>
      </c>
    </row>
    <row r="6">
      <c r="A6" s="26" t="inlineStr">
        <is>
          <t>davon verfügbar</t>
        </is>
      </c>
      <c r="B6" s="27">
        <f>COUNTIF(Artikelstamm!$Z$3:$Z$373,"verfügbar")</f>
        <v/>
      </c>
    </row>
    <row r="7">
      <c r="A7" s="26" t="inlineStr">
        <is>
          <t>davon reserviert</t>
        </is>
      </c>
      <c r="B7" s="27">
        <f>COUNTIF(Artikelstamm!$Z$3:$Z$373,"reserviert")</f>
        <v/>
      </c>
    </row>
    <row r="8">
      <c r="A8" s="26" t="inlineStr">
        <is>
          <t>davon teilverkauft</t>
        </is>
      </c>
      <c r="B8" s="27">
        <f>COUNTIF(Artikelstamm!$Z$3:$Z$373,"teilverkauft")</f>
        <v/>
      </c>
    </row>
    <row r="9">
      <c r="A9" s="26" t="inlineStr">
        <is>
          <t>davon verkauft</t>
        </is>
      </c>
      <c r="B9" s="27">
        <f>COUNTIF(Artikelstamm!$Z$3:$Z$373,"verkauft")</f>
        <v/>
      </c>
    </row>
    <row r="10">
      <c r="A10" s="26" t="inlineStr">
        <is>
          <t>Einheiten noch im Bestand</t>
        </is>
      </c>
      <c r="B10" s="27">
        <f>SUM(Artikelstamm!$L$3:$L$373)</f>
        <v/>
      </c>
    </row>
    <row r="11">
      <c r="A11" s="28" t="inlineStr">
        <is>
          <t>Restbestand zu Wunschpreisen (netto)</t>
        </is>
      </c>
      <c r="B11" s="29">
        <f>SUM(Artikelstamm!$U$3:$U$373)</f>
        <v/>
      </c>
    </row>
    <row r="12">
      <c r="A12" s="25" t="inlineStr">
        <is>
          <t>Erlöse</t>
        </is>
      </c>
    </row>
    <row r="13">
      <c r="A13" s="26" t="inlineStr">
        <is>
          <t>Verkaufte Einheiten</t>
        </is>
      </c>
      <c r="B13" s="27">
        <f>SUM(Artikelstamm!$K$3:$K$373)</f>
        <v/>
      </c>
    </row>
    <row r="14">
      <c r="A14" s="26" t="inlineStr">
        <is>
          <t>Umsatz netto</t>
        </is>
      </c>
      <c r="B14" s="30">
        <f>SUMPRODUCT(Artikelstamm!$K$3:$K$373,Artikelstamm!$AE$3:$AE$373)</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SUMPRODUCT((Artikelstamm!$AJ$3:$AJ$373="bezahlt")*Artikelstamm!$K$3:$K$373*Artikelstamm!$AE$3:$AE$373)</f>
        <v/>
      </c>
    </row>
    <row r="18">
      <c r="A18" s="26" t="inlineStr">
        <is>
          <t>noch offen (netto)</t>
        </is>
      </c>
      <c r="B18" s="30">
        <f>B14-B17</f>
        <v/>
      </c>
    </row>
    <row r="20">
      <c r="A20" s="25" t="inlineStr">
        <is>
          <t>To-do</t>
        </is>
      </c>
    </row>
    <row r="21">
      <c r="A21" s="28" t="inlineStr">
        <is>
          <t>Rechnungen noch zu schreiben</t>
        </is>
      </c>
      <c r="B21" s="31">
        <f>COUNTIFS(Artikelstamm!$Z$3:$Z$373,"*verkauft",Artikelstamm!$AI$3:$AI$373,"")</f>
        <v/>
      </c>
    </row>
    <row r="22">
      <c r="A22" s="28" t="inlineStr">
        <is>
          <t>Rechnungen offen (unbezahlt)</t>
        </is>
      </c>
      <c r="B22" s="31">
        <f>COUNTIFS(Artikelstamm!$Z$3:$Z$373,"*verkauft",Artikelstamm!$AJ$3:$AJ$373,"offen")</f>
        <v/>
      </c>
    </row>
    <row r="23">
      <c r="A23" s="26" t="inlineStr">
        <is>
          <t>Reservierungen ohne Abholtermin</t>
        </is>
      </c>
      <c r="B23" s="27">
        <f>COUNTIFS(Artikelstamm!$Z$3:$Z$373,"reserviert",Artikelstamm!$AL$3:$AL$373,"")</f>
        <v/>
      </c>
    </row>
    <row r="24">
      <c r="A24" s="26" t="inlineStr">
        <is>
          <t>Artikel ohne Preis</t>
        </is>
      </c>
      <c r="B24" s="27">
        <f>COUNTIFS(Artikelstamm!$S$3:$S$373,"")</f>
        <v/>
      </c>
    </row>
    <row r="25">
      <c r="A25" s="26" t="inlineStr">
        <is>
          <t>Artikel ohne Maßangabe</t>
        </is>
      </c>
      <c r="B25" s="27">
        <f>COUNTIFS(Artikelstamm!$O$3:$O$373,"")</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COUNTIF(Artikelstamm!$I$3:$I$373,$A30)</f>
        <v/>
      </c>
      <c r="C30" s="34">
        <f>SUMPRODUCT((Artikelstamm!$I$3:$I$373=$A30)*Artikelstamm!$K$3:$K$373*Artikelstamm!$AE$3:$AE$373)</f>
        <v/>
      </c>
      <c r="D30" s="34">
        <f>SUMIF(Artikelstamm!$I$3:$I$373,$A30,Artikelstamm!$U$3:$U$373)</f>
        <v/>
      </c>
    </row>
    <row r="31">
      <c r="A31" s="26" t="inlineStr">
        <is>
          <t>B</t>
        </is>
      </c>
      <c r="B31" s="33">
        <f>COUNTIF(Artikelstamm!$I$3:$I$373,$A31)</f>
        <v/>
      </c>
      <c r="C31" s="34">
        <f>SUMPRODUCT((Artikelstamm!$I$3:$I$373=$A31)*Artikelstamm!$K$3:$K$373*Artikelstamm!$AE$3:$AE$373)</f>
        <v/>
      </c>
      <c r="D31" s="34">
        <f>SUMIF(Artikelstamm!$I$3:$I$373,$A31,Artikelstamm!$U$3:$U$373)</f>
        <v/>
      </c>
    </row>
    <row r="32">
      <c r="A32" s="26" t="inlineStr">
        <is>
          <t>C</t>
        </is>
      </c>
      <c r="B32" s="33">
        <f>COUNTIF(Artikelstamm!$I$3:$I$373,$A32)</f>
        <v/>
      </c>
      <c r="C32" s="34">
        <f>SUMPRODUCT((Artikelstamm!$I$3:$I$373=$A32)*Artikelstamm!$K$3:$K$373*Artikelstamm!$AE$3:$AE$373)</f>
        <v/>
      </c>
      <c r="D32" s="34">
        <f>SUMIF(Artikelstamm!$I$3:$I$373,$A32,Artikelstamm!$U$3:$U$373)</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COUNTIF(Artikelstamm!$G$3:$G$373,$A37)</f>
        <v/>
      </c>
      <c r="C37" s="34">
        <f>SUMPRODUCT((Artikelstamm!$G$3:$G$373=$A37)*Artikelstamm!$K$3:$K$373*Artikelstamm!$AE$3:$AE$373)</f>
        <v/>
      </c>
      <c r="D37" s="34">
        <f>SUMIF(Artikelstamm!$G$3:$G$373,$A37,Artikelstamm!$U$3:$U$373)</f>
        <v/>
      </c>
    </row>
    <row r="38">
      <c r="A38" s="26" t="inlineStr">
        <is>
          <t>Deko</t>
        </is>
      </c>
      <c r="B38" s="33">
        <f>COUNTIF(Artikelstamm!$G$3:$G$373,$A38)</f>
        <v/>
      </c>
      <c r="C38" s="34">
        <f>SUMPRODUCT((Artikelstamm!$G$3:$G$373=$A38)*Artikelstamm!$K$3:$K$373*Artikelstamm!$AE$3:$AE$373)</f>
        <v/>
      </c>
      <c r="D38" s="34">
        <f>SUMIF(Artikelstamm!$G$3:$G$373,$A38,Artikelstamm!$U$3:$U$373)</f>
        <v/>
      </c>
    </row>
    <row r="39">
      <c r="A39" s="26" t="inlineStr">
        <is>
          <t>Designmöbel</t>
        </is>
      </c>
      <c r="B39" s="33">
        <f>COUNTIF(Artikelstamm!$G$3:$G$373,$A39)</f>
        <v/>
      </c>
      <c r="C39" s="34">
        <f>SUMPRODUCT((Artikelstamm!$G$3:$G$373=$A39)*Artikelstamm!$K$3:$K$373*Artikelstamm!$AE$3:$AE$373)</f>
        <v/>
      </c>
      <c r="D39" s="34">
        <f>SUMIF(Artikelstamm!$G$3:$G$373,$A39,Artikelstamm!$U$3:$U$373)</f>
        <v/>
      </c>
    </row>
    <row r="40">
      <c r="A40" s="26" t="inlineStr">
        <is>
          <t>Garten</t>
        </is>
      </c>
      <c r="B40" s="33">
        <f>COUNTIF(Artikelstamm!$G$3:$G$373,$A40)</f>
        <v/>
      </c>
      <c r="C40" s="34">
        <f>SUMPRODUCT((Artikelstamm!$G$3:$G$373=$A40)*Artikelstamm!$K$3:$K$373*Artikelstamm!$AE$3:$AE$373)</f>
        <v/>
      </c>
      <c r="D40" s="34">
        <f>SUMIF(Artikelstamm!$G$3:$G$373,$A40,Artikelstamm!$U$3:$U$373)</f>
        <v/>
      </c>
    </row>
    <row r="41">
      <c r="A41" s="26" t="inlineStr">
        <is>
          <t>Kita-Ausstattung</t>
        </is>
      </c>
      <c r="B41" s="33">
        <f>COUNTIF(Artikelstamm!$G$3:$G$373,$A41)</f>
        <v/>
      </c>
      <c r="C41" s="34">
        <f>SUMPRODUCT((Artikelstamm!$G$3:$G$373=$A41)*Artikelstamm!$K$3:$K$373*Artikelstamm!$AE$3:$AE$373)</f>
        <v/>
      </c>
      <c r="D41" s="34">
        <f>SUMIF(Artikelstamm!$G$3:$G$373,$A41,Artikelstamm!$U$3:$U$373)</f>
        <v/>
      </c>
    </row>
    <row r="42">
      <c r="A42" s="26" t="inlineStr">
        <is>
          <t>Kunst</t>
        </is>
      </c>
      <c r="B42" s="33">
        <f>COUNTIF(Artikelstamm!$G$3:$G$373,$A42)</f>
        <v/>
      </c>
      <c r="C42" s="34">
        <f>SUMPRODUCT((Artikelstamm!$G$3:$G$373=$A42)*Artikelstamm!$K$3:$K$373*Artikelstamm!$AE$3:$AE$373)</f>
        <v/>
      </c>
      <c r="D42" s="34">
        <f>SUMIF(Artikelstamm!$G$3:$G$373,$A42,Artikelstamm!$U$3:$U$373)</f>
        <v/>
      </c>
    </row>
    <row r="43">
      <c r="A43" s="26" t="inlineStr">
        <is>
          <t>Leuchten</t>
        </is>
      </c>
      <c r="B43" s="33">
        <f>COUNTIF(Artikelstamm!$G$3:$G$373,$A43)</f>
        <v/>
      </c>
      <c r="C43" s="34">
        <f>SUMPRODUCT((Artikelstamm!$G$3:$G$373=$A43)*Artikelstamm!$K$3:$K$373*Artikelstamm!$AE$3:$AE$373)</f>
        <v/>
      </c>
      <c r="D43" s="34">
        <f>SUMIF(Artikelstamm!$G$3:$G$373,$A43,Artikelstamm!$U$3:$U$373)</f>
        <v/>
      </c>
    </row>
    <row r="44">
      <c r="A44" s="26" t="inlineStr">
        <is>
          <t>Möbel</t>
        </is>
      </c>
      <c r="B44" s="33">
        <f>COUNTIF(Artikelstamm!$G$3:$G$373,$A44)</f>
        <v/>
      </c>
      <c r="C44" s="34">
        <f>SUMPRODUCT((Artikelstamm!$G$3:$G$373=$A44)*Artikelstamm!$K$3:$K$373*Artikelstamm!$AE$3:$AE$373)</f>
        <v/>
      </c>
      <c r="D44" s="34">
        <f>SUMIF(Artikelstamm!$G$3:$G$373,$A44,Artikelstamm!$U$3:$U$373)</f>
        <v/>
      </c>
    </row>
    <row r="45">
      <c r="A45" s="26" t="inlineStr">
        <is>
          <t>Pflanzen</t>
        </is>
      </c>
      <c r="B45" s="33">
        <f>COUNTIF(Artikelstamm!$G$3:$G$373,$A45)</f>
        <v/>
      </c>
      <c r="C45" s="34">
        <f>SUMPRODUCT((Artikelstamm!$G$3:$G$373=$A45)*Artikelstamm!$K$3:$K$373*Artikelstamm!$AE$3:$AE$373)</f>
        <v/>
      </c>
      <c r="D45" s="34">
        <f>SUMIF(Artikelstamm!$G$3:$G$373,$A45,Artikelstamm!$U$3:$U$373)</f>
        <v/>
      </c>
    </row>
    <row r="46">
      <c r="A46" s="26" t="inlineStr">
        <is>
          <t>Sonstiges</t>
        </is>
      </c>
      <c r="B46" s="33">
        <f>COUNTIF(Artikelstamm!$G$3:$G$373,$A46)</f>
        <v/>
      </c>
      <c r="C46" s="34">
        <f>SUMPRODUCT((Artikelstamm!$G$3:$G$373=$A46)*Artikelstamm!$K$3:$K$373*Artikelstamm!$AE$3:$AE$373)</f>
        <v/>
      </c>
      <c r="D46" s="34">
        <f>SUMIF(Artikelstamm!$G$3:$G$373,$A46,Artikelstamm!$U$3:$U$373)</f>
        <v/>
      </c>
    </row>
    <row r="47">
      <c r="A47" s="26" t="inlineStr">
        <is>
          <t>Technik</t>
        </is>
      </c>
      <c r="B47" s="33">
        <f>COUNTIF(Artikelstamm!$G$3:$G$373,$A47)</f>
        <v/>
      </c>
      <c r="C47" s="34">
        <f>SUMPRODUCT((Artikelstamm!$G$3:$G$373=$A47)*Artikelstamm!$K$3:$K$373*Artikelstamm!$AE$3:$AE$373)</f>
        <v/>
      </c>
      <c r="D47" s="34">
        <f>SUMIF(Artikelstamm!$G$3:$G$373,$A47,Artikelstamm!$U$3:$U$373)</f>
        <v/>
      </c>
    </row>
    <row r="48">
      <c r="A48" s="26" t="inlineStr">
        <is>
          <t>Textilien</t>
        </is>
      </c>
      <c r="B48" s="33">
        <f>COUNTIF(Artikelstamm!$G$3:$G$373,$A48)</f>
        <v/>
      </c>
      <c r="C48" s="34">
        <f>SUMPRODUCT((Artikelstamm!$G$3:$G$373=$A48)*Artikelstamm!$K$3:$K$373*Artikelstamm!$AE$3:$AE$373)</f>
        <v/>
      </c>
      <c r="D48" s="34">
        <f>SUMIF(Artikelstamm!$G$3:$G$373,$A48,Artikelstamm!$U$3:$U$373)</f>
        <v/>
      </c>
    </row>
    <row r="49">
      <c r="A49" s="26" t="inlineStr">
        <is>
          <t>Uhren</t>
        </is>
      </c>
      <c r="B49" s="33">
        <f>COUNTIF(Artikelstamm!$G$3:$G$373,$A49)</f>
        <v/>
      </c>
      <c r="C49" s="34">
        <f>SUMPRODUCT((Artikelstamm!$G$3:$G$373=$A49)*Artikelstamm!$K$3:$K$373*Artikelstamm!$AE$3:$AE$373)</f>
        <v/>
      </c>
      <c r="D49" s="34">
        <f>SUMIF(Artikelstamm!$G$3:$G$373,$A49,Artikelstamm!$U$3:$U$373)</f>
        <v/>
      </c>
    </row>
    <row r="50">
      <c r="A50" s="26" t="inlineStr">
        <is>
          <t>Verbrauchsmaterial</t>
        </is>
      </c>
      <c r="B50" s="33">
        <f>COUNTIF(Artikelstamm!$G$3:$G$373,$A50)</f>
        <v/>
      </c>
      <c r="C50" s="34">
        <f>SUMPRODUCT((Artikelstamm!$G$3:$G$373=$A50)*Artikelstamm!$K$3:$K$373*Artikelstamm!$AE$3:$AE$373)</f>
        <v/>
      </c>
      <c r="D50" s="34">
        <f>SUMIF(Artikelstamm!$G$3:$G$373,$A50,Artikelstamm!$U$3:$U$373)</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COUNTIF(Artikelstamm!$H$3:$H$373,$A55)</f>
        <v/>
      </c>
      <c r="C55" s="34">
        <f>SUMPRODUCT((Artikelstamm!$H$3:$H$373=$A55)*Artikelstamm!$K$3:$K$373*Artikelstamm!$AE$3:$AE$373)</f>
        <v/>
      </c>
      <c r="D55" s="34">
        <f>SUMIF(Artikelstamm!$H$3:$H$373,$A55,Artikelstamm!$U$3:$U$373)</f>
        <v/>
      </c>
    </row>
    <row r="56">
      <c r="A56" s="26" t="inlineStr">
        <is>
          <t>Büro</t>
        </is>
      </c>
      <c r="B56" s="33">
        <f>COUNTIF(Artikelstamm!$H$3:$H$373,$A56)</f>
        <v/>
      </c>
      <c r="C56" s="34">
        <f>SUMPRODUCT((Artikelstamm!$H$3:$H$373=$A56)*Artikelstamm!$K$3:$K$373*Artikelstamm!$AE$3:$AE$373)</f>
        <v/>
      </c>
      <c r="D56" s="34">
        <f>SUMIF(Artikelstamm!$H$3:$H$373,$A56,Artikelstamm!$U$3:$U$373)</f>
        <v/>
      </c>
    </row>
    <row r="57">
      <c r="A57" s="26" t="inlineStr">
        <is>
          <t>Büro / Besprechung</t>
        </is>
      </c>
      <c r="B57" s="33">
        <f>COUNTIF(Artikelstamm!$H$3:$H$373,$A57)</f>
        <v/>
      </c>
      <c r="C57" s="34">
        <f>SUMPRODUCT((Artikelstamm!$H$3:$H$373=$A57)*Artikelstamm!$K$3:$K$373*Artikelstamm!$AE$3:$AE$373)</f>
        <v/>
      </c>
      <c r="D57" s="34">
        <f>SUMIF(Artikelstamm!$H$3:$H$373,$A57,Artikelstamm!$U$3:$U$373)</f>
        <v/>
      </c>
    </row>
    <row r="58">
      <c r="A58" s="26" t="inlineStr">
        <is>
          <t>Dachterrasse</t>
        </is>
      </c>
      <c r="B58" s="33">
        <f>COUNTIF(Artikelstamm!$H$3:$H$373,$A58)</f>
        <v/>
      </c>
      <c r="C58" s="34">
        <f>SUMPRODUCT((Artikelstamm!$H$3:$H$373=$A58)*Artikelstamm!$K$3:$K$373*Artikelstamm!$AE$3:$AE$373)</f>
        <v/>
      </c>
      <c r="D58" s="34">
        <f>SUMIF(Artikelstamm!$H$3:$H$373,$A58,Artikelstamm!$U$3:$U$373)</f>
        <v/>
      </c>
    </row>
    <row r="59">
      <c r="A59" s="26" t="inlineStr">
        <is>
          <t>Flur</t>
        </is>
      </c>
      <c r="B59" s="33">
        <f>COUNTIF(Artikelstamm!$H$3:$H$373,$A59)</f>
        <v/>
      </c>
      <c r="C59" s="34">
        <f>SUMPRODUCT((Artikelstamm!$H$3:$H$373=$A59)*Artikelstamm!$K$3:$K$373*Artikelstamm!$AE$3:$AE$373)</f>
        <v/>
      </c>
      <c r="D59" s="34">
        <f>SUMIF(Artikelstamm!$H$3:$H$373,$A59,Artikelstamm!$U$3:$U$373)</f>
        <v/>
      </c>
    </row>
    <row r="60">
      <c r="A60" s="26" t="inlineStr">
        <is>
          <t>Flur 1</t>
        </is>
      </c>
      <c r="B60" s="33">
        <f>COUNTIF(Artikelstamm!$H$3:$H$373,$A60)</f>
        <v/>
      </c>
      <c r="C60" s="34">
        <f>SUMPRODUCT((Artikelstamm!$H$3:$H$373=$A60)*Artikelstamm!$K$3:$K$373*Artikelstamm!$AE$3:$AE$373)</f>
        <v/>
      </c>
      <c r="D60" s="34">
        <f>SUMIF(Artikelstamm!$H$3:$H$373,$A60,Artikelstamm!$U$3:$U$373)</f>
        <v/>
      </c>
    </row>
    <row r="61">
      <c r="A61" s="26" t="inlineStr">
        <is>
          <t>Flur 2</t>
        </is>
      </c>
      <c r="B61" s="33">
        <f>COUNTIF(Artikelstamm!$H$3:$H$373,$A61)</f>
        <v/>
      </c>
      <c r="C61" s="34">
        <f>SUMPRODUCT((Artikelstamm!$H$3:$H$373=$A61)*Artikelstamm!$K$3:$K$373*Artikelstamm!$AE$3:$AE$373)</f>
        <v/>
      </c>
      <c r="D61" s="34">
        <f>SUMIF(Artikelstamm!$H$3:$H$373,$A61,Artikelstamm!$U$3:$U$373)</f>
        <v/>
      </c>
    </row>
    <row r="62">
      <c r="A62" s="26" t="inlineStr">
        <is>
          <t>Flur 3</t>
        </is>
      </c>
      <c r="B62" s="33">
        <f>COUNTIF(Artikelstamm!$H$3:$H$373,$A62)</f>
        <v/>
      </c>
      <c r="C62" s="34">
        <f>SUMPRODUCT((Artikelstamm!$H$3:$H$373=$A62)*Artikelstamm!$K$3:$K$373*Artikelstamm!$AE$3:$AE$373)</f>
        <v/>
      </c>
      <c r="D62" s="34">
        <f>SUMIF(Artikelstamm!$H$3:$H$373,$A62,Artikelstamm!$U$3:$U$373)</f>
        <v/>
      </c>
    </row>
    <row r="63">
      <c r="A63" s="26" t="inlineStr">
        <is>
          <t>Galerie</t>
        </is>
      </c>
      <c r="B63" s="33">
        <f>COUNTIF(Artikelstamm!$H$3:$H$373,$A63)</f>
        <v/>
      </c>
      <c r="C63" s="34">
        <f>SUMPRODUCT((Artikelstamm!$H$3:$H$373=$A63)*Artikelstamm!$K$3:$K$373*Artikelstamm!$AE$3:$AE$373)</f>
        <v/>
      </c>
      <c r="D63" s="34">
        <f>SUMIF(Artikelstamm!$H$3:$H$373,$A63,Artikelstamm!$U$3:$U$373)</f>
        <v/>
      </c>
    </row>
    <row r="64">
      <c r="A64" s="26" t="inlineStr">
        <is>
          <t>Garage</t>
        </is>
      </c>
      <c r="B64" s="33">
        <f>COUNTIF(Artikelstamm!$H$3:$H$373,$A64)</f>
        <v/>
      </c>
      <c r="C64" s="34">
        <f>SUMPRODUCT((Artikelstamm!$H$3:$H$373=$A64)*Artikelstamm!$K$3:$K$373*Artikelstamm!$AE$3:$AE$373)</f>
        <v/>
      </c>
      <c r="D64" s="34">
        <f>SUMIF(Artikelstamm!$H$3:$H$373,$A64,Artikelstamm!$U$3:$U$373)</f>
        <v/>
      </c>
    </row>
    <row r="65">
      <c r="A65" s="26" t="inlineStr">
        <is>
          <t>Gartenanlage</t>
        </is>
      </c>
      <c r="B65" s="33">
        <f>COUNTIF(Artikelstamm!$H$3:$H$373,$A65)</f>
        <v/>
      </c>
      <c r="C65" s="34">
        <f>SUMPRODUCT((Artikelstamm!$H$3:$H$373=$A65)*Artikelstamm!$K$3:$K$373*Artikelstamm!$AE$3:$AE$373)</f>
        <v/>
      </c>
      <c r="D65" s="34">
        <f>SUMIF(Artikelstamm!$H$3:$H$373,$A65,Artikelstamm!$U$3:$U$373)</f>
        <v/>
      </c>
    </row>
    <row r="66">
      <c r="A66" s="26" t="inlineStr">
        <is>
          <t>Gruppenraum</t>
        </is>
      </c>
      <c r="B66" s="33">
        <f>COUNTIF(Artikelstamm!$H$3:$H$373,$A66)</f>
        <v/>
      </c>
      <c r="C66" s="34">
        <f>SUMPRODUCT((Artikelstamm!$H$3:$H$373=$A66)*Artikelstamm!$K$3:$K$373*Artikelstamm!$AE$3:$AE$373)</f>
        <v/>
      </c>
      <c r="D66" s="34">
        <f>SUMIF(Artikelstamm!$H$3:$H$373,$A66,Artikelstamm!$U$3:$U$373)</f>
        <v/>
      </c>
    </row>
    <row r="67">
      <c r="A67" s="26" t="inlineStr">
        <is>
          <t>Gruppenraum 2</t>
        </is>
      </c>
      <c r="B67" s="33">
        <f>COUNTIF(Artikelstamm!$H$3:$H$373,$A67)</f>
        <v/>
      </c>
      <c r="C67" s="34">
        <f>SUMPRODUCT((Artikelstamm!$H$3:$H$373=$A67)*Artikelstamm!$K$3:$K$373*Artikelstamm!$AE$3:$AE$373)</f>
        <v/>
      </c>
      <c r="D67" s="34">
        <f>SUMIF(Artikelstamm!$H$3:$H$373,$A67,Artikelstamm!$U$3:$U$373)</f>
        <v/>
      </c>
    </row>
    <row r="68">
      <c r="A68" s="26" t="inlineStr">
        <is>
          <t>Gruppenraum 4</t>
        </is>
      </c>
      <c r="B68" s="33">
        <f>COUNTIF(Artikelstamm!$H$3:$H$373,$A68)</f>
        <v/>
      </c>
      <c r="C68" s="34">
        <f>SUMPRODUCT((Artikelstamm!$H$3:$H$373=$A68)*Artikelstamm!$K$3:$K$373*Artikelstamm!$AE$3:$AE$373)</f>
        <v/>
      </c>
      <c r="D68" s="34">
        <f>SUMIF(Artikelstamm!$H$3:$H$373,$A68,Artikelstamm!$U$3:$U$373)</f>
        <v/>
      </c>
    </row>
    <row r="69">
      <c r="A69" s="26" t="inlineStr">
        <is>
          <t>Gruppenraum 5</t>
        </is>
      </c>
      <c r="B69" s="33">
        <f>COUNTIF(Artikelstamm!$H$3:$H$373,$A69)</f>
        <v/>
      </c>
      <c r="C69" s="34">
        <f>SUMPRODUCT((Artikelstamm!$H$3:$H$373=$A69)*Artikelstamm!$K$3:$K$373*Artikelstamm!$AE$3:$AE$373)</f>
        <v/>
      </c>
      <c r="D69" s="34">
        <f>SUMIF(Artikelstamm!$H$3:$H$373,$A69,Artikelstamm!$U$3:$U$373)</f>
        <v/>
      </c>
    </row>
    <row r="70">
      <c r="A70" s="26" t="inlineStr">
        <is>
          <t>Klassenzimmer</t>
        </is>
      </c>
      <c r="B70" s="33">
        <f>COUNTIF(Artikelstamm!$H$3:$H$373,$A70)</f>
        <v/>
      </c>
      <c r="C70" s="34">
        <f>SUMPRODUCT((Artikelstamm!$H$3:$H$373=$A70)*Artikelstamm!$K$3:$K$373*Artikelstamm!$AE$3:$AE$373)</f>
        <v/>
      </c>
      <c r="D70" s="34">
        <f>SUMIF(Artikelstamm!$H$3:$H$373,$A70,Artikelstamm!$U$3:$U$373)</f>
        <v/>
      </c>
    </row>
    <row r="71">
      <c r="A71" s="26" t="inlineStr">
        <is>
          <t>Küche</t>
        </is>
      </c>
      <c r="B71" s="33">
        <f>COUNTIF(Artikelstamm!$H$3:$H$373,$A71)</f>
        <v/>
      </c>
      <c r="C71" s="34">
        <f>SUMPRODUCT((Artikelstamm!$H$3:$H$373=$A71)*Artikelstamm!$K$3:$K$373*Artikelstamm!$AE$3:$AE$373)</f>
        <v/>
      </c>
      <c r="D71" s="34">
        <f>SUMIF(Artikelstamm!$H$3:$H$373,$A71,Artikelstamm!$U$3:$U$373)</f>
        <v/>
      </c>
    </row>
    <row r="72">
      <c r="A72" s="26" t="inlineStr">
        <is>
          <t>Küche / Essen</t>
        </is>
      </c>
      <c r="B72" s="33">
        <f>COUNTIF(Artikelstamm!$H$3:$H$373,$A72)</f>
        <v/>
      </c>
      <c r="C72" s="34">
        <f>SUMPRODUCT((Artikelstamm!$H$3:$H$373=$A72)*Artikelstamm!$K$3:$K$373*Artikelstamm!$AE$3:$AE$373)</f>
        <v/>
      </c>
      <c r="D72" s="34">
        <f>SUMIF(Artikelstamm!$H$3:$H$373,$A72,Artikelstamm!$U$3:$U$373)</f>
        <v/>
      </c>
    </row>
    <row r="73">
      <c r="A73" s="26" t="inlineStr">
        <is>
          <t>Material / Turnraum</t>
        </is>
      </c>
      <c r="B73" s="33">
        <f>COUNTIF(Artikelstamm!$H$3:$H$373,$A73)</f>
        <v/>
      </c>
      <c r="C73" s="34">
        <f>SUMPRODUCT((Artikelstamm!$H$3:$H$373=$A73)*Artikelstamm!$K$3:$K$373*Artikelstamm!$AE$3:$AE$373)</f>
        <v/>
      </c>
      <c r="D73" s="34">
        <f>SUMIF(Artikelstamm!$H$3:$H$373,$A73,Artikelstamm!$U$3:$U$373)</f>
        <v/>
      </c>
    </row>
    <row r="74">
      <c r="A74" s="26" t="inlineStr">
        <is>
          <t>Personal</t>
        </is>
      </c>
      <c r="B74" s="33">
        <f>COUNTIF(Artikelstamm!$H$3:$H$373,$A74)</f>
        <v/>
      </c>
      <c r="C74" s="34">
        <f>SUMPRODUCT((Artikelstamm!$H$3:$H$373=$A74)*Artikelstamm!$K$3:$K$373*Artikelstamm!$AE$3:$AE$373)</f>
        <v/>
      </c>
      <c r="D74" s="34">
        <f>SUMIF(Artikelstamm!$H$3:$H$373,$A74,Artikelstamm!$U$3:$U$373)</f>
        <v/>
      </c>
    </row>
    <row r="75">
      <c r="A75" s="26" t="inlineStr">
        <is>
          <t>Ruhe- / Schlafraum</t>
        </is>
      </c>
      <c r="B75" s="33">
        <f>COUNTIF(Artikelstamm!$H$3:$H$373,$A75)</f>
        <v/>
      </c>
      <c r="C75" s="34">
        <f>SUMPRODUCT((Artikelstamm!$H$3:$H$373=$A75)*Artikelstamm!$K$3:$K$373*Artikelstamm!$AE$3:$AE$373)</f>
        <v/>
      </c>
      <c r="D75" s="34">
        <f>SUMIF(Artikelstamm!$H$3:$H$373,$A75,Artikelstamm!$U$3:$U$373)</f>
        <v/>
      </c>
    </row>
    <row r="76">
      <c r="A76" s="26" t="inlineStr">
        <is>
          <t>Schlafraum</t>
        </is>
      </c>
      <c r="B76" s="33">
        <f>COUNTIF(Artikelstamm!$H$3:$H$373,$A76)</f>
        <v/>
      </c>
      <c r="C76" s="34">
        <f>SUMPRODUCT((Artikelstamm!$H$3:$H$373=$A76)*Artikelstamm!$K$3:$K$373*Artikelstamm!$AE$3:$AE$373)</f>
        <v/>
      </c>
      <c r="D76" s="34">
        <f>SUMIF(Artikelstamm!$H$3:$H$373,$A76,Artikelstamm!$U$3:$U$373)</f>
        <v/>
      </c>
    </row>
    <row r="77">
      <c r="A77" s="26" t="inlineStr">
        <is>
          <t>Schlafraum 2</t>
        </is>
      </c>
      <c r="B77" s="33">
        <f>COUNTIF(Artikelstamm!$H$3:$H$373,$A77)</f>
        <v/>
      </c>
      <c r="C77" s="34">
        <f>SUMPRODUCT((Artikelstamm!$H$3:$H$373=$A77)*Artikelstamm!$K$3:$K$373*Artikelstamm!$AE$3:$AE$373)</f>
        <v/>
      </c>
      <c r="D77" s="34">
        <f>SUMIF(Artikelstamm!$H$3:$H$373,$A77,Artikelstamm!$U$3:$U$373)</f>
        <v/>
      </c>
    </row>
    <row r="78">
      <c r="A78" s="26" t="inlineStr">
        <is>
          <t>Schlafraum 3</t>
        </is>
      </c>
      <c r="B78" s="33">
        <f>COUNTIF(Artikelstamm!$H$3:$H$373,$A78)</f>
        <v/>
      </c>
      <c r="C78" s="34">
        <f>SUMPRODUCT((Artikelstamm!$H$3:$H$373=$A78)*Artikelstamm!$K$3:$K$373*Artikelstamm!$AE$3:$AE$373)</f>
        <v/>
      </c>
      <c r="D78" s="34">
        <f>SUMIF(Artikelstamm!$H$3:$H$373,$A78,Artikelstamm!$U$3:$U$373)</f>
        <v/>
      </c>
    </row>
    <row r="79">
      <c r="A79" s="26" t="inlineStr">
        <is>
          <t>Schlafraum 4</t>
        </is>
      </c>
      <c r="B79" s="33">
        <f>COUNTIF(Artikelstamm!$H$3:$H$373,$A79)</f>
        <v/>
      </c>
      <c r="C79" s="34">
        <f>SUMPRODUCT((Artikelstamm!$H$3:$H$373=$A79)*Artikelstamm!$K$3:$K$373*Artikelstamm!$AE$3:$AE$373)</f>
        <v/>
      </c>
      <c r="D79" s="34">
        <f>SUMIF(Artikelstamm!$H$3:$H$373,$A79,Artikelstamm!$U$3:$U$373)</f>
        <v/>
      </c>
    </row>
    <row r="80">
      <c r="A80" s="26" t="inlineStr">
        <is>
          <t>Schlafraum 5</t>
        </is>
      </c>
      <c r="B80" s="33">
        <f>COUNTIF(Artikelstamm!$H$3:$H$373,$A80)</f>
        <v/>
      </c>
      <c r="C80" s="34">
        <f>SUMPRODUCT((Artikelstamm!$H$3:$H$373=$A80)*Artikelstamm!$K$3:$K$373*Artikelstamm!$AE$3:$AE$373)</f>
        <v/>
      </c>
      <c r="D80" s="34">
        <f>SUMIF(Artikelstamm!$H$3:$H$373,$A80,Artikelstamm!$U$3:$U$373)</f>
        <v/>
      </c>
    </row>
    <row r="81">
      <c r="A81" s="26" t="inlineStr">
        <is>
          <t>Speisesaal</t>
        </is>
      </c>
      <c r="B81" s="33">
        <f>COUNTIF(Artikelstamm!$H$3:$H$373,$A81)</f>
        <v/>
      </c>
      <c r="C81" s="34">
        <f>SUMPRODUCT((Artikelstamm!$H$3:$H$373=$A81)*Artikelstamm!$K$3:$K$373*Artikelstamm!$AE$3:$AE$373)</f>
        <v/>
      </c>
      <c r="D81" s="34">
        <f>SUMIF(Artikelstamm!$H$3:$H$373,$A81,Artikelstamm!$U$3:$U$373)</f>
        <v/>
      </c>
    </row>
    <row r="82">
      <c r="A82" s="26" t="inlineStr">
        <is>
          <t>Terrasse</t>
        </is>
      </c>
      <c r="B82" s="33">
        <f>COUNTIF(Artikelstamm!$H$3:$H$373,$A82)</f>
        <v/>
      </c>
      <c r="C82" s="34">
        <f>SUMPRODUCT((Artikelstamm!$H$3:$H$373=$A82)*Artikelstamm!$K$3:$K$373*Artikelstamm!$AE$3:$AE$373)</f>
        <v/>
      </c>
      <c r="D82" s="34">
        <f>SUMIF(Artikelstamm!$H$3:$H$373,$A82,Artikelstamm!$U$3:$U$373)</f>
        <v/>
      </c>
    </row>
    <row r="83">
      <c r="A83" s="26" t="inlineStr">
        <is>
          <t>Treppenraum 1</t>
        </is>
      </c>
      <c r="B83" s="33">
        <f>COUNTIF(Artikelstamm!$H$3:$H$373,$A83)</f>
        <v/>
      </c>
      <c r="C83" s="34">
        <f>SUMPRODUCT((Artikelstamm!$H$3:$H$373=$A83)*Artikelstamm!$K$3:$K$373*Artikelstamm!$AE$3:$AE$373)</f>
        <v/>
      </c>
      <c r="D83" s="34">
        <f>SUMIF(Artikelstamm!$H$3:$H$373,$A83,Artikelstamm!$U$3:$U$373)</f>
        <v/>
      </c>
    </row>
    <row r="84">
      <c r="A84" s="26" t="inlineStr">
        <is>
          <t>Turnraum</t>
        </is>
      </c>
      <c r="B84" s="33">
        <f>COUNTIF(Artikelstamm!$H$3:$H$373,$A84)</f>
        <v/>
      </c>
      <c r="C84" s="34">
        <f>SUMPRODUCT((Artikelstamm!$H$3:$H$373=$A84)*Artikelstamm!$K$3:$K$373*Artikelstamm!$AE$3:$AE$373)</f>
        <v/>
      </c>
      <c r="D84" s="34">
        <f>SUMIF(Artikelstamm!$H$3:$H$373,$A84,Artikelstamm!$U$3:$U$373)</f>
        <v/>
      </c>
    </row>
    <row r="85">
      <c r="A85" s="26" t="inlineStr">
        <is>
          <t>WC</t>
        </is>
      </c>
      <c r="B85" s="33">
        <f>COUNTIF(Artikelstamm!$H$3:$H$373,$A85)</f>
        <v/>
      </c>
      <c r="C85" s="34">
        <f>SUMPRODUCT((Artikelstamm!$H$3:$H$373=$A85)*Artikelstamm!$K$3:$K$373*Artikelstamm!$AE$3:$AE$373)</f>
        <v/>
      </c>
      <c r="D85" s="34">
        <f>SUMIF(Artikelstamm!$H$3:$H$373,$A85,Artikelstamm!$U$3:$U$373)</f>
        <v/>
      </c>
    </row>
    <row r="86">
      <c r="A86" s="26" t="inlineStr">
        <is>
          <t>WC Personal</t>
        </is>
      </c>
      <c r="B86" s="33">
        <f>COUNTIF(Artikelstamm!$H$3:$H$373,$A86)</f>
        <v/>
      </c>
      <c r="C86" s="34">
        <f>SUMPRODUCT((Artikelstamm!$H$3:$H$373=$A86)*Artikelstamm!$K$3:$K$373*Artikelstamm!$AE$3:$AE$373)</f>
        <v/>
      </c>
      <c r="D86" s="34">
        <f>SUMIF(Artikelstamm!$H$3:$H$373,$A86,Artikelstamm!$U$3:$U$373)</f>
        <v/>
      </c>
    </row>
    <row r="87">
      <c r="A87" s="26" t="inlineStr">
        <is>
          <t>Werkraum</t>
        </is>
      </c>
      <c r="B87" s="33">
        <f>COUNTIF(Artikelstamm!$H$3:$H$373,$A87)</f>
        <v/>
      </c>
      <c r="C87" s="34">
        <f>SUMPRODUCT((Artikelstamm!$H$3:$H$373=$A87)*Artikelstamm!$K$3:$K$373*Artikelstamm!$AE$3:$AE$373)</f>
        <v/>
      </c>
      <c r="D87" s="34">
        <f>SUMIF(Artikelstamm!$H$3:$H$373,$A87,Artikelstamm!$U$3:$U$373)</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COUNTIF(Artikelstamm!$AC$3:$AC$373,$A92)</f>
        <v/>
      </c>
      <c r="C92" s="34">
        <f>SUMPRODUCT((Artikelstamm!$AC$3:$AC$373=$A92)*Artikelstamm!$K$3:$K$373*Artikelstamm!$AE$3:$AE$373)</f>
        <v/>
      </c>
    </row>
    <row r="93">
      <c r="A93" s="26" t="inlineStr">
        <is>
          <t>Kleinanzeigen</t>
        </is>
      </c>
      <c r="B93" s="33">
        <f>COUNTIF(Artikelstamm!$AC$3:$AC$373,$A93)</f>
        <v/>
      </c>
      <c r="C93" s="34">
        <f>SUMPRODUCT((Artikelstamm!$AC$3:$AC$373=$A93)*Artikelstamm!$K$3:$K$373*Artikelstamm!$AE$3:$AE$373)</f>
        <v/>
      </c>
    </row>
    <row r="94">
      <c r="A94" s="26" t="inlineStr">
        <is>
          <t>eBay</t>
        </is>
      </c>
      <c r="B94" s="33">
        <f>COUNTIF(Artikelstamm!$AC$3:$AC$373,$A94)</f>
        <v/>
      </c>
      <c r="C94" s="34">
        <f>SUMPRODUCT((Artikelstamm!$AC$3:$AC$373=$A94)*Artikelstamm!$K$3:$K$373*Artikelstamm!$AE$3:$AE$373)</f>
        <v/>
      </c>
    </row>
    <row r="95">
      <c r="A95" s="26" t="inlineStr">
        <is>
          <t>Direkt</t>
        </is>
      </c>
      <c r="B95" s="33">
        <f>COUNTIF(Artikelstamm!$AC$3:$AC$373,$A95)</f>
        <v/>
      </c>
      <c r="C95" s="34">
        <f>SUMPRODUCT((Artikelstamm!$AC$3:$AC$373=$A95)*Artikelstamm!$K$3:$K$373*Artikelstamm!$AE$3:$AE$373)</f>
        <v/>
      </c>
    </row>
    <row r="96">
      <c r="A96" s="26" t="inlineStr">
        <is>
          <t>Händler</t>
        </is>
      </c>
      <c r="B96" s="33">
        <f>COUNTIF(Artikelstamm!$AC$3:$AC$373,$A96)</f>
        <v/>
      </c>
      <c r="C96" s="34">
        <f>SUMPRODUCT((Artikelstamm!$AC$3:$AC$373=$A96)*Artikelstamm!$K$3:$K$373*Artikelstamm!$AE$3:$AE$373)</f>
        <v/>
      </c>
    </row>
    <row r="97">
      <c r="A97" s="26" t="inlineStr">
        <is>
          <t>Verkaufstag</t>
        </is>
      </c>
      <c r="B97" s="33">
        <f>COUNTIF(Artikelstamm!$AC$3:$AC$373,$A97)</f>
        <v/>
      </c>
      <c r="C97" s="34">
        <f>SUMPRODUCT((Artikelstamm!$AC$3:$AC$373=$A97)*Artikelstamm!$K$3:$K$373*Artikelstamm!$AE$3:$AE$373)</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2026-09-23T13:37:01Z</dcterms:created>
  <dcterms:modified xmlns:dcterms="http://purl.org/dc/terms/" xmlns:xsi="http://www.w3.org/2001/XMLSchema-instance" xsi:type="dcterms:W3CDTF">2026-09-23T13:37:02Z</dcterms:modified>
</cp:coreProperties>
</file>