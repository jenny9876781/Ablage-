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'Artikelstamm'!$A$2:$AM$221</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 Eine zweite Wesco-Küche steht unter NU07-03.</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5 Regale insgesamt: 3 im Schlafraum 5, 1 im Treppenraum 1 (dort NU05-05) und 1 in der Garage (dort NU07-06).</t>
        </is>
      </c>
      <c r="AM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20" t="n"/>
      <c r="AE215" s="21">
        <f>IF(K215="","",K215*AD215)</f>
        <v/>
      </c>
      <c r="AF215" s="19" t="n"/>
      <c r="AG215" s="19" t="n"/>
      <c r="AH215" s="19" t="n"/>
      <c r="AI215" s="19" t="n"/>
      <c r="AJ215" s="19" t="n"/>
      <c r="AK215" s="19" t="n"/>
      <c r="AL215" s="16" t="inlineStr">
        <is>
          <t>1 Bett. Bettwäsche und Kissen gehören nicht dazu.</t>
        </is>
      </c>
      <c r="AM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20" t="n"/>
      <c r="AE216" s="21">
        <f>IF(K216="","",K216*AD216)</f>
        <v/>
      </c>
      <c r="AF216" s="19" t="n"/>
      <c r="AG216" s="19" t="n"/>
      <c r="AH216" s="19" t="n"/>
      <c r="AI216" s="19" t="n"/>
      <c r="AJ216" s="19" t="n"/>
      <c r="AK216" s="19" t="n"/>
      <c r="AL216" s="16" t="inlineStr">
        <is>
          <t>1 Kaufladen. Spiellebensmittel, Kasse und Telefon gehören nicht dazu.</t>
        </is>
      </c>
      <c r="AM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20" t="n"/>
      <c r="AE217" s="21">
        <f>IF(K217="","",K217*AD217)</f>
        <v/>
      </c>
      <c r="AF217" s="19" t="n"/>
      <c r="AG217" s="19" t="n"/>
      <c r="AH217" s="19" t="n"/>
      <c r="AI217" s="19" t="n"/>
      <c r="AJ217" s="19" t="n"/>
      <c r="AK217" s="19" t="n"/>
      <c r="AL217" s="16" t="inlineStr">
        <is>
          <t>1 Küche aus mehreren Modulen. Eine zweite Wesco-Küche steht unter NU03-03.</t>
        </is>
      </c>
      <c r="AM217" s="22" t="inlineStr">
        <is>
          <t>Zu klaeren: ist diese Kueche baugleich mit NU03-03? Wenn ja, zu einer Position mit 2 Stueck zusammenfassen. Modulzahl hier noch nicht gezaehlt.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20" t="n"/>
      <c r="AE218" s="21">
        <f>IF(K218="","",K218*AD218)</f>
        <v/>
      </c>
      <c r="AF218" s="19" t="n"/>
      <c r="AG218" s="19" t="n"/>
      <c r="AH218" s="19" t="n"/>
      <c r="AI218" s="19" t="n"/>
      <c r="AJ218" s="19" t="n"/>
      <c r="AK218" s="19" t="n"/>
      <c r="AL218" s="16" t="inlineStr">
        <is>
          <t>1 Grill.</t>
        </is>
      </c>
      <c r="AM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20" t="n"/>
      <c r="AE219" s="21">
        <f>IF(K219="","",K219*AD219)</f>
        <v/>
      </c>
      <c r="AF219" s="19" t="n"/>
      <c r="AG219" s="19" t="n"/>
      <c r="AH219" s="19" t="n"/>
      <c r="AI219" s="19" t="n"/>
      <c r="AJ219" s="19" t="n"/>
      <c r="AK219" s="19" t="n"/>
      <c r="AL219" s="16" t="inlineStr">
        <is>
          <t>1 Schrank. Der Innenraum ist auf Foto F-239 zu sehen.</t>
        </is>
      </c>
      <c r="AM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20" t="n"/>
      <c r="AE220" s="21">
        <f>IF(K220="","",K220*AD220)</f>
        <v/>
      </c>
      <c r="AF220" s="19" t="n"/>
      <c r="AG220" s="19" t="n"/>
      <c r="AH220" s="19" t="n"/>
      <c r="AI220" s="19" t="n"/>
      <c r="AJ220" s="19" t="n"/>
      <c r="AK220" s="19" t="n"/>
      <c r="AL220" s="16" t="inlineStr">
        <is>
          <t>1 Regal. Die Einschubkästen gehören nicht dazu.</t>
        </is>
      </c>
      <c r="AM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20" t="n"/>
      <c r="AE221" s="21">
        <f>IF(K221="","",K221*AD221)</f>
        <v/>
      </c>
      <c r="AF221" s="19" t="n"/>
      <c r="AG221" s="19" t="n"/>
      <c r="AH221" s="19" t="n"/>
      <c r="AI221" s="19" t="n"/>
      <c r="AJ221" s="19" t="n"/>
      <c r="AK221" s="19" t="n"/>
      <c r="AL221" s="16" t="inlineStr">
        <is>
          <t>1 Sitzgruppe aus drei Teilen: ein Tisch und zwei Truhenbänke. Der Stauraum unter der Sitzfläche ist auf Foto F-243 zu sehen.</t>
        </is>
      </c>
      <c r="AM221" s="22" t="n"/>
    </row>
  </sheetData>
  <autoFilter ref="A2:AM221"/>
  <mergeCells count="7">
    <mergeCell ref="AH1:AK1"/>
    <mergeCell ref="S1:U1"/>
    <mergeCell ref="Q1:R1"/>
    <mergeCell ref="A1:P1"/>
    <mergeCell ref="V1:AC1"/>
    <mergeCell ref="AL1:AM1"/>
    <mergeCell ref="AD1:AG1"/>
  </mergeCells>
  <conditionalFormatting sqref="Z3:Z221">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21">
    <cfRule type="cellIs" priority="4" operator="equal" dxfId="3">
      <formula>"A"</formula>
    </cfRule>
  </conditionalFormatting>
  <conditionalFormatting sqref="P3:P221">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COUNTA(Artikelstamm!$A$3:$A$221)</f>
        <v/>
      </c>
    </row>
    <row r="6">
      <c r="A6" s="26" t="inlineStr">
        <is>
          <t>davon verfügbar</t>
        </is>
      </c>
      <c r="B6" s="27">
        <f>COUNTIF(Artikelstamm!$Z$3:$Z$221,"verfügbar")</f>
        <v/>
      </c>
    </row>
    <row r="7">
      <c r="A7" s="26" t="inlineStr">
        <is>
          <t>davon reserviert</t>
        </is>
      </c>
      <c r="B7" s="27">
        <f>COUNTIF(Artikelstamm!$Z$3:$Z$221,"reserviert")</f>
        <v/>
      </c>
    </row>
    <row r="8">
      <c r="A8" s="26" t="inlineStr">
        <is>
          <t>davon teilverkauft</t>
        </is>
      </c>
      <c r="B8" s="27">
        <f>COUNTIF(Artikelstamm!$Z$3:$Z$221,"teilverkauft")</f>
        <v/>
      </c>
    </row>
    <row r="9">
      <c r="A9" s="26" t="inlineStr">
        <is>
          <t>davon verkauft</t>
        </is>
      </c>
      <c r="B9" s="27">
        <f>COUNTIF(Artikelstamm!$Z$3:$Z$221,"verkauft")</f>
        <v/>
      </c>
    </row>
    <row r="10">
      <c r="A10" s="26" t="inlineStr">
        <is>
          <t>Einheiten noch im Bestand</t>
        </is>
      </c>
      <c r="B10" s="27">
        <f>SUM(Artikelstamm!$L$3:$L$221)</f>
        <v/>
      </c>
    </row>
    <row r="11">
      <c r="A11" s="28" t="inlineStr">
        <is>
          <t>Restbestand zu Wunschpreisen (netto)</t>
        </is>
      </c>
      <c r="B11" s="29">
        <f>SUM(Artikelstamm!$U$3:$U$221)</f>
        <v/>
      </c>
    </row>
    <row r="12">
      <c r="A12" s="25" t="inlineStr">
        <is>
          <t>Erlöse</t>
        </is>
      </c>
    </row>
    <row r="13">
      <c r="A13" s="26" t="inlineStr">
        <is>
          <t>Verkaufte Einheiten</t>
        </is>
      </c>
      <c r="B13" s="27">
        <f>SUM(Artikelstamm!$K$3:$K$221)</f>
        <v/>
      </c>
    </row>
    <row r="14">
      <c r="A14" s="26" t="inlineStr">
        <is>
          <t>Umsatz netto</t>
        </is>
      </c>
      <c r="B14" s="30">
        <f>SUMPRODUCT(Artikelstamm!$K$3:$K$221,Artikelstamm!$AD$3:$AD$221)</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SUMPRODUCT((Artikelstamm!$AI$3:$AI$221="bezahlt")*Artikelstamm!$K$3:$K$221*Artikelstamm!$AD$3:$AD$221)</f>
        <v/>
      </c>
    </row>
    <row r="18">
      <c r="A18" s="26" t="inlineStr">
        <is>
          <t>noch offen (netto)</t>
        </is>
      </c>
      <c r="B18" s="30">
        <f>B14-B17</f>
        <v/>
      </c>
    </row>
    <row r="20">
      <c r="A20" s="25" t="inlineStr">
        <is>
          <t>To-do</t>
        </is>
      </c>
    </row>
    <row r="21">
      <c r="A21" s="28" t="inlineStr">
        <is>
          <t>Rechnungen noch zu schreiben</t>
        </is>
      </c>
      <c r="B21" s="31">
        <f>COUNTIFS(Artikelstamm!$Z$3:$Z$221,"*verkauft",Artikelstamm!$AH$3:$AH$221,"")</f>
        <v/>
      </c>
    </row>
    <row r="22">
      <c r="A22" s="28" t="inlineStr">
        <is>
          <t>Rechnungen offen (unbezahlt)</t>
        </is>
      </c>
      <c r="B22" s="31">
        <f>COUNTIFS(Artikelstamm!$Z$3:$Z$221,"*verkauft",Artikelstamm!$AI$3:$AI$221,"offen")</f>
        <v/>
      </c>
    </row>
    <row r="23">
      <c r="A23" s="26" t="inlineStr">
        <is>
          <t>Reservierungen ohne Abholtermin</t>
        </is>
      </c>
      <c r="B23" s="27">
        <f>COUNTIFS(Artikelstamm!$Z$3:$Z$221,"reserviert",Artikelstamm!$AK$3:$AK$221,"")</f>
        <v/>
      </c>
    </row>
    <row r="24">
      <c r="A24" s="26" t="inlineStr">
        <is>
          <t>Artikel ohne Preis</t>
        </is>
      </c>
      <c r="B24" s="27">
        <f>COUNTIFS(Artikelstamm!$S$3:$S$221,"")</f>
        <v/>
      </c>
    </row>
    <row r="25">
      <c r="A25" s="26" t="inlineStr">
        <is>
          <t>Artikel ohne Maßangabe</t>
        </is>
      </c>
      <c r="B25" s="27">
        <f>COUNTIFS(Artikelstamm!$O$3:$O$221,"")</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COUNTIF(Artikelstamm!$I$3:$I$221,$A30)</f>
        <v/>
      </c>
      <c r="C30" s="34">
        <f>SUMPRODUCT((Artikelstamm!$I$3:$I$221=$A30)*Artikelstamm!$K$3:$K$221*Artikelstamm!$AD$3:$AD$221)</f>
        <v/>
      </c>
      <c r="D30" s="34">
        <f>SUMIF(Artikelstamm!$I$3:$I$221,$A30,Artikelstamm!$U$3:$U$221)</f>
        <v/>
      </c>
    </row>
    <row r="31">
      <c r="A31" s="26" t="inlineStr">
        <is>
          <t>B</t>
        </is>
      </c>
      <c r="B31" s="33">
        <f>COUNTIF(Artikelstamm!$I$3:$I$221,$A31)</f>
        <v/>
      </c>
      <c r="C31" s="34">
        <f>SUMPRODUCT((Artikelstamm!$I$3:$I$221=$A31)*Artikelstamm!$K$3:$K$221*Artikelstamm!$AD$3:$AD$221)</f>
        <v/>
      </c>
      <c r="D31" s="34">
        <f>SUMIF(Artikelstamm!$I$3:$I$221,$A31,Artikelstamm!$U$3:$U$221)</f>
        <v/>
      </c>
    </row>
    <row r="32">
      <c r="A32" s="26" t="inlineStr">
        <is>
          <t>C</t>
        </is>
      </c>
      <c r="B32" s="33">
        <f>COUNTIF(Artikelstamm!$I$3:$I$221,$A32)</f>
        <v/>
      </c>
      <c r="C32" s="34">
        <f>SUMPRODUCT((Artikelstamm!$I$3:$I$221=$A32)*Artikelstamm!$K$3:$K$221*Artikelstamm!$AD$3:$AD$221)</f>
        <v/>
      </c>
      <c r="D32" s="34">
        <f>SUMIF(Artikelstamm!$I$3:$I$221,$A32,Artikelstamm!$U$3:$U$221)</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COUNTIF(Artikelstamm!$G$3:$G$221,$A37)</f>
        <v/>
      </c>
      <c r="C37" s="34">
        <f>SUMPRODUCT((Artikelstamm!$G$3:$G$221=$A37)*Artikelstamm!$K$3:$K$221*Artikelstamm!$AD$3:$AD$221)</f>
        <v/>
      </c>
      <c r="D37" s="34">
        <f>SUMIF(Artikelstamm!$G$3:$G$221,$A37,Artikelstamm!$U$3:$U$221)</f>
        <v/>
      </c>
    </row>
    <row r="38">
      <c r="A38" s="26" t="inlineStr">
        <is>
          <t>Deko</t>
        </is>
      </c>
      <c r="B38" s="33">
        <f>COUNTIF(Artikelstamm!$G$3:$G$221,$A38)</f>
        <v/>
      </c>
      <c r="C38" s="34">
        <f>SUMPRODUCT((Artikelstamm!$G$3:$G$221=$A38)*Artikelstamm!$K$3:$K$221*Artikelstamm!$AD$3:$AD$221)</f>
        <v/>
      </c>
      <c r="D38" s="34">
        <f>SUMIF(Artikelstamm!$G$3:$G$221,$A38,Artikelstamm!$U$3:$U$221)</f>
        <v/>
      </c>
    </row>
    <row r="39">
      <c r="A39" s="26" t="inlineStr">
        <is>
          <t>Designmöbel</t>
        </is>
      </c>
      <c r="B39" s="33">
        <f>COUNTIF(Artikelstamm!$G$3:$G$221,$A39)</f>
        <v/>
      </c>
      <c r="C39" s="34">
        <f>SUMPRODUCT((Artikelstamm!$G$3:$G$221=$A39)*Artikelstamm!$K$3:$K$221*Artikelstamm!$AD$3:$AD$221)</f>
        <v/>
      </c>
      <c r="D39" s="34">
        <f>SUMIF(Artikelstamm!$G$3:$G$221,$A39,Artikelstamm!$U$3:$U$221)</f>
        <v/>
      </c>
    </row>
    <row r="40">
      <c r="A40" s="26" t="inlineStr">
        <is>
          <t>Garten</t>
        </is>
      </c>
      <c r="B40" s="33">
        <f>COUNTIF(Artikelstamm!$G$3:$G$221,$A40)</f>
        <v/>
      </c>
      <c r="C40" s="34">
        <f>SUMPRODUCT((Artikelstamm!$G$3:$G$221=$A40)*Artikelstamm!$K$3:$K$221*Artikelstamm!$AD$3:$AD$221)</f>
        <v/>
      </c>
      <c r="D40" s="34">
        <f>SUMIF(Artikelstamm!$G$3:$G$221,$A40,Artikelstamm!$U$3:$U$221)</f>
        <v/>
      </c>
    </row>
    <row r="41">
      <c r="A41" s="26" t="inlineStr">
        <is>
          <t>Kita-Ausstattung</t>
        </is>
      </c>
      <c r="B41" s="33">
        <f>COUNTIF(Artikelstamm!$G$3:$G$221,$A41)</f>
        <v/>
      </c>
      <c r="C41" s="34">
        <f>SUMPRODUCT((Artikelstamm!$G$3:$G$221=$A41)*Artikelstamm!$K$3:$K$221*Artikelstamm!$AD$3:$AD$221)</f>
        <v/>
      </c>
      <c r="D41" s="34">
        <f>SUMIF(Artikelstamm!$G$3:$G$221,$A41,Artikelstamm!$U$3:$U$221)</f>
        <v/>
      </c>
    </row>
    <row r="42">
      <c r="A42" s="26" t="inlineStr">
        <is>
          <t>Kunst</t>
        </is>
      </c>
      <c r="B42" s="33">
        <f>COUNTIF(Artikelstamm!$G$3:$G$221,$A42)</f>
        <v/>
      </c>
      <c r="C42" s="34">
        <f>SUMPRODUCT((Artikelstamm!$G$3:$G$221=$A42)*Artikelstamm!$K$3:$K$221*Artikelstamm!$AD$3:$AD$221)</f>
        <v/>
      </c>
      <c r="D42" s="34">
        <f>SUMIF(Artikelstamm!$G$3:$G$221,$A42,Artikelstamm!$U$3:$U$221)</f>
        <v/>
      </c>
    </row>
    <row r="43">
      <c r="A43" s="26" t="inlineStr">
        <is>
          <t>Leuchten</t>
        </is>
      </c>
      <c r="B43" s="33">
        <f>COUNTIF(Artikelstamm!$G$3:$G$221,$A43)</f>
        <v/>
      </c>
      <c r="C43" s="34">
        <f>SUMPRODUCT((Artikelstamm!$G$3:$G$221=$A43)*Artikelstamm!$K$3:$K$221*Artikelstamm!$AD$3:$AD$221)</f>
        <v/>
      </c>
      <c r="D43" s="34">
        <f>SUMIF(Artikelstamm!$G$3:$G$221,$A43,Artikelstamm!$U$3:$U$221)</f>
        <v/>
      </c>
    </row>
    <row r="44">
      <c r="A44" s="26" t="inlineStr">
        <is>
          <t>Möbel</t>
        </is>
      </c>
      <c r="B44" s="33">
        <f>COUNTIF(Artikelstamm!$G$3:$G$221,$A44)</f>
        <v/>
      </c>
      <c r="C44" s="34">
        <f>SUMPRODUCT((Artikelstamm!$G$3:$G$221=$A44)*Artikelstamm!$K$3:$K$221*Artikelstamm!$AD$3:$AD$221)</f>
        <v/>
      </c>
      <c r="D44" s="34">
        <f>SUMIF(Artikelstamm!$G$3:$G$221,$A44,Artikelstamm!$U$3:$U$221)</f>
        <v/>
      </c>
    </row>
    <row r="45">
      <c r="A45" s="26" t="inlineStr">
        <is>
          <t>Pflanzen</t>
        </is>
      </c>
      <c r="B45" s="33">
        <f>COUNTIF(Artikelstamm!$G$3:$G$221,$A45)</f>
        <v/>
      </c>
      <c r="C45" s="34">
        <f>SUMPRODUCT((Artikelstamm!$G$3:$G$221=$A45)*Artikelstamm!$K$3:$K$221*Artikelstamm!$AD$3:$AD$221)</f>
        <v/>
      </c>
      <c r="D45" s="34">
        <f>SUMIF(Artikelstamm!$G$3:$G$221,$A45,Artikelstamm!$U$3:$U$221)</f>
        <v/>
      </c>
    </row>
    <row r="46">
      <c r="A46" s="26" t="inlineStr">
        <is>
          <t>Sonstiges</t>
        </is>
      </c>
      <c r="B46" s="33">
        <f>COUNTIF(Artikelstamm!$G$3:$G$221,$A46)</f>
        <v/>
      </c>
      <c r="C46" s="34">
        <f>SUMPRODUCT((Artikelstamm!$G$3:$G$221=$A46)*Artikelstamm!$K$3:$K$221*Artikelstamm!$AD$3:$AD$221)</f>
        <v/>
      </c>
      <c r="D46" s="34">
        <f>SUMIF(Artikelstamm!$G$3:$G$221,$A46,Artikelstamm!$U$3:$U$221)</f>
        <v/>
      </c>
    </row>
    <row r="47">
      <c r="A47" s="26" t="inlineStr">
        <is>
          <t>Technik</t>
        </is>
      </c>
      <c r="B47" s="33">
        <f>COUNTIF(Artikelstamm!$G$3:$G$221,$A47)</f>
        <v/>
      </c>
      <c r="C47" s="34">
        <f>SUMPRODUCT((Artikelstamm!$G$3:$G$221=$A47)*Artikelstamm!$K$3:$K$221*Artikelstamm!$AD$3:$AD$221)</f>
        <v/>
      </c>
      <c r="D47" s="34">
        <f>SUMIF(Artikelstamm!$G$3:$G$221,$A47,Artikelstamm!$U$3:$U$221)</f>
        <v/>
      </c>
    </row>
    <row r="48">
      <c r="A48" s="26" t="inlineStr">
        <is>
          <t>Textilien</t>
        </is>
      </c>
      <c r="B48" s="33">
        <f>COUNTIF(Artikelstamm!$G$3:$G$221,$A48)</f>
        <v/>
      </c>
      <c r="C48" s="34">
        <f>SUMPRODUCT((Artikelstamm!$G$3:$G$221=$A48)*Artikelstamm!$K$3:$K$221*Artikelstamm!$AD$3:$AD$221)</f>
        <v/>
      </c>
      <c r="D48" s="34">
        <f>SUMIF(Artikelstamm!$G$3:$G$221,$A48,Artikelstamm!$U$3:$U$221)</f>
        <v/>
      </c>
    </row>
    <row r="49">
      <c r="A49" s="26" t="inlineStr">
        <is>
          <t>Uhren</t>
        </is>
      </c>
      <c r="B49" s="33">
        <f>COUNTIF(Artikelstamm!$G$3:$G$221,$A49)</f>
        <v/>
      </c>
      <c r="C49" s="34">
        <f>SUMPRODUCT((Artikelstamm!$G$3:$G$221=$A49)*Artikelstamm!$K$3:$K$221*Artikelstamm!$AD$3:$AD$221)</f>
        <v/>
      </c>
      <c r="D49" s="34">
        <f>SUMIF(Artikelstamm!$G$3:$G$221,$A49,Artikelstamm!$U$3:$U$221)</f>
        <v/>
      </c>
    </row>
    <row r="50">
      <c r="A50" s="26" t="inlineStr">
        <is>
          <t>Verbrauchsmaterial</t>
        </is>
      </c>
      <c r="B50" s="33">
        <f>COUNTIF(Artikelstamm!$G$3:$G$221,$A50)</f>
        <v/>
      </c>
      <c r="C50" s="34">
        <f>SUMPRODUCT((Artikelstamm!$G$3:$G$221=$A50)*Artikelstamm!$K$3:$K$221*Artikelstamm!$AD$3:$AD$221)</f>
        <v/>
      </c>
      <c r="D50" s="34">
        <f>SUMIF(Artikelstamm!$G$3:$G$221,$A50,Artikelstamm!$U$3:$U$221)</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COUNTIF(Artikelstamm!$H$3:$H$221,$A55)</f>
        <v/>
      </c>
      <c r="C55" s="34">
        <f>SUMPRODUCT((Artikelstamm!$H$3:$H$221=$A55)*Artikelstamm!$K$3:$K$221*Artikelstamm!$AD$3:$AD$221)</f>
        <v/>
      </c>
      <c r="D55" s="34">
        <f>SUMIF(Artikelstamm!$H$3:$H$221,$A55,Artikelstamm!$U$3:$U$221)</f>
        <v/>
      </c>
    </row>
    <row r="56">
      <c r="A56" s="26" t="inlineStr">
        <is>
          <t>Büro</t>
        </is>
      </c>
      <c r="B56" s="33">
        <f>COUNTIF(Artikelstamm!$H$3:$H$221,$A56)</f>
        <v/>
      </c>
      <c r="C56" s="34">
        <f>SUMPRODUCT((Artikelstamm!$H$3:$H$221=$A56)*Artikelstamm!$K$3:$K$221*Artikelstamm!$AD$3:$AD$221)</f>
        <v/>
      </c>
      <c r="D56" s="34">
        <f>SUMIF(Artikelstamm!$H$3:$H$221,$A56,Artikelstamm!$U$3:$U$221)</f>
        <v/>
      </c>
    </row>
    <row r="57">
      <c r="A57" s="26" t="inlineStr">
        <is>
          <t>Büro / Besprechung</t>
        </is>
      </c>
      <c r="B57" s="33">
        <f>COUNTIF(Artikelstamm!$H$3:$H$221,$A57)</f>
        <v/>
      </c>
      <c r="C57" s="34">
        <f>SUMPRODUCT((Artikelstamm!$H$3:$H$221=$A57)*Artikelstamm!$K$3:$K$221*Artikelstamm!$AD$3:$AD$221)</f>
        <v/>
      </c>
      <c r="D57" s="34">
        <f>SUMIF(Artikelstamm!$H$3:$H$221,$A57,Artikelstamm!$U$3:$U$221)</f>
        <v/>
      </c>
    </row>
    <row r="58">
      <c r="A58" s="26" t="inlineStr">
        <is>
          <t>Dachterrasse</t>
        </is>
      </c>
      <c r="B58" s="33">
        <f>COUNTIF(Artikelstamm!$H$3:$H$221,$A58)</f>
        <v/>
      </c>
      <c r="C58" s="34">
        <f>SUMPRODUCT((Artikelstamm!$H$3:$H$221=$A58)*Artikelstamm!$K$3:$K$221*Artikelstamm!$AD$3:$AD$221)</f>
        <v/>
      </c>
      <c r="D58" s="34">
        <f>SUMIF(Artikelstamm!$H$3:$H$221,$A58,Artikelstamm!$U$3:$U$221)</f>
        <v/>
      </c>
    </row>
    <row r="59">
      <c r="A59" s="26" t="inlineStr">
        <is>
          <t>Flur</t>
        </is>
      </c>
      <c r="B59" s="33">
        <f>COUNTIF(Artikelstamm!$H$3:$H$221,$A59)</f>
        <v/>
      </c>
      <c r="C59" s="34">
        <f>SUMPRODUCT((Artikelstamm!$H$3:$H$221=$A59)*Artikelstamm!$K$3:$K$221*Artikelstamm!$AD$3:$AD$221)</f>
        <v/>
      </c>
      <c r="D59" s="34">
        <f>SUMIF(Artikelstamm!$H$3:$H$221,$A59,Artikelstamm!$U$3:$U$221)</f>
        <v/>
      </c>
    </row>
    <row r="60">
      <c r="A60" s="26" t="inlineStr">
        <is>
          <t>Flur 1</t>
        </is>
      </c>
      <c r="B60" s="33">
        <f>COUNTIF(Artikelstamm!$H$3:$H$221,$A60)</f>
        <v/>
      </c>
      <c r="C60" s="34">
        <f>SUMPRODUCT((Artikelstamm!$H$3:$H$221=$A60)*Artikelstamm!$K$3:$K$221*Artikelstamm!$AD$3:$AD$221)</f>
        <v/>
      </c>
      <c r="D60" s="34">
        <f>SUMIF(Artikelstamm!$H$3:$H$221,$A60,Artikelstamm!$U$3:$U$221)</f>
        <v/>
      </c>
    </row>
    <row r="61">
      <c r="A61" s="26" t="inlineStr">
        <is>
          <t>Garage</t>
        </is>
      </c>
      <c r="B61" s="33">
        <f>COUNTIF(Artikelstamm!$H$3:$H$221,$A61)</f>
        <v/>
      </c>
      <c r="C61" s="34">
        <f>SUMPRODUCT((Artikelstamm!$H$3:$H$221=$A61)*Artikelstamm!$K$3:$K$221*Artikelstamm!$AD$3:$AD$221)</f>
        <v/>
      </c>
      <c r="D61" s="34">
        <f>SUMIF(Artikelstamm!$H$3:$H$221,$A61,Artikelstamm!$U$3:$U$221)</f>
        <v/>
      </c>
    </row>
    <row r="62">
      <c r="A62" s="26" t="inlineStr">
        <is>
          <t>Gartenanlage</t>
        </is>
      </c>
      <c r="B62" s="33">
        <f>COUNTIF(Artikelstamm!$H$3:$H$221,$A62)</f>
        <v/>
      </c>
      <c r="C62" s="34">
        <f>SUMPRODUCT((Artikelstamm!$H$3:$H$221=$A62)*Artikelstamm!$K$3:$K$221*Artikelstamm!$AD$3:$AD$221)</f>
        <v/>
      </c>
      <c r="D62" s="34">
        <f>SUMIF(Artikelstamm!$H$3:$H$221,$A62,Artikelstamm!$U$3:$U$221)</f>
        <v/>
      </c>
    </row>
    <row r="63">
      <c r="A63" s="26" t="inlineStr">
        <is>
          <t>Gruppenraum</t>
        </is>
      </c>
      <c r="B63" s="33">
        <f>COUNTIF(Artikelstamm!$H$3:$H$221,$A63)</f>
        <v/>
      </c>
      <c r="C63" s="34">
        <f>SUMPRODUCT((Artikelstamm!$H$3:$H$221=$A63)*Artikelstamm!$K$3:$K$221*Artikelstamm!$AD$3:$AD$221)</f>
        <v/>
      </c>
      <c r="D63" s="34">
        <f>SUMIF(Artikelstamm!$H$3:$H$221,$A63,Artikelstamm!$U$3:$U$221)</f>
        <v/>
      </c>
    </row>
    <row r="64">
      <c r="A64" s="26" t="inlineStr">
        <is>
          <t>Gruppenraum 2</t>
        </is>
      </c>
      <c r="B64" s="33">
        <f>COUNTIF(Artikelstamm!$H$3:$H$221,$A64)</f>
        <v/>
      </c>
      <c r="C64" s="34">
        <f>SUMPRODUCT((Artikelstamm!$H$3:$H$221=$A64)*Artikelstamm!$K$3:$K$221*Artikelstamm!$AD$3:$AD$221)</f>
        <v/>
      </c>
      <c r="D64" s="34">
        <f>SUMIF(Artikelstamm!$H$3:$H$221,$A64,Artikelstamm!$U$3:$U$221)</f>
        <v/>
      </c>
    </row>
    <row r="65">
      <c r="A65" s="26" t="inlineStr">
        <is>
          <t>Gruppenraum 4</t>
        </is>
      </c>
      <c r="B65" s="33">
        <f>COUNTIF(Artikelstamm!$H$3:$H$221,$A65)</f>
        <v/>
      </c>
      <c r="C65" s="34">
        <f>SUMPRODUCT((Artikelstamm!$H$3:$H$221=$A65)*Artikelstamm!$K$3:$K$221*Artikelstamm!$AD$3:$AD$221)</f>
        <v/>
      </c>
      <c r="D65" s="34">
        <f>SUMIF(Artikelstamm!$H$3:$H$221,$A65,Artikelstamm!$U$3:$U$221)</f>
        <v/>
      </c>
    </row>
    <row r="66">
      <c r="A66" s="26" t="inlineStr">
        <is>
          <t>Gruppenraum 5</t>
        </is>
      </c>
      <c r="B66" s="33">
        <f>COUNTIF(Artikelstamm!$H$3:$H$221,$A66)</f>
        <v/>
      </c>
      <c r="C66" s="34">
        <f>SUMPRODUCT((Artikelstamm!$H$3:$H$221=$A66)*Artikelstamm!$K$3:$K$221*Artikelstamm!$AD$3:$AD$221)</f>
        <v/>
      </c>
      <c r="D66" s="34">
        <f>SUMIF(Artikelstamm!$H$3:$H$221,$A66,Artikelstamm!$U$3:$U$221)</f>
        <v/>
      </c>
    </row>
    <row r="67">
      <c r="A67" s="26" t="inlineStr">
        <is>
          <t>Personal</t>
        </is>
      </c>
      <c r="B67" s="33">
        <f>COUNTIF(Artikelstamm!$H$3:$H$221,$A67)</f>
        <v/>
      </c>
      <c r="C67" s="34">
        <f>SUMPRODUCT((Artikelstamm!$H$3:$H$221=$A67)*Artikelstamm!$K$3:$K$221*Artikelstamm!$AD$3:$AD$221)</f>
        <v/>
      </c>
      <c r="D67" s="34">
        <f>SUMIF(Artikelstamm!$H$3:$H$221,$A67,Artikelstamm!$U$3:$U$221)</f>
        <v/>
      </c>
    </row>
    <row r="68">
      <c r="A68" s="26" t="inlineStr">
        <is>
          <t>Ruhe- / Schlafraum</t>
        </is>
      </c>
      <c r="B68" s="33">
        <f>COUNTIF(Artikelstamm!$H$3:$H$221,$A68)</f>
        <v/>
      </c>
      <c r="C68" s="34">
        <f>SUMPRODUCT((Artikelstamm!$H$3:$H$221=$A68)*Artikelstamm!$K$3:$K$221*Artikelstamm!$AD$3:$AD$221)</f>
        <v/>
      </c>
      <c r="D68" s="34">
        <f>SUMIF(Artikelstamm!$H$3:$H$221,$A68,Artikelstamm!$U$3:$U$221)</f>
        <v/>
      </c>
    </row>
    <row r="69">
      <c r="A69" s="26" t="inlineStr">
        <is>
          <t>Schlafraum 4</t>
        </is>
      </c>
      <c r="B69" s="33">
        <f>COUNTIF(Artikelstamm!$H$3:$H$221,$A69)</f>
        <v/>
      </c>
      <c r="C69" s="34">
        <f>SUMPRODUCT((Artikelstamm!$H$3:$H$221=$A69)*Artikelstamm!$K$3:$K$221*Artikelstamm!$AD$3:$AD$221)</f>
        <v/>
      </c>
      <c r="D69" s="34">
        <f>SUMIF(Artikelstamm!$H$3:$H$221,$A69,Artikelstamm!$U$3:$U$221)</f>
        <v/>
      </c>
    </row>
    <row r="70">
      <c r="A70" s="26" t="inlineStr">
        <is>
          <t>Schlafraum 5</t>
        </is>
      </c>
      <c r="B70" s="33">
        <f>COUNTIF(Artikelstamm!$H$3:$H$221,$A70)</f>
        <v/>
      </c>
      <c r="C70" s="34">
        <f>SUMPRODUCT((Artikelstamm!$H$3:$H$221=$A70)*Artikelstamm!$K$3:$K$221*Artikelstamm!$AD$3:$AD$221)</f>
        <v/>
      </c>
      <c r="D70" s="34">
        <f>SUMIF(Artikelstamm!$H$3:$H$221,$A70,Artikelstamm!$U$3:$U$221)</f>
        <v/>
      </c>
    </row>
    <row r="71">
      <c r="A71" s="26" t="inlineStr">
        <is>
          <t>Speisesaal</t>
        </is>
      </c>
      <c r="B71" s="33">
        <f>COUNTIF(Artikelstamm!$H$3:$H$221,$A71)</f>
        <v/>
      </c>
      <c r="C71" s="34">
        <f>SUMPRODUCT((Artikelstamm!$H$3:$H$221=$A71)*Artikelstamm!$K$3:$K$221*Artikelstamm!$AD$3:$AD$221)</f>
        <v/>
      </c>
      <c r="D71" s="34">
        <f>SUMIF(Artikelstamm!$H$3:$H$221,$A71,Artikelstamm!$U$3:$U$221)</f>
        <v/>
      </c>
    </row>
    <row r="72">
      <c r="A72" s="26" t="inlineStr">
        <is>
          <t>Terrasse</t>
        </is>
      </c>
      <c r="B72" s="33">
        <f>COUNTIF(Artikelstamm!$H$3:$H$221,$A72)</f>
        <v/>
      </c>
      <c r="C72" s="34">
        <f>SUMPRODUCT((Artikelstamm!$H$3:$H$221=$A72)*Artikelstamm!$K$3:$K$221*Artikelstamm!$AD$3:$AD$221)</f>
        <v/>
      </c>
      <c r="D72" s="34">
        <f>SUMIF(Artikelstamm!$H$3:$H$221,$A72,Artikelstamm!$U$3:$U$221)</f>
        <v/>
      </c>
    </row>
    <row r="73">
      <c r="A73" s="26" t="inlineStr">
        <is>
          <t>Treppenraum 1</t>
        </is>
      </c>
      <c r="B73" s="33">
        <f>COUNTIF(Artikelstamm!$H$3:$H$221,$A73)</f>
        <v/>
      </c>
      <c r="C73" s="34">
        <f>SUMPRODUCT((Artikelstamm!$H$3:$H$221=$A73)*Artikelstamm!$K$3:$K$221*Artikelstamm!$AD$3:$AD$221)</f>
        <v/>
      </c>
      <c r="D73" s="34">
        <f>SUMIF(Artikelstamm!$H$3:$H$221,$A73,Artikelstamm!$U$3:$U$221)</f>
        <v/>
      </c>
    </row>
    <row r="74">
      <c r="A74" s="26" t="inlineStr">
        <is>
          <t>WC</t>
        </is>
      </c>
      <c r="B74" s="33">
        <f>COUNTIF(Artikelstamm!$H$3:$H$221,$A74)</f>
        <v/>
      </c>
      <c r="C74" s="34">
        <f>SUMPRODUCT((Artikelstamm!$H$3:$H$221=$A74)*Artikelstamm!$K$3:$K$221*Artikelstamm!$AD$3:$AD$221)</f>
        <v/>
      </c>
      <c r="D74" s="34">
        <f>SUMIF(Artikelstamm!$H$3:$H$221,$A74,Artikelstamm!$U$3:$U$221)</f>
        <v/>
      </c>
    </row>
    <row r="75">
      <c r="A75" s="26" t="inlineStr">
        <is>
          <t>WC Personal</t>
        </is>
      </c>
      <c r="B75" s="33">
        <f>COUNTIF(Artikelstamm!$H$3:$H$221,$A75)</f>
        <v/>
      </c>
      <c r="C75" s="34">
        <f>SUMPRODUCT((Artikelstamm!$H$3:$H$221=$A75)*Artikelstamm!$K$3:$K$221*Artikelstamm!$AD$3:$AD$221)</f>
        <v/>
      </c>
      <c r="D75" s="34">
        <f>SUMIF(Artikelstamm!$H$3:$H$221,$A75,Artikelstamm!$U$3:$U$221)</f>
        <v/>
      </c>
    </row>
    <row r="76">
      <c r="A76" s="26" t="inlineStr">
        <is>
          <t>Werkraum</t>
        </is>
      </c>
      <c r="B76" s="33">
        <f>COUNTIF(Artikelstamm!$H$3:$H$221,$A76)</f>
        <v/>
      </c>
      <c r="C76" s="34">
        <f>SUMPRODUCT((Artikelstamm!$H$3:$H$221=$A76)*Artikelstamm!$K$3:$K$221*Artikelstamm!$AD$3:$AD$221)</f>
        <v/>
      </c>
      <c r="D76" s="34">
        <f>SUMIF(Artikelstamm!$H$3:$H$221,$A76,Artikelstamm!$U$3:$U$221)</f>
        <v/>
      </c>
    </row>
    <row r="77">
      <c r="A77" s="28" t="inlineStr">
        <is>
          <t>Summe</t>
        </is>
      </c>
      <c r="B77" s="35">
        <f>SUM(B55:B76)</f>
        <v/>
      </c>
      <c r="C77" s="36">
        <f>SUM(C55:C76)</f>
        <v/>
      </c>
      <c r="D77" s="36">
        <f>SUM(D55:D76)</f>
        <v/>
      </c>
    </row>
    <row r="79">
      <c r="A79" s="25" t="inlineStr">
        <is>
          <t>Nach Verkaufskanal</t>
        </is>
      </c>
    </row>
    <row r="80">
      <c r="A80" s="32" t="inlineStr">
        <is>
          <t>Verkaufskanal</t>
        </is>
      </c>
      <c r="B80" s="32" t="inlineStr">
        <is>
          <t>Positionen</t>
        </is>
      </c>
      <c r="C80" s="32" t="inlineStr">
        <is>
          <t>Umsatz netto</t>
        </is>
      </c>
    </row>
    <row r="81">
      <c r="A81" s="26" t="inlineStr">
        <is>
          <t>Klinik</t>
        </is>
      </c>
      <c r="B81" s="33">
        <f>COUNTIF(Artikelstamm!$AB$3:$AB$221,$A81)</f>
        <v/>
      </c>
      <c r="C81" s="34">
        <f>SUMPRODUCT((Artikelstamm!$AB$3:$AB$221=$A81)*Artikelstamm!$K$3:$K$221*Artikelstamm!$AD$3:$AD$221)</f>
        <v/>
      </c>
    </row>
    <row r="82">
      <c r="A82" s="26" t="inlineStr">
        <is>
          <t>Kleinanzeigen</t>
        </is>
      </c>
      <c r="B82" s="33">
        <f>COUNTIF(Artikelstamm!$AB$3:$AB$221,$A82)</f>
        <v/>
      </c>
      <c r="C82" s="34">
        <f>SUMPRODUCT((Artikelstamm!$AB$3:$AB$221=$A82)*Artikelstamm!$K$3:$K$221*Artikelstamm!$AD$3:$AD$221)</f>
        <v/>
      </c>
    </row>
    <row r="83">
      <c r="A83" s="26" t="inlineStr">
        <is>
          <t>eBay</t>
        </is>
      </c>
      <c r="B83" s="33">
        <f>COUNTIF(Artikelstamm!$AB$3:$AB$221,$A83)</f>
        <v/>
      </c>
      <c r="C83" s="34">
        <f>SUMPRODUCT((Artikelstamm!$AB$3:$AB$221=$A83)*Artikelstamm!$K$3:$K$221*Artikelstamm!$AD$3:$AD$221)</f>
        <v/>
      </c>
    </row>
    <row r="84">
      <c r="A84" s="26" t="inlineStr">
        <is>
          <t>Direkt</t>
        </is>
      </c>
      <c r="B84" s="33">
        <f>COUNTIF(Artikelstamm!$AB$3:$AB$221,$A84)</f>
        <v/>
      </c>
      <c r="C84" s="34">
        <f>SUMPRODUCT((Artikelstamm!$AB$3:$AB$221=$A84)*Artikelstamm!$K$3:$K$221*Artikelstamm!$AD$3:$AD$221)</f>
        <v/>
      </c>
    </row>
    <row r="85">
      <c r="A85" s="26" t="inlineStr">
        <is>
          <t>Händler</t>
        </is>
      </c>
      <c r="B85" s="33">
        <f>COUNTIF(Artikelstamm!$AB$3:$AB$221,$A85)</f>
        <v/>
      </c>
      <c r="C85" s="34">
        <f>SUMPRODUCT((Artikelstamm!$AB$3:$AB$221=$A85)*Artikelstamm!$K$3:$K$221*Artikelstamm!$AD$3:$AD$221)</f>
        <v/>
      </c>
    </row>
    <row r="86">
      <c r="A86" s="26" t="inlineStr">
        <is>
          <t>Verkaufstag</t>
        </is>
      </c>
      <c r="B86" s="33">
        <f>COUNTIF(Artikelstamm!$AB$3:$AB$221,$A86)</f>
        <v/>
      </c>
      <c r="C86" s="34">
        <f>SUMPRODUCT((Artikelstamm!$AB$3:$AB$221=$A86)*Artikelstamm!$K$3:$K$221*Artikelstamm!$AD$3:$AD$221)</f>
        <v/>
      </c>
    </row>
    <row r="87">
      <c r="A87" s="28" t="inlineStr">
        <is>
          <t>Summe</t>
        </is>
      </c>
      <c r="B87" s="35">
        <f>SUM(B81:B86)</f>
        <v/>
      </c>
      <c r="C87" s="36">
        <f>SUM(C81:C86)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2026-09-22T13:04:47Z</dcterms:created>
  <dcterms:modified xmlns:dcterms="http://purl.org/dc/terms/" xmlns:xsi="http://www.w3.org/2001/XMLSchema-instance" xsi:type="dcterms:W3CDTF">2026-09-22T13:04:48Z</dcterms:modified>
</cp:coreProperties>
</file>