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gebot" sheetId="1" state="visible" r:id="rId1"/>
  </sheets>
  <definedNames/>
  <calcPr calcId="124519" fullCalcOnLoad="1"/>
</workbook>
</file>

<file path=xl/styles.xml><?xml version="1.0" encoding="utf-8"?>
<styleSheet xmlns="http://schemas.openxmlformats.org/spreadsheetml/2006/main">
  <numFmts count="1">
    <numFmt numFmtId="164" formatCode="#,##0.00 &quot;€&quot;"/>
  </numFmts>
  <fonts count="11">
    <font>
      <name val="Calibri"/>
      <family val="2"/>
      <color theme="1"/>
      <sz val="11"/>
      <scheme val="minor"/>
    </font>
    <font>
      <name val="Arial"/>
      <b val="1"/>
      <color rgb="00FFFFFF"/>
      <sz val="16"/>
    </font>
    <font>
      <name val="Arial"/>
      <b val="1"/>
      <sz val="10"/>
    </font>
    <font>
      <name val="Arial"/>
      <sz val="10"/>
    </font>
    <font>
      <name val="Arial"/>
      <i val="1"/>
      <color rgb="007F6000"/>
      <sz val="10"/>
    </font>
    <font>
      <name val="Arial"/>
      <b val="1"/>
      <color rgb="00FFFFFF"/>
      <sz val="10"/>
    </font>
    <font>
      <name val="Arial"/>
      <b val="1"/>
      <color rgb="007F6000"/>
      <sz val="10"/>
    </font>
    <font>
      <name val="Arial"/>
      <b val="1"/>
      <color rgb="00BF8F00"/>
      <sz val="10"/>
    </font>
    <font>
      <name val="Arial"/>
      <b val="1"/>
      <color rgb="001F3864"/>
      <sz val="11"/>
    </font>
    <font>
      <name val="Arial"/>
      <color rgb="001F3864"/>
      <sz val="11"/>
    </font>
    <font>
      <name val="Arial"/>
      <color rgb="00808080"/>
      <sz val="9"/>
    </font>
  </fonts>
  <fills count="7">
    <fill>
      <patternFill/>
    </fill>
    <fill>
      <patternFill patternType="gray125"/>
    </fill>
    <fill>
      <patternFill patternType="solid">
        <fgColor rgb="001F3864"/>
      </patternFill>
    </fill>
    <fill>
      <patternFill patternType="solid">
        <fgColor rgb="00FFF2CC"/>
      </patternFill>
    </fill>
    <fill>
      <patternFill patternType="solid">
        <fgColor rgb="002E5A9C"/>
      </patternFill>
    </fill>
    <fill>
      <patternFill patternType="solid">
        <fgColor rgb="00FFFFFF"/>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3" borderId="0" applyAlignment="1" pivotButton="0" quotePrefix="0" xfId="0">
      <alignment vertical="center" wrapText="1" inden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164" fontId="3" fillId="0"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7" fillId="0" borderId="1" applyAlignment="1" pivotButton="0" quotePrefix="0" xfId="0">
      <alignment horizontal="center" vertical="center"/>
    </xf>
    <xf numFmtId="0" fontId="8" fillId="0" borderId="0" applyAlignment="1" pivotButton="0" quotePrefix="0" xfId="0">
      <alignment horizontal="right" vertical="center"/>
    </xf>
    <xf numFmtId="164" fontId="9" fillId="5" borderId="1" pivotButton="0" quotePrefix="0" xfId="0"/>
    <xf numFmtId="164" fontId="8" fillId="6" borderId="1"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7</row>
      <rowOff>0</rowOff>
    </from>
    <ext cx="1257300" cy="942975"/>
    <pic>
      <nvPicPr>
        <cNvPr id="1" name="Image 1" descr="Picture"/>
        <cNvPicPr/>
      </nvPicPr>
      <blipFill>
        <a:blip cstate="print" r:embed="rId1"/>
        <a:stretch>
          <a:fillRect/>
        </a:stretch>
      </blipFill>
      <spPr>
        <a:prstGeom prst="rect"/>
      </spPr>
    </pic>
    <clientData/>
  </oneCellAnchor>
  <oneCellAnchor>
    <from>
      <col>2</col>
      <colOff>0</colOff>
      <row>8</row>
      <rowOff>0</rowOff>
    </from>
    <ext cx="1257300" cy="942975"/>
    <pic>
      <nvPicPr>
        <cNvPr id="2" name="Image 2" descr="Picture"/>
        <cNvPicPr/>
      </nvPicPr>
      <blipFill>
        <a:blip cstate="print" r:embed="rId2"/>
        <a:stretch>
          <a:fillRect/>
        </a:stretch>
      </blipFill>
      <spPr>
        <a:prstGeom prst="rect"/>
      </spPr>
    </pic>
    <clientData/>
  </oneCellAnchor>
  <oneCellAnchor>
    <from>
      <col>2</col>
      <colOff>0</colOff>
      <row>9</row>
      <rowOff>0</rowOff>
    </from>
    <ext cx="1257300" cy="942975"/>
    <pic>
      <nvPicPr>
        <cNvPr id="3" name="Image 3" descr="Picture"/>
        <cNvPicPr/>
      </nvPicPr>
      <blipFill>
        <a:blip cstate="print" r:embed="rId3"/>
        <a:stretch>
          <a:fillRect/>
        </a:stretch>
      </blipFill>
      <spPr>
        <a:prstGeom prst="rect"/>
      </spPr>
    </pic>
    <clientData/>
  </oneCellAnchor>
  <oneCellAnchor>
    <from>
      <col>2</col>
      <colOff>0</colOff>
      <row>10</row>
      <rowOff>0</rowOff>
    </from>
    <ext cx="1257300" cy="942975"/>
    <pic>
      <nvPicPr>
        <cNvPr id="4" name="Image 4" descr="Picture"/>
        <cNvPicPr/>
      </nvPicPr>
      <blipFill>
        <a:blip cstate="print" r:embed="rId4"/>
        <a:stretch>
          <a:fillRect/>
        </a:stretch>
      </blipFill>
      <spPr>
        <a:prstGeom prst="rect"/>
      </spPr>
    </pic>
    <clientData/>
  </oneCellAnchor>
  <oneCellAnchor>
    <from>
      <col>2</col>
      <colOff>0</colOff>
      <row>11</row>
      <rowOff>0</rowOff>
    </from>
    <ext cx="1257300" cy="942975"/>
    <pic>
      <nvPicPr>
        <cNvPr id="5" name="Image 5" descr="Picture"/>
        <cNvPicPr/>
      </nvPicPr>
      <blipFill>
        <a:blip cstate="print" r:embed="rId5"/>
        <a:stretch>
          <a:fillRect/>
        </a:stretch>
      </blipFill>
      <spPr>
        <a:prstGeom prst="rect"/>
      </spPr>
    </pic>
    <clientData/>
  </oneCellAnchor>
  <oneCellAnchor>
    <from>
      <col>2</col>
      <colOff>0</colOff>
      <row>12</row>
      <rowOff>0</rowOff>
    </from>
    <ext cx="1257300" cy="942975"/>
    <pic>
      <nvPicPr>
        <cNvPr id="6" name="Image 6" descr="Picture"/>
        <cNvPicPr/>
      </nvPicPr>
      <blipFill>
        <a:blip cstate="print" r:embed="rId6"/>
        <a:stretch>
          <a:fillRect/>
        </a:stretch>
      </blipFill>
      <spPr>
        <a:prstGeom prst="rect"/>
      </spPr>
    </pic>
    <clientData/>
  </oneCellAnchor>
  <oneCellAnchor>
    <from>
      <col>2</col>
      <colOff>0</colOff>
      <row>13</row>
      <rowOff>0</rowOff>
    </from>
    <ext cx="1257300" cy="942975"/>
    <pic>
      <nvPicPr>
        <cNvPr id="7" name="Image 7" descr="Picture"/>
        <cNvPicPr/>
      </nvPicPr>
      <blipFill>
        <a:blip cstate="print" r:embed="rId7"/>
        <a:stretch>
          <a:fillRect/>
        </a:stretch>
      </blipFill>
      <spPr>
        <a:prstGeom prst="rect"/>
      </spPr>
    </pic>
    <clientData/>
  </oneCellAnchor>
  <oneCellAnchor>
    <from>
      <col>2</col>
      <colOff>0</colOff>
      <row>14</row>
      <rowOff>0</rowOff>
    </from>
    <ext cx="1257300" cy="942975"/>
    <pic>
      <nvPicPr>
        <cNvPr id="8" name="Image 8" descr="Picture"/>
        <cNvPicPr/>
      </nvPicPr>
      <blipFill>
        <a:blip cstate="print" r:embed="rId8"/>
        <a:stretch>
          <a:fillRect/>
        </a:stretch>
      </blipFill>
      <spPr>
        <a:prstGeom prst="rect"/>
      </spPr>
    </pic>
    <clientData/>
  </oneCellAnchor>
  <oneCellAnchor>
    <from>
      <col>2</col>
      <colOff>0</colOff>
      <row>15</row>
      <rowOff>0</rowOff>
    </from>
    <ext cx="1257300" cy="942975"/>
    <pic>
      <nvPicPr>
        <cNvPr id="9" name="Image 9" descr="Picture"/>
        <cNvPicPr/>
      </nvPicPr>
      <blipFill>
        <a:blip cstate="print" r:embed="rId9"/>
        <a:stretch>
          <a:fillRect/>
        </a:stretch>
      </blipFill>
      <spPr>
        <a:prstGeom prst="rect"/>
      </spPr>
    </pic>
    <clientData/>
  </oneCellAnchor>
  <oneCellAnchor>
    <from>
      <col>2</col>
      <colOff>0</colOff>
      <row>16</row>
      <rowOff>0</rowOff>
    </from>
    <ext cx="1257300" cy="942975"/>
    <pic>
      <nvPicPr>
        <cNvPr id="10" name="Image 10" descr="Picture"/>
        <cNvPicPr/>
      </nvPicPr>
      <blipFill>
        <a:blip cstate="print" r:embed="rId1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N24"/>
  <sheetViews>
    <sheetView workbookViewId="0">
      <pane ySplit="7" topLeftCell="A8" activePane="bottomLeft" state="frozen"/>
      <selection pane="bottomLeft" activeCell="A1" sqref="A1"/>
    </sheetView>
  </sheetViews>
  <sheetFormatPr baseColWidth="8" defaultRowHeight="15"/>
  <cols>
    <col width="5" customWidth="1" min="1" max="1"/>
    <col width="9" customWidth="1" min="2" max="2"/>
    <col width="20" customWidth="1" min="3" max="3"/>
    <col width="46" customWidth="1" min="4" max="4"/>
    <col width="13" customWidth="1" min="5" max="5"/>
    <col width="12" customWidth="1" min="6" max="6"/>
    <col width="10" customWidth="1" min="7" max="7"/>
    <col width="9" customWidth="1" min="8" max="8"/>
    <col width="15" customWidth="1" min="9" max="9"/>
    <col width="8" customWidth="1" min="10" max="10"/>
    <col width="16" customWidth="1" min="11" max="11"/>
    <col width="13" customWidth="1" min="12" max="12"/>
    <col width="30" customWidth="1" min="13" max="13"/>
    <col width="14" customWidth="1" min="14" max="14"/>
  </cols>
  <sheetData>
    <row r="1" ht="30" customHeight="1">
      <c r="A1" s="1" t="inlineStr">
        <is>
          <t>Kinderkrippe Musterstadt GmbH – Angebot aus Betriebsauflösung</t>
        </is>
      </c>
    </row>
    <row r="2">
      <c r="A2" s="2" t="inlineStr">
        <is>
          <t>Angebot-Nr.</t>
        </is>
      </c>
      <c r="B2" s="3" t="inlineStr">
        <is>
          <t>ANG-2026-0007</t>
        </is>
      </c>
      <c r="H2" s="2" t="inlineStr">
        <is>
          <t>Datum</t>
        </is>
      </c>
      <c r="I2" s="3" t="inlineStr">
        <is>
          <t>15.09.2026</t>
        </is>
      </c>
    </row>
    <row r="3">
      <c r="A3" s="2" t="inlineStr">
        <is>
          <t>Empfänger</t>
        </is>
      </c>
      <c r="B3" s="3" t="inlineStr">
        <is>
          <t>Klinikum Musterstadt, Frau Muster (Einkauf)</t>
        </is>
      </c>
      <c r="H3" s="2" t="inlineStr">
        <is>
          <t>Angebot gültig bis</t>
        </is>
      </c>
      <c r="I3" s="3" t="inlineStr">
        <is>
          <t>30.09.2026</t>
        </is>
      </c>
    </row>
    <row r="4">
      <c r="A4" s="2" t="inlineStr">
        <is>
          <t>Ansprechpartnerin</t>
        </is>
      </c>
      <c r="B4" s="3" t="inlineStr">
        <is>
          <t>J. Preisigke · 0123 456789 · info@kikripp.de</t>
        </is>
      </c>
      <c r="H4" s="2" t="inlineStr">
        <is>
          <t>Alle Preise</t>
        </is>
      </c>
      <c r="I4" s="3" t="inlineStr">
        <is>
          <t>netto zzgl. 19 % USt</t>
        </is>
      </c>
    </row>
    <row r="5" ht="30" customHeight="1">
      <c r="A5" s="4" t="inlineStr">
        <is>
          <t>So geht's: Bitte tragen Sie in den gelben Spalten ein, welche Artikel Sie in welcher Menge übernehmen möchten, und schicken die Datei zurück. Die Summe rechnet sich automatisch. Abholung nach Terminvereinbarung, Zahlung per Rechnung.</t>
        </is>
      </c>
    </row>
    <row r="7" ht="32" customHeight="1">
      <c r="A7" s="5" t="inlineStr">
        <is>
          <t>Pos</t>
        </is>
      </c>
      <c r="B7" s="5" t="inlineStr">
        <is>
          <t>ArtNr</t>
        </is>
      </c>
      <c r="C7" s="5" t="inlineStr">
        <is>
          <t>Foto</t>
        </is>
      </c>
      <c r="D7" s="5" t="inlineStr">
        <is>
          <t>Artikel</t>
        </is>
      </c>
      <c r="E7" s="5" t="inlineStr">
        <is>
          <t>Zustand</t>
        </is>
      </c>
      <c r="F7" s="5" t="inlineStr">
        <is>
          <t>Status</t>
        </is>
      </c>
      <c r="G7" s="5" t="inlineStr">
        <is>
          <t>Verfügbar</t>
        </is>
      </c>
      <c r="H7" s="5" t="inlineStr">
        <is>
          <t>Einheit</t>
        </is>
      </c>
      <c r="I7" s="5" t="inlineStr">
        <is>
          <t>Einzelpreis netto</t>
        </is>
      </c>
      <c r="J7" s="5" t="inlineStr">
        <is>
          <t>Preis</t>
        </is>
      </c>
      <c r="K7" s="5" t="inlineStr">
        <is>
          <t>Lieferung</t>
        </is>
      </c>
      <c r="L7" s="6" t="inlineStr">
        <is>
          <t>Ihre Wunschmenge</t>
        </is>
      </c>
      <c r="M7" s="6" t="inlineStr">
        <is>
          <t>Ihre Bemerkung / Frage</t>
        </is>
      </c>
      <c r="N7" s="5" t="inlineStr">
        <is>
          <t>Summe netto</t>
        </is>
      </c>
    </row>
    <row r="8" ht="78" customHeight="1">
      <c r="A8" s="7" t="n">
        <v>1</v>
      </c>
      <c r="B8" s="7" t="inlineStr">
        <is>
          <t>K-001</t>
        </is>
      </c>
      <c r="C8" s="8" t="n"/>
      <c r="D8" s="9" t="inlineStr">
        <is>
          <t>Garderobenbank mit Hakenleiste
Buche massiv, 6 Plätze, B 120 x H 140 x T 35 cm, Sitzbank mit Schuhablage</t>
        </is>
      </c>
      <c r="E8" s="7" t="inlineStr">
        <is>
          <t>gut</t>
        </is>
      </c>
      <c r="F8" s="7" t="inlineStr">
        <is>
          <t>verfügbar</t>
        </is>
      </c>
      <c r="G8" s="7" t="n">
        <v>12</v>
      </c>
      <c r="H8" s="7" t="inlineStr">
        <is>
          <t>Stück</t>
        </is>
      </c>
      <c r="I8" s="10" t="n">
        <v>85</v>
      </c>
      <c r="J8" s="7" t="inlineStr">
        <is>
          <t>Fix</t>
        </is>
      </c>
      <c r="K8" s="9" t="inlineStr">
        <is>
          <t>nur Abholung</t>
        </is>
      </c>
      <c r="L8" s="11" t="n"/>
      <c r="M8" s="12" t="n"/>
      <c r="N8" s="10">
        <f>IF(L8="","",L8*I8)</f>
        <v/>
      </c>
    </row>
    <row r="9" ht="78" customHeight="1">
      <c r="A9" s="7" t="n">
        <v>2</v>
      </c>
      <c r="B9" s="7" t="inlineStr">
        <is>
          <t>K-002</t>
        </is>
      </c>
      <c r="C9" s="8" t="n"/>
      <c r="D9" s="9" t="inlineStr">
        <is>
          <t>Kindertisch trapezförmig
Buche, 120 x 60 cm, Höhe 53 cm, kombinierbar zu Sechseck</t>
        </is>
      </c>
      <c r="E9" s="7" t="inlineStr">
        <is>
          <t>gut</t>
        </is>
      </c>
      <c r="F9" s="7" t="inlineStr">
        <is>
          <t>verfügbar</t>
        </is>
      </c>
      <c r="G9" s="7" t="n">
        <v>18</v>
      </c>
      <c r="H9" s="7" t="inlineStr">
        <is>
          <t>Stück</t>
        </is>
      </c>
      <c r="I9" s="10" t="n">
        <v>45</v>
      </c>
      <c r="J9" s="7" t="inlineStr">
        <is>
          <t>Fix</t>
        </is>
      </c>
      <c r="K9" s="9" t="inlineStr">
        <is>
          <t>nur Abholung</t>
        </is>
      </c>
      <c r="L9" s="11" t="n"/>
      <c r="M9" s="12" t="n"/>
      <c r="N9" s="10">
        <f>IF(L9="","",L9*I9)</f>
        <v/>
      </c>
    </row>
    <row r="10" ht="78" customHeight="1">
      <c r="A10" s="7" t="n">
        <v>3</v>
      </c>
      <c r="B10" s="7" t="inlineStr">
        <is>
          <t>K-003</t>
        </is>
      </c>
      <c r="C10" s="8" t="n"/>
      <c r="D10" s="9" t="inlineStr">
        <is>
          <t>Kinderstuhl Holz
Buche, Sitzhöhe 34 cm, stapelbar</t>
        </is>
      </c>
      <c r="E10" s="7" t="inlineStr">
        <is>
          <t>gebraucht</t>
        </is>
      </c>
      <c r="F10" s="7" t="inlineStr">
        <is>
          <t>verfügbar</t>
        </is>
      </c>
      <c r="G10" s="7" t="n">
        <v>64</v>
      </c>
      <c r="H10" s="7" t="inlineStr">
        <is>
          <t>Stück</t>
        </is>
      </c>
      <c r="I10" s="10" t="n">
        <v>12</v>
      </c>
      <c r="J10" s="7" t="inlineStr">
        <is>
          <t>Fix</t>
        </is>
      </c>
      <c r="K10" s="9" t="inlineStr">
        <is>
          <t>Versand möglich</t>
        </is>
      </c>
      <c r="L10" s="11" t="n"/>
      <c r="M10" s="12" t="n"/>
      <c r="N10" s="10">
        <f>IF(L10="","",L10*I10)</f>
        <v/>
      </c>
    </row>
    <row r="11" ht="78" customHeight="1">
      <c r="A11" s="7" t="n">
        <v>4</v>
      </c>
      <c r="B11" s="7" t="inlineStr">
        <is>
          <t>K-004</t>
        </is>
      </c>
      <c r="C11" s="8" t="n"/>
      <c r="D11" s="9" t="inlineStr">
        <is>
          <t>Rollcontainer Materialwagen
Weiß, 4 Schubladen, abschließbar, auf Rollen, B 40 x H 60 cm</t>
        </is>
      </c>
      <c r="E11" s="7" t="inlineStr">
        <is>
          <t>gut</t>
        </is>
      </c>
      <c r="F11" s="13" t="inlineStr">
        <is>
          <t>reserviert</t>
        </is>
      </c>
      <c r="G11" s="7" t="n">
        <v>6</v>
      </c>
      <c r="H11" s="7" t="inlineStr">
        <is>
          <t>Stück</t>
        </is>
      </c>
      <c r="I11" s="10" t="n">
        <v>60</v>
      </c>
      <c r="J11" s="7" t="inlineStr">
        <is>
          <t>Fix</t>
        </is>
      </c>
      <c r="K11" s="9" t="inlineStr">
        <is>
          <t>Versand möglich</t>
        </is>
      </c>
      <c r="L11" s="11" t="n"/>
      <c r="M11" s="12" t="n"/>
      <c r="N11" s="10">
        <f>IF(L11="","",L11*I11)</f>
        <v/>
      </c>
    </row>
    <row r="12" ht="78" customHeight="1">
      <c r="A12" s="7" t="n">
        <v>5</v>
      </c>
      <c r="B12" s="7" t="inlineStr">
        <is>
          <t>K-005</t>
        </is>
      </c>
      <c r="C12" s="8" t="n"/>
      <c r="D12" s="9" t="inlineStr">
        <is>
          <t>Wickelkommode mit Aufstiegstreppe
Mit ausziehbarer Treppe, Wickelauflage, 2 Ablagefächer, B 100 x H 100 cm</t>
        </is>
      </c>
      <c r="E12" s="7" t="inlineStr">
        <is>
          <t>gut</t>
        </is>
      </c>
      <c r="F12" s="7" t="inlineStr">
        <is>
          <t>verfügbar</t>
        </is>
      </c>
      <c r="G12" s="7" t="n">
        <v>2</v>
      </c>
      <c r="H12" s="7" t="inlineStr">
        <is>
          <t>Stück</t>
        </is>
      </c>
      <c r="I12" s="10" t="n">
        <v>320</v>
      </c>
      <c r="J12" s="7" t="inlineStr">
        <is>
          <t>VHB</t>
        </is>
      </c>
      <c r="K12" s="9" t="inlineStr">
        <is>
          <t>nur Abholung</t>
        </is>
      </c>
      <c r="L12" s="11" t="n"/>
      <c r="M12" s="12" t="n"/>
      <c r="N12" s="10">
        <f>IF(L12="","",L12*I12)</f>
        <v/>
      </c>
    </row>
    <row r="13" ht="78" customHeight="1">
      <c r="A13" s="7" t="n">
        <v>6</v>
      </c>
      <c r="B13" s="7" t="inlineStr">
        <is>
          <t>K-007</t>
        </is>
      </c>
      <c r="C13" s="8" t="n"/>
      <c r="D13" s="9" t="inlineStr">
        <is>
          <t>Spielteppich groß
200 x 300 cm, Motiv Straßenverkehr, gereinigt</t>
        </is>
      </c>
      <c r="E13" s="7" t="inlineStr">
        <is>
          <t>gebraucht</t>
        </is>
      </c>
      <c r="F13" s="7" t="inlineStr">
        <is>
          <t>verfügbar</t>
        </is>
      </c>
      <c r="G13" s="7" t="n">
        <v>3</v>
      </c>
      <c r="H13" s="7" t="inlineStr">
        <is>
          <t>Stück</t>
        </is>
      </c>
      <c r="I13" s="10" t="n">
        <v>35</v>
      </c>
      <c r="J13" s="7" t="inlineStr">
        <is>
          <t>VHB</t>
        </is>
      </c>
      <c r="K13" s="9" t="inlineStr">
        <is>
          <t>Versand möglich</t>
        </is>
      </c>
      <c r="L13" s="11" t="n"/>
      <c r="M13" s="12" t="n"/>
      <c r="N13" s="10">
        <f>IF(L13="","",L13*I13)</f>
        <v/>
      </c>
    </row>
    <row r="14" ht="78" customHeight="1">
      <c r="A14" s="7" t="n">
        <v>7</v>
      </c>
      <c r="B14" s="7" t="inlineStr">
        <is>
          <t>K-008</t>
        </is>
      </c>
      <c r="C14" s="8" t="n"/>
      <c r="D14" s="9" t="inlineStr">
        <is>
          <t>Karton Acrylfarben
ca. 40 Flaschen à 500 ml, verschiedene Farben, ungeöffnet</t>
        </is>
      </c>
      <c r="E14" s="7" t="inlineStr">
        <is>
          <t>neuwertig</t>
        </is>
      </c>
      <c r="F14" s="7" t="inlineStr">
        <is>
          <t>verfügbar</t>
        </is>
      </c>
      <c r="G14" s="7" t="n">
        <v>3</v>
      </c>
      <c r="H14" s="7" t="inlineStr">
        <is>
          <t>Karton</t>
        </is>
      </c>
      <c r="I14" s="10" t="n">
        <v>95</v>
      </c>
      <c r="J14" s="7" t="inlineStr">
        <is>
          <t>Fix</t>
        </is>
      </c>
      <c r="K14" s="9" t="inlineStr">
        <is>
          <t>Versand möglich</t>
        </is>
      </c>
      <c r="L14" s="11" t="n"/>
      <c r="M14" s="12" t="n"/>
      <c r="N14" s="10">
        <f>IF(L14="","",L14*I14)</f>
        <v/>
      </c>
    </row>
    <row r="15" ht="78" customHeight="1">
      <c r="A15" s="7" t="n">
        <v>8</v>
      </c>
      <c r="B15" s="7" t="inlineStr">
        <is>
          <t>K-009</t>
        </is>
      </c>
      <c r="C15" s="8" t="n"/>
      <c r="D15" s="9" t="inlineStr">
        <is>
          <t>Karton gemischtes Spielzeug
Bausteine, Fahrzeuge, Puzzles, Steckspiele - gereinigt, vollständig geprüfte Sets</t>
        </is>
      </c>
      <c r="E15" s="7" t="inlineStr">
        <is>
          <t>gebraucht</t>
        </is>
      </c>
      <c r="F15" s="7" t="inlineStr">
        <is>
          <t>verfügbar</t>
        </is>
      </c>
      <c r="G15" s="7" t="n">
        <v>12</v>
      </c>
      <c r="H15" s="7" t="inlineStr">
        <is>
          <t>Karton</t>
        </is>
      </c>
      <c r="I15" s="10" t="n">
        <v>15</v>
      </c>
      <c r="J15" s="7" t="inlineStr">
        <is>
          <t>VHB</t>
        </is>
      </c>
      <c r="K15" s="9" t="inlineStr">
        <is>
          <t>Versand möglich</t>
        </is>
      </c>
      <c r="L15" s="11" t="n"/>
      <c r="M15" s="12" t="n"/>
      <c r="N15" s="10">
        <f>IF(L15="","",L15*I15)</f>
        <v/>
      </c>
    </row>
    <row r="16" ht="78" customHeight="1">
      <c r="A16" s="7" t="n">
        <v>9</v>
      </c>
      <c r="B16" s="7" t="inlineStr">
        <is>
          <t>K-010</t>
        </is>
      </c>
      <c r="C16" s="8" t="n"/>
      <c r="D16" s="9" t="inlineStr">
        <is>
          <t>Gewerbespülmaschine Hobart
Untertischgerät, Bj. 2016, gewartet 03/2025, 400 V</t>
        </is>
      </c>
      <c r="E16" s="7" t="inlineStr">
        <is>
          <t>gut</t>
        </is>
      </c>
      <c r="F16" s="7" t="inlineStr">
        <is>
          <t>verfügbar</t>
        </is>
      </c>
      <c r="G16" s="7" t="n">
        <v>1</v>
      </c>
      <c r="H16" s="7" t="inlineStr">
        <is>
          <t>Stück</t>
        </is>
      </c>
      <c r="I16" s="10" t="n">
        <v>1450</v>
      </c>
      <c r="J16" s="7" t="inlineStr">
        <is>
          <t>VHB</t>
        </is>
      </c>
      <c r="K16" s="9" t="inlineStr">
        <is>
          <t>nur Abholung</t>
        </is>
      </c>
      <c r="L16" s="11" t="n"/>
      <c r="M16" s="12" t="n"/>
      <c r="N16" s="10">
        <f>IF(L16="","",L16*I16)</f>
        <v/>
      </c>
    </row>
    <row r="17" ht="78" customHeight="1">
      <c r="A17" s="7" t="n">
        <v>10</v>
      </c>
      <c r="B17" s="7" t="inlineStr">
        <is>
          <t>K-011</t>
        </is>
      </c>
      <c r="C17" s="8" t="n"/>
      <c r="D17" s="9" t="inlineStr">
        <is>
          <t>Edelstahl-Arbeitstisch
180 x 70 cm, mit Zwischenboden, höhenverstellbare Füße</t>
        </is>
      </c>
      <c r="E17" s="7" t="inlineStr">
        <is>
          <t>gut</t>
        </is>
      </c>
      <c r="F17" s="7" t="inlineStr">
        <is>
          <t>verfügbar</t>
        </is>
      </c>
      <c r="G17" s="7" t="n">
        <v>3</v>
      </c>
      <c r="H17" s="7" t="inlineStr">
        <is>
          <t>Stück</t>
        </is>
      </c>
      <c r="I17" s="10" t="n">
        <v>180</v>
      </c>
      <c r="J17" s="7" t="inlineStr">
        <is>
          <t>Fix</t>
        </is>
      </c>
      <c r="K17" s="9" t="inlineStr">
        <is>
          <t>nur Abholung</t>
        </is>
      </c>
      <c r="L17" s="11" t="n"/>
      <c r="M17" s="12" t="n"/>
      <c r="N17" s="10">
        <f>IF(L17="","",L17*I17)</f>
        <v/>
      </c>
    </row>
    <row r="18" ht="20" customHeight="1">
      <c r="A18" s="14" t="inlineStr">
        <is>
          <t>Zwischensumme netto</t>
        </is>
      </c>
      <c r="N18" s="15">
        <f>SUM(N8:N17)</f>
        <v/>
      </c>
    </row>
    <row r="19" ht="20" customHeight="1">
      <c r="A19" s="14" t="inlineStr">
        <is>
          <t>zzgl. 19 % Umsatzsteuer</t>
        </is>
      </c>
      <c r="N19" s="15">
        <f>N18*0.19</f>
        <v/>
      </c>
    </row>
    <row r="20" ht="20" customHeight="1">
      <c r="A20" s="14" t="inlineStr">
        <is>
          <t>Gesamtsumme brutto</t>
        </is>
      </c>
      <c r="N20" s="16">
        <f>N18+N19</f>
        <v/>
      </c>
    </row>
    <row r="22">
      <c r="A22" s="17" t="inlineStr">
        <is>
          <t>Hinweise: Verkauf erfolgt unter Ausschluss jeglicher Gewährleistung (Verkauf aus Betriebsauflösung, gebrauchte Gegenstände). Angebot freibleibend – Zwischenverkauf vorbehalten. Reservierung wird nach Rücksendung dieser Liste schriftlich bestätigt. Abholung nach Terminvereinbarung; Demontage und Transport durch den Käufer. Elektrogeräte werden ohne Prüfnachweis übergeben.</t>
        </is>
      </c>
    </row>
    <row r="23"/>
    <row r="24"/>
  </sheetData>
  <mergeCells count="12">
    <mergeCell ref="B4:F4"/>
    <mergeCell ref="A19:M19"/>
    <mergeCell ref="B2:F2"/>
    <mergeCell ref="I2:N2"/>
    <mergeCell ref="B3:F3"/>
    <mergeCell ref="A18:M18"/>
    <mergeCell ref="I3:N3"/>
    <mergeCell ref="A5:N5"/>
    <mergeCell ref="A20:M20"/>
    <mergeCell ref="I4:N4"/>
    <mergeCell ref="A22:N24"/>
    <mergeCell ref="A1:N1"/>
  </mergeCells>
  <pageMargins left="0.75" right="0.75" top="1" bottom="1" header="0.5" footer="0.5"/>
  <pageSetup orientation="landscape"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2026-09-15T07:45:47Z</dcterms:created>
  <dcterms:modified xsi:type="dcterms:W3CDTF">2026-09-15T07:45:47Z</dcterms:modified>
</cp:coreProperties>
</file>