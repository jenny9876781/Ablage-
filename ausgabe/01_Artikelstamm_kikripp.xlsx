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'Artikelstamm'!$A$2:$AN$404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40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Auf dem Foto ist eine davon zu sehen.</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BE10-09</t>
        </is>
      </c>
      <c r="B61" s="15" t="inlineStr">
        <is>
          <t>K-038</t>
        </is>
      </c>
      <c r="C61" s="15" t="n"/>
      <c r="D61" s="15" t="inlineStr">
        <is>
          <t>BE10</t>
        </is>
      </c>
      <c r="E61" s="15" t="inlineStr">
        <is>
          <t>Konsolentisch schwarz mit Glasablagen</t>
        </is>
      </c>
      <c r="F61" s="16" t="inlineStr">
        <is>
          <t>Schmaler Konsolentisch mit schwarzem Metallrahmen und zwei Ablagen aus Glas.</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ja</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Tisch. Auf Foto F-024 steht er im Raum.</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BE10-10</t>
        </is>
      </c>
      <c r="B63" s="15" t="inlineStr">
        <is>
          <t>K-041</t>
        </is>
      </c>
      <c r="C63" s="15" t="n"/>
      <c r="D63" s="15" t="inlineStr">
        <is>
          <t>BE10</t>
        </is>
      </c>
      <c r="E63" s="15" t="inlineStr">
        <is>
          <t>Kommode Holz, antik</t>
        </is>
      </c>
      <c r="F63" s="16" t="inlineStr">
        <is>
          <t>Alte Holzkommode beziehungsweise Sekretär in dunklem Holz. Die linke Tür schließt nicht mehr; der übrige Zustand ist gut.</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ja</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Kommode. Auf Foto F-025 steht sie im Raum.</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BE10-11</t>
        </is>
      </c>
      <c r="B65" s="15" t="inlineStr">
        <is>
          <t>K-045</t>
        </is>
      </c>
      <c r="C65" s="15" t="n"/>
      <c r="D65" s="15" t="inlineStr">
        <is>
          <t>BE10</t>
        </is>
      </c>
      <c r="E65" s="15" t="inlineStr">
        <is>
          <t>Bürodrehstuhl weiß</t>
        </is>
      </c>
      <c r="F65" s="16" t="inlineStr">
        <is>
          <t>Bürodrehstuhl in Weiß auf fünf Rollen, Sitzhöhe verstellbar.</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ja</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Stuhl. Auf Foto F-027 steht er im Raum.</t>
        </is>
      </c>
      <c r="AN65" s="22" t="n"/>
    </row>
    <row r="66" ht="30" customHeight="1">
      <c r="A66" s="15" t="inlineStr">
        <is>
          <t>BE10-12</t>
        </is>
      </c>
      <c r="B66" s="15" t="inlineStr">
        <is>
          <t>K-046</t>
        </is>
      </c>
      <c r="C66" s="15" t="n"/>
      <c r="D66" s="15" t="inlineStr">
        <is>
          <t>BE10</t>
        </is>
      </c>
      <c r="E66" s="15" t="inlineStr">
        <is>
          <t>Aktenschrank weiß</t>
        </is>
      </c>
      <c r="F66" s="16" t="inlineStr">
        <is>
          <t>Büroschrank in Weiß mit Türen und Einlegeböden.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ja</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Auf Foto F-027 stehen sie im Raum.</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2</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2 Boxen: eine auf der Terrasse und eine auf der Dachterrasse. Die Box auf der Dachterrasse ist auf Foto F-108 zu sehen.</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row r="395" ht="30" customHeight="1">
      <c r="A395" s="15" t="inlineStr">
        <is>
          <t>TE02-07</t>
        </is>
      </c>
      <c r="B395" s="15" t="n"/>
      <c r="C395" s="15" t="n"/>
      <c r="D395" s="15" t="inlineStr">
        <is>
          <t>TE02</t>
        </is>
      </c>
      <c r="E395" s="15" t="inlineStr">
        <is>
          <t>KidKraft Kinder-Strandliege mit Sonnendach</t>
        </is>
      </c>
      <c r="F395" s="16" t="inlineStr">
        <is>
          <t>Liege für Kinder aus lasiertem Holz mit Lattenrost, hochgestellter Rückenlehne, Sonnendach aus grauem Stoff und einer Mittelkonsole mit zwei Bechereinsätzen. Das Holz ist wettergrau, der Stoff verschmutzt.</t>
        </is>
      </c>
      <c r="G395" s="15" t="inlineStr">
        <is>
          <t>Garten</t>
        </is>
      </c>
      <c r="H395" s="15" t="inlineStr">
        <is>
          <t>Dachterrasse</t>
        </is>
      </c>
      <c r="I395" s="15" t="inlineStr">
        <is>
          <t>C</t>
        </is>
      </c>
      <c r="J395" s="17" t="n">
        <v>1</v>
      </c>
      <c r="K395" s="17" t="n"/>
      <c r="L395" s="18">
        <f>J395-IF(K395="",0,K395)</f>
        <v/>
      </c>
      <c r="M395" s="15" t="inlineStr">
        <is>
          <t>Stück</t>
        </is>
      </c>
      <c r="N395" s="15" t="inlineStr">
        <is>
          <t>gebraucht</t>
        </is>
      </c>
      <c r="O395" s="19" t="n"/>
      <c r="P395" s="19" t="inlineStr">
        <is>
          <t>ja</t>
        </is>
      </c>
      <c r="Q395" s="19" t="n"/>
      <c r="R395" s="20" t="n"/>
      <c r="S395" s="20" t="n">
        <v>60</v>
      </c>
      <c r="T395" s="19" t="inlineStr">
        <is>
          <t>VHB</t>
        </is>
      </c>
      <c r="U395" s="21">
        <f>L395*S395</f>
        <v/>
      </c>
      <c r="V395" s="15" t="inlineStr">
        <is>
          <t>nur Abholung</t>
        </is>
      </c>
      <c r="W395" s="15" t="inlineStr">
        <is>
          <t>F-504</t>
        </is>
      </c>
      <c r="X395" s="19" t="inlineStr">
        <is>
          <t>ja</t>
        </is>
      </c>
      <c r="Y395" s="19" t="n"/>
      <c r="Z395" s="19" t="inlineStr">
        <is>
          <t>verfügbar</t>
        </is>
      </c>
      <c r="AA395" s="19" t="inlineStr">
        <is>
          <t>KidKraft</t>
        </is>
      </c>
      <c r="AB395" s="19" t="n"/>
      <c r="AC395" s="19" t="n"/>
      <c r="AD395" s="19" t="n"/>
      <c r="AE395" s="20" t="n"/>
      <c r="AF395" s="21">
        <f>IF(K395="","",K395*AE395)</f>
        <v/>
      </c>
      <c r="AG395" s="19" t="n"/>
      <c r="AH395" s="19" t="n"/>
      <c r="AI395" s="19" t="n"/>
      <c r="AJ395" s="19" t="n"/>
      <c r="AK395" s="19" t="n"/>
      <c r="AL395" s="19" t="n"/>
      <c r="AM395" s="16" t="inlineStr">
        <is>
          <t>1 Liege einschließlich Sonnendach und Mittelkonsole.</t>
        </is>
      </c>
      <c r="AN395" s="22" t="n"/>
    </row>
    <row r="396" ht="30" customHeight="1">
      <c r="A396" s="15" t="inlineStr">
        <is>
          <t>TE02-08</t>
        </is>
      </c>
      <c r="B396" s="15" t="n"/>
      <c r="C396" s="15" t="n"/>
      <c r="D396" s="15" t="inlineStr">
        <is>
          <t>TE02</t>
        </is>
      </c>
      <c r="E396" s="15" t="inlineStr">
        <is>
          <t>IKEA Skarpö Sessel weiß</t>
        </is>
      </c>
      <c r="F396" s="16" t="inlineStr">
        <is>
          <t>Gartensessel IKEA Skarpö, Entwurf Magnus Elebäck: weißer Kunststoff in einem Stück, stapelbar. Etikett an der Unterseite: Skarpö, 702.341.85, 18809. Sitzflächen verschmutzt und bewittert.</t>
        </is>
      </c>
      <c r="G396" s="15" t="inlineStr">
        <is>
          <t>Garten</t>
        </is>
      </c>
      <c r="H396" s="15" t="inlineStr">
        <is>
          <t>Dachterrasse</t>
        </is>
      </c>
      <c r="I396" s="15" t="inlineStr">
        <is>
          <t>C</t>
        </is>
      </c>
      <c r="J396" s="17" t="n">
        <v>4</v>
      </c>
      <c r="K396" s="17" t="n"/>
      <c r="L396" s="18">
        <f>J396-IF(K396="",0,K396)</f>
        <v/>
      </c>
      <c r="M396" s="15" t="inlineStr">
        <is>
          <t>Stück</t>
        </is>
      </c>
      <c r="N396" s="15" t="inlineStr">
        <is>
          <t>gebraucht</t>
        </is>
      </c>
      <c r="O396" s="19" t="n"/>
      <c r="P396" s="19" t="inlineStr">
        <is>
          <t>ja</t>
        </is>
      </c>
      <c r="Q396" s="19" t="n"/>
      <c r="R396" s="20" t="n"/>
      <c r="S396" s="20" t="n">
        <v>25</v>
      </c>
      <c r="T396" s="19" t="inlineStr">
        <is>
          <t>VHB</t>
        </is>
      </c>
      <c r="U396" s="21">
        <f>L396*S396</f>
        <v/>
      </c>
      <c r="V396" s="15" t="inlineStr">
        <is>
          <t>nur Abholung</t>
        </is>
      </c>
      <c r="W396" s="15" t="inlineStr">
        <is>
          <t>F-506</t>
        </is>
      </c>
      <c r="X396" s="19" t="inlineStr">
        <is>
          <t>ja</t>
        </is>
      </c>
      <c r="Y396" s="19" t="n"/>
      <c r="Z396" s="19" t="inlineStr">
        <is>
          <t>verfügbar</t>
        </is>
      </c>
      <c r="AA396" s="19" t="inlineStr">
        <is>
          <t>IKEA</t>
        </is>
      </c>
      <c r="AB396" s="19" t="n"/>
      <c r="AC396" s="19" t="n"/>
      <c r="AD396" s="19" t="n"/>
      <c r="AE396" s="20" t="n"/>
      <c r="AF396" s="21">
        <f>IF(K396="","",K396*AE396)</f>
        <v/>
      </c>
      <c r="AG396" s="19" t="n"/>
      <c r="AH396" s="19" t="n"/>
      <c r="AI396" s="19" t="n"/>
      <c r="AJ396" s="19" t="n"/>
      <c r="AK396" s="19" t="n"/>
      <c r="AL396" s="19" t="n"/>
      <c r="AM396" s="16" t="inlineStr">
        <is>
          <t>4 Sessel – abgebildet ist einer davon. Das Etikett ist auf Foto F-505 zu sehen.</t>
        </is>
      </c>
      <c r="AN396" s="22" t="n"/>
    </row>
    <row r="397" ht="30" customHeight="1">
      <c r="A397" s="15" t="inlineStr">
        <is>
          <t>TE02-09</t>
        </is>
      </c>
      <c r="B397" s="15" t="n"/>
      <c r="C397" s="15" t="inlineStr">
        <is>
          <t>TE02-16</t>
        </is>
      </c>
      <c r="D397" s="15" t="inlineStr">
        <is>
          <t>TE02</t>
        </is>
      </c>
      <c r="E397" s="15" t="inlineStr">
        <is>
          <t>IKEA Mammut Kinderstuhl rot</t>
        </is>
      </c>
      <c r="F397" s="16" t="inlineStr">
        <is>
          <t>Kinderstuhl IKEA Mammut aus rotem Kunststoff mit runden Beinen und breiter Rückenlehne, für drinnen und draußen.</t>
        </is>
      </c>
      <c r="G397" s="15" t="inlineStr">
        <is>
          <t>Garten</t>
        </is>
      </c>
      <c r="H397" s="15" t="inlineStr">
        <is>
          <t>Dachterrasse</t>
        </is>
      </c>
      <c r="I397" s="15" t="inlineStr">
        <is>
          <t>C</t>
        </is>
      </c>
      <c r="J397" s="17" t="n">
        <v>20</v>
      </c>
      <c r="K397" s="17" t="n"/>
      <c r="L397" s="18">
        <f>J397-IF(K397="",0,K397)</f>
        <v/>
      </c>
      <c r="M397" s="15" t="inlineStr">
        <is>
          <t>Stück</t>
        </is>
      </c>
      <c r="N397" s="15" t="inlineStr">
        <is>
          <t>gebraucht</t>
        </is>
      </c>
      <c r="O397" s="19" t="n"/>
      <c r="P397" s="19" t="inlineStr">
        <is>
          <t>ja</t>
        </is>
      </c>
      <c r="Q397" s="19" t="n"/>
      <c r="R397" s="20" t="n"/>
      <c r="S397" s="20" t="n">
        <v>12</v>
      </c>
      <c r="T397" s="19" t="inlineStr">
        <is>
          <t>VHB</t>
        </is>
      </c>
      <c r="U397" s="21">
        <f>L397*S397</f>
        <v/>
      </c>
      <c r="V397" s="15" t="inlineStr">
        <is>
          <t>nur Abholung</t>
        </is>
      </c>
      <c r="W397" s="15" t="inlineStr">
        <is>
          <t>F-507</t>
        </is>
      </c>
      <c r="X397" s="19" t="inlineStr">
        <is>
          <t>ja</t>
        </is>
      </c>
      <c r="Y397" s="19" t="n"/>
      <c r="Z397" s="19" t="inlineStr">
        <is>
          <t>verfügbar</t>
        </is>
      </c>
      <c r="AA397" s="19" t="inlineStr">
        <is>
          <t>IKEA</t>
        </is>
      </c>
      <c r="AB397" s="19" t="n"/>
      <c r="AC397" s="19" t="n"/>
      <c r="AD397" s="19" t="n"/>
      <c r="AE397" s="20" t="n"/>
      <c r="AF397" s="21">
        <f>IF(K397="","",K397*AE397)</f>
        <v/>
      </c>
      <c r="AG397" s="19" t="n"/>
      <c r="AH397" s="19" t="n"/>
      <c r="AI397" s="19" t="n"/>
      <c r="AJ397" s="19" t="n"/>
      <c r="AK397" s="19" t="n"/>
      <c r="AL397" s="19" t="n"/>
      <c r="AM397" s="16" t="inlineStr">
        <is>
          <t>20 Stühle insgesamt. Zehn davon sind in gutem Zustand (auf dem Erfassungsblatt TE02-09), zehn weitere sind gebraucht (dort TE02-16) und auf Foto F-514 gestapelt zu sehen.</t>
        </is>
      </c>
      <c r="AN397" s="22" t="inlineStr">
        <is>
          <t>Zusammengefasste Position aus zwei Nummern desselben Raums – Post-it-Nummer: TE02-16.</t>
        </is>
      </c>
    </row>
    <row r="398" ht="30" customHeight="1">
      <c r="A398" s="15" t="inlineStr">
        <is>
          <t>TE02-10</t>
        </is>
      </c>
      <c r="B398" s="15" t="n"/>
      <c r="C398" s="15" t="n"/>
      <c r="D398" s="15" t="inlineStr">
        <is>
          <t>TE02</t>
        </is>
      </c>
      <c r="E398" s="15" t="inlineStr">
        <is>
          <t>IKEA Mammut Kinderstuhl grün</t>
        </is>
      </c>
      <c r="F398" s="16" t="inlineStr">
        <is>
          <t>Kinderstuhl IKEA Mammut aus grünem Kunststoff. Die Stühle standen lange im Freien: Farbe ausgeblichen, Oberflächen stumpf und stark verkratzt.</t>
        </is>
      </c>
      <c r="G398" s="15" t="inlineStr">
        <is>
          <t>Garten</t>
        </is>
      </c>
      <c r="H398" s="15" t="inlineStr">
        <is>
          <t>Dachterrasse</t>
        </is>
      </c>
      <c r="I398" s="15" t="inlineStr">
        <is>
          <t>C</t>
        </is>
      </c>
      <c r="J398" s="17" t="n">
        <v>15</v>
      </c>
      <c r="K398" s="17" t="n"/>
      <c r="L398" s="18">
        <f>J398-IF(K398="",0,K398)</f>
        <v/>
      </c>
      <c r="M398" s="15" t="inlineStr">
        <is>
          <t>Stück</t>
        </is>
      </c>
      <c r="N398" s="15" t="inlineStr">
        <is>
          <t>stark gebraucht</t>
        </is>
      </c>
      <c r="O398" s="19" t="n"/>
      <c r="P398" s="19" t="inlineStr">
        <is>
          <t>ja</t>
        </is>
      </c>
      <c r="Q398" s="19" t="n"/>
      <c r="R398" s="20" t="n"/>
      <c r="S398" s="20" t="n">
        <v>5</v>
      </c>
      <c r="T398" s="19" t="inlineStr">
        <is>
          <t>VHB</t>
        </is>
      </c>
      <c r="U398" s="21">
        <f>L398*S398</f>
        <v/>
      </c>
      <c r="V398" s="15" t="inlineStr">
        <is>
          <t>nur Abholung</t>
        </is>
      </c>
      <c r="W398" s="15" t="inlineStr">
        <is>
          <t>F-508</t>
        </is>
      </c>
      <c r="X398" s="19" t="inlineStr">
        <is>
          <t>ja</t>
        </is>
      </c>
      <c r="Y398" s="19" t="n"/>
      <c r="Z398" s="19" t="inlineStr">
        <is>
          <t>verfügbar</t>
        </is>
      </c>
      <c r="AA398" s="19" t="inlineStr">
        <is>
          <t>IKEA</t>
        </is>
      </c>
      <c r="AB398" s="19" t="n"/>
      <c r="AC398" s="19" t="n"/>
      <c r="AD398" s="19" t="n"/>
      <c r="AE398" s="20" t="n"/>
      <c r="AF398" s="21">
        <f>IF(K398="","",K398*AE398)</f>
        <v/>
      </c>
      <c r="AG398" s="19" t="n"/>
      <c r="AH398" s="19" t="n"/>
      <c r="AI398" s="19" t="n"/>
      <c r="AJ398" s="19" t="n"/>
      <c r="AK398" s="19" t="n"/>
      <c r="AL398" s="19" t="n"/>
      <c r="AM398" s="16" t="inlineStr">
        <is>
          <t>15 Stühle – abgebildet ist einer davon. Auf dem Erfassungsblatt als stark verwittert vermerkt.</t>
        </is>
      </c>
      <c r="AN398" s="22" t="n"/>
    </row>
    <row r="399" ht="30" customHeight="1">
      <c r="A399" s="15" t="inlineStr">
        <is>
          <t>TE02-11</t>
        </is>
      </c>
      <c r="B399" s="15" t="n"/>
      <c r="C399" s="15" t="n"/>
      <c r="D399" s="15" t="inlineStr">
        <is>
          <t>TE02</t>
        </is>
      </c>
      <c r="E399" s="15" t="inlineStr">
        <is>
          <t>IKEA Mammut Kindertisch grün, rund</t>
        </is>
      </c>
      <c r="F399" s="16" t="inlineStr">
        <is>
          <t>Runder Kindertisch IKEA Mammut aus grünem Kunststoff auf drei konischen Beinen.</t>
        </is>
      </c>
      <c r="G399" s="15" t="inlineStr">
        <is>
          <t>Garten</t>
        </is>
      </c>
      <c r="H399" s="15" t="inlineStr">
        <is>
          <t>Dachterrasse</t>
        </is>
      </c>
      <c r="I399" s="15" t="inlineStr">
        <is>
          <t>C</t>
        </is>
      </c>
      <c r="J399" s="17" t="n">
        <v>2</v>
      </c>
      <c r="K399" s="17" t="n"/>
      <c r="L399" s="18">
        <f>J399-IF(K399="",0,K399)</f>
        <v/>
      </c>
      <c r="M399" s="15" t="inlineStr">
        <is>
          <t>Stück</t>
        </is>
      </c>
      <c r="N399" s="15" t="inlineStr">
        <is>
          <t>stark gebraucht</t>
        </is>
      </c>
      <c r="O399" s="19" t="n"/>
      <c r="P399" s="19" t="inlineStr">
        <is>
          <t>ja</t>
        </is>
      </c>
      <c r="Q399" s="19" t="n"/>
      <c r="R399" s="20" t="n"/>
      <c r="S399" s="20" t="n">
        <v>15</v>
      </c>
      <c r="T399" s="19" t="inlineStr">
        <is>
          <t>VHB</t>
        </is>
      </c>
      <c r="U399" s="21">
        <f>L399*S399</f>
        <v/>
      </c>
      <c r="V399" s="15" t="inlineStr">
        <is>
          <t>nur Abholung</t>
        </is>
      </c>
      <c r="W399" s="15" t="inlineStr">
        <is>
          <t>F-509</t>
        </is>
      </c>
      <c r="X399" s="19" t="inlineStr">
        <is>
          <t>ja</t>
        </is>
      </c>
      <c r="Y399" s="19" t="n"/>
      <c r="Z399" s="19" t="inlineStr">
        <is>
          <t>verfügbar</t>
        </is>
      </c>
      <c r="AA399" s="19" t="inlineStr">
        <is>
          <t>IKEA</t>
        </is>
      </c>
      <c r="AB399" s="19" t="n"/>
      <c r="AC399" s="19" t="n"/>
      <c r="AD399" s="19" t="n"/>
      <c r="AE399" s="20" t="n"/>
      <c r="AF399" s="21">
        <f>IF(K399="","",K399*AE399)</f>
        <v/>
      </c>
      <c r="AG399" s="19" t="n"/>
      <c r="AH399" s="19" t="n"/>
      <c r="AI399" s="19" t="n"/>
      <c r="AJ399" s="19" t="n"/>
      <c r="AK399" s="19" t="n"/>
      <c r="AL399" s="19" t="n"/>
      <c r="AM399" s="16" t="inlineStr">
        <is>
          <t>2 Tische – abgebildet ist einer davon.</t>
        </is>
      </c>
      <c r="AN399" s="22" t="n"/>
    </row>
    <row r="400" ht="30" customHeight="1">
      <c r="A400" s="15" t="inlineStr">
        <is>
          <t>TE02-12</t>
        </is>
      </c>
      <c r="B400" s="15" t="n"/>
      <c r="C400" s="15" t="n"/>
      <c r="D400" s="15" t="inlineStr">
        <is>
          <t>TE02</t>
        </is>
      </c>
      <c r="E400" s="15" t="inlineStr">
        <is>
          <t>IKEA Mammut Kindertisch grün, rund, stark verwittert</t>
        </is>
      </c>
      <c r="F400" s="16" t="inlineStr">
        <is>
          <t>Runder Kindertisch IKEA Mammut aus grünem Kunststoff. Die Platte ist vom Wetter ausgebleicht und großflächig grau verfärbt.</t>
        </is>
      </c>
      <c r="G400" s="15" t="inlineStr">
        <is>
          <t>Garten</t>
        </is>
      </c>
      <c r="H400" s="15" t="inlineStr">
        <is>
          <t>Dachterrasse</t>
        </is>
      </c>
      <c r="I400" s="15" t="inlineStr">
        <is>
          <t>C</t>
        </is>
      </c>
      <c r="J400" s="17" t="n">
        <v>2</v>
      </c>
      <c r="K400" s="17" t="n"/>
      <c r="L400" s="18">
        <f>J400-IF(K400="",0,K400)</f>
        <v/>
      </c>
      <c r="M400" s="15" t="inlineStr">
        <is>
          <t>Stück</t>
        </is>
      </c>
      <c r="N400" s="15" t="inlineStr">
        <is>
          <t>stark gebraucht</t>
        </is>
      </c>
      <c r="O400" s="19" t="n"/>
      <c r="P400" s="19" t="inlineStr">
        <is>
          <t>ja</t>
        </is>
      </c>
      <c r="Q400" s="19" t="n"/>
      <c r="R400" s="20" t="n"/>
      <c r="S400" s="20" t="n">
        <v>10</v>
      </c>
      <c r="T400" s="19" t="inlineStr">
        <is>
          <t>VHB</t>
        </is>
      </c>
      <c r="U400" s="21">
        <f>L400*S400</f>
        <v/>
      </c>
      <c r="V400" s="15" t="inlineStr">
        <is>
          <t>nur Abholung</t>
        </is>
      </c>
      <c r="W400" s="15" t="inlineStr">
        <is>
          <t>F-510</t>
        </is>
      </c>
      <c r="X400" s="19" t="inlineStr">
        <is>
          <t>ja</t>
        </is>
      </c>
      <c r="Y400" s="19" t="n"/>
      <c r="Z400" s="19" t="inlineStr">
        <is>
          <t>verfügbar</t>
        </is>
      </c>
      <c r="AA400" s="19" t="inlineStr">
        <is>
          <t>IKEA</t>
        </is>
      </c>
      <c r="AB400" s="19" t="n"/>
      <c r="AC400" s="19" t="n"/>
      <c r="AD400" s="19" t="n"/>
      <c r="AE400" s="20" t="n"/>
      <c r="AF400" s="21">
        <f>IF(K400="","",K400*AE400)</f>
        <v/>
      </c>
      <c r="AG400" s="19" t="n"/>
      <c r="AH400" s="19" t="n"/>
      <c r="AI400" s="19" t="n"/>
      <c r="AJ400" s="19" t="n"/>
      <c r="AK400" s="19" t="n"/>
      <c r="AL400" s="19" t="n"/>
      <c r="AM400" s="16" t="inlineStr">
        <is>
          <t>2 Tische – abgebildet ist einer davon. Weniger stark bewitterte Tische gleicher Bauart stehen unter TE02-11.</t>
        </is>
      </c>
      <c r="AN400" s="22" t="n"/>
    </row>
    <row r="401" ht="30" customHeight="1">
      <c r="A401" s="15" t="inlineStr">
        <is>
          <t>TE02-13</t>
        </is>
      </c>
      <c r="B401" s="15" t="n"/>
      <c r="C401" s="15" t="inlineStr">
        <is>
          <t>TE02-18</t>
        </is>
      </c>
      <c r="D401" s="15" t="inlineStr">
        <is>
          <t>TE02</t>
        </is>
      </c>
      <c r="E401" s="15" t="inlineStr">
        <is>
          <t>IKEA Mammut Kinderstuhl weiß</t>
        </is>
      </c>
      <c r="F401" s="16" t="inlineStr">
        <is>
          <t>Kinderstuhl IKEA Mammut aus weißem Kunststoff mit runden Beinen und breiter Rückenlehne.</t>
        </is>
      </c>
      <c r="G401" s="15" t="inlineStr">
        <is>
          <t>Garten</t>
        </is>
      </c>
      <c r="H401" s="15" t="inlineStr">
        <is>
          <t>Dachterrasse</t>
        </is>
      </c>
      <c r="I401" s="15" t="inlineStr">
        <is>
          <t>C</t>
        </is>
      </c>
      <c r="J401" s="17" t="n">
        <v>14</v>
      </c>
      <c r="K401" s="17" t="n"/>
      <c r="L401" s="18">
        <f>J401-IF(K401="",0,K401)</f>
        <v/>
      </c>
      <c r="M401" s="15" t="inlineStr">
        <is>
          <t>Stück</t>
        </is>
      </c>
      <c r="N401" s="15" t="inlineStr">
        <is>
          <t>gebraucht</t>
        </is>
      </c>
      <c r="O401" s="19" t="n"/>
      <c r="P401" s="19" t="inlineStr">
        <is>
          <t>ja</t>
        </is>
      </c>
      <c r="Q401" s="19" t="n"/>
      <c r="R401" s="20" t="n"/>
      <c r="S401" s="20" t="n">
        <v>10</v>
      </c>
      <c r="T401" s="19" t="inlineStr">
        <is>
          <t>VHB</t>
        </is>
      </c>
      <c r="U401" s="21">
        <f>L401*S401</f>
        <v/>
      </c>
      <c r="V401" s="15" t="inlineStr">
        <is>
          <t>nur Abholung</t>
        </is>
      </c>
      <c r="W401" s="15" t="inlineStr">
        <is>
          <t>F-511</t>
        </is>
      </c>
      <c r="X401" s="19" t="inlineStr">
        <is>
          <t>ja</t>
        </is>
      </c>
      <c r="Y401" s="19" t="n"/>
      <c r="Z401" s="19" t="inlineStr">
        <is>
          <t>verfügbar</t>
        </is>
      </c>
      <c r="AA401" s="19" t="inlineStr">
        <is>
          <t>IKEA</t>
        </is>
      </c>
      <c r="AB401" s="19" t="n"/>
      <c r="AC401" s="19" t="n"/>
      <c r="AD401" s="19" t="n"/>
      <c r="AE401" s="20" t="n"/>
      <c r="AF401" s="21">
        <f>IF(K401="","",K401*AE401)</f>
        <v/>
      </c>
      <c r="AG401" s="19" t="n"/>
      <c r="AH401" s="19" t="n"/>
      <c r="AI401" s="19" t="n"/>
      <c r="AJ401" s="19" t="n"/>
      <c r="AK401" s="19" t="n"/>
      <c r="AL401" s="19" t="n"/>
      <c r="AM401" s="16" t="inlineStr">
        <is>
          <t>14 Stühle insgesamt – abgebildet ist einer davon. Auf dem Erfassungsblatt stehen sie unter TE02-13 (5 Stück) und TE02-18 (9 Stück).</t>
        </is>
      </c>
      <c r="AN401" s="22" t="inlineStr">
        <is>
          <t>Zusammengefasste Position aus zwei Nummern desselben Raums – Post-it-Nummer: TE02-18.</t>
        </is>
      </c>
    </row>
    <row r="402" ht="30" customHeight="1">
      <c r="A402" s="15" t="inlineStr">
        <is>
          <t>TE02-14</t>
        </is>
      </c>
      <c r="B402" s="15" t="n"/>
      <c r="C402" s="15" t="n"/>
      <c r="D402" s="15" t="inlineStr">
        <is>
          <t>TE02</t>
        </is>
      </c>
      <c r="E402" s="15" t="inlineStr">
        <is>
          <t>IKEA Mammut Kinderstuhl rosa</t>
        </is>
      </c>
      <c r="F402" s="16" t="inlineStr">
        <is>
          <t>Kinderstuhl IKEA Mammut aus rosa Kunststoff, Farbe an Sitz und Lehne ausgeblichen.</t>
        </is>
      </c>
      <c r="G402" s="15" t="inlineStr">
        <is>
          <t>Garten</t>
        </is>
      </c>
      <c r="H402" s="15" t="inlineStr">
        <is>
          <t>Dachterrasse</t>
        </is>
      </c>
      <c r="I402" s="15" t="inlineStr">
        <is>
          <t>C</t>
        </is>
      </c>
      <c r="J402" s="17" t="n">
        <v>1</v>
      </c>
      <c r="K402" s="17" t="n"/>
      <c r="L402" s="18">
        <f>J402-IF(K402="",0,K402)</f>
        <v/>
      </c>
      <c r="M402" s="15" t="inlineStr">
        <is>
          <t>Stück</t>
        </is>
      </c>
      <c r="N402" s="15" t="inlineStr">
        <is>
          <t>gebraucht</t>
        </is>
      </c>
      <c r="O402" s="19" t="n"/>
      <c r="P402" s="19" t="inlineStr">
        <is>
          <t>ja</t>
        </is>
      </c>
      <c r="Q402" s="19" t="n"/>
      <c r="R402" s="20" t="n"/>
      <c r="S402" s="20" t="n">
        <v>10</v>
      </c>
      <c r="T402" s="19" t="inlineStr">
        <is>
          <t>VHB</t>
        </is>
      </c>
      <c r="U402" s="21">
        <f>L402*S402</f>
        <v/>
      </c>
      <c r="V402" s="15" t="inlineStr">
        <is>
          <t>nur Abholung</t>
        </is>
      </c>
      <c r="W402" s="15" t="inlineStr">
        <is>
          <t>F-512</t>
        </is>
      </c>
      <c r="X402" s="19" t="inlineStr">
        <is>
          <t>ja</t>
        </is>
      </c>
      <c r="Y402" s="19" t="n"/>
      <c r="Z402" s="19" t="inlineStr">
        <is>
          <t>verfügbar</t>
        </is>
      </c>
      <c r="AA402" s="19" t="inlineStr">
        <is>
          <t>IKEA</t>
        </is>
      </c>
      <c r="AB402" s="19" t="n"/>
      <c r="AC402" s="19" t="n"/>
      <c r="AD402" s="19" t="n"/>
      <c r="AE402" s="20" t="n"/>
      <c r="AF402" s="21">
        <f>IF(K402="","",K402*AE402)</f>
        <v/>
      </c>
      <c r="AG402" s="19" t="n"/>
      <c r="AH402" s="19" t="n"/>
      <c r="AI402" s="19" t="n"/>
      <c r="AJ402" s="19" t="n"/>
      <c r="AK402" s="19" t="n"/>
      <c r="AL402" s="19" t="n"/>
      <c r="AM402" s="16" t="inlineStr">
        <is>
          <t>1 Stuhl.</t>
        </is>
      </c>
      <c r="AN402" s="22" t="n"/>
    </row>
    <row r="403" ht="30" customHeight="1">
      <c r="A403" s="15" t="inlineStr">
        <is>
          <t>TE02-15</t>
        </is>
      </c>
      <c r="B403" s="15" t="n"/>
      <c r="C403" s="15" t="n"/>
      <c r="D403" s="15" t="inlineStr">
        <is>
          <t>TE02</t>
        </is>
      </c>
      <c r="E403" s="15" t="inlineStr">
        <is>
          <t>IKEA Mammut Kindertisch rot</t>
        </is>
      </c>
      <c r="F403" s="16" t="inlineStr">
        <is>
          <t>Kindertisch IKEA Mammut aus rotem Kunststoff auf konischen Beinen.</t>
        </is>
      </c>
      <c r="G403" s="15" t="inlineStr">
        <is>
          <t>Garten</t>
        </is>
      </c>
      <c r="H403" s="15" t="inlineStr">
        <is>
          <t>Dachterrasse</t>
        </is>
      </c>
      <c r="I403" s="15" t="inlineStr">
        <is>
          <t>C</t>
        </is>
      </c>
      <c r="J403" s="17" t="n">
        <v>3</v>
      </c>
      <c r="K403" s="17" t="n"/>
      <c r="L403" s="18">
        <f>J403-IF(K403="",0,K403)</f>
        <v/>
      </c>
      <c r="M403" s="15" t="inlineStr">
        <is>
          <t>Stück</t>
        </is>
      </c>
      <c r="N403" s="15" t="inlineStr">
        <is>
          <t>gebraucht</t>
        </is>
      </c>
      <c r="O403" s="19" t="n"/>
      <c r="P403" s="19" t="inlineStr">
        <is>
          <t>ja</t>
        </is>
      </c>
      <c r="Q403" s="19" t="n"/>
      <c r="R403" s="20" t="n"/>
      <c r="S403" s="20" t="n">
        <v>20</v>
      </c>
      <c r="T403" s="19" t="inlineStr">
        <is>
          <t>VHB</t>
        </is>
      </c>
      <c r="U403" s="21">
        <f>L403*S403</f>
        <v/>
      </c>
      <c r="V403" s="15" t="inlineStr">
        <is>
          <t>nur Abholung</t>
        </is>
      </c>
      <c r="W403" s="15" t="inlineStr">
        <is>
          <t>F-514</t>
        </is>
      </c>
      <c r="X403" s="19" t="inlineStr">
        <is>
          <t>ja</t>
        </is>
      </c>
      <c r="Y403" s="19" t="n"/>
      <c r="Z403" s="19" t="inlineStr">
        <is>
          <t>verfügbar</t>
        </is>
      </c>
      <c r="AA403" s="19" t="inlineStr">
        <is>
          <t>IKEA</t>
        </is>
      </c>
      <c r="AB403" s="19" t="n"/>
      <c r="AC403" s="19" t="n"/>
      <c r="AD403" s="19" t="n"/>
      <c r="AE403" s="20" t="n"/>
      <c r="AF403" s="21">
        <f>IF(K403="","",K403*AE403)</f>
        <v/>
      </c>
      <c r="AG403" s="19" t="n"/>
      <c r="AH403" s="19" t="n"/>
      <c r="AI403" s="19" t="n"/>
      <c r="AJ403" s="19" t="n"/>
      <c r="AK403" s="19" t="n"/>
      <c r="AL403" s="19" t="n"/>
      <c r="AM403" s="16" t="inlineStr">
        <is>
          <t>3 Tische. Auf dem Foto sind sie mit den roten Stühlen aus TE02-09 aufeinandergestellt.</t>
        </is>
      </c>
      <c r="AN403" s="22" t="n"/>
    </row>
    <row r="404" ht="30" customHeight="1">
      <c r="A404" s="15" t="inlineStr">
        <is>
          <t>TE02-17</t>
        </is>
      </c>
      <c r="B404" s="15" t="n"/>
      <c r="C404" s="15" t="n"/>
      <c r="D404" s="15" t="inlineStr">
        <is>
          <t>TE02</t>
        </is>
      </c>
      <c r="E404" s="15" t="inlineStr">
        <is>
          <t>IKEA Mammut Kindertisch weiß</t>
        </is>
      </c>
      <c r="F404" s="16" t="inlineStr">
        <is>
          <t>Rechteckiger Kindertisch IKEA Mammut aus weißem Kunststoff auf konischen Beinen. Die Platte ist fleckig und vom Wetter gezeichnet.</t>
        </is>
      </c>
      <c r="G404" s="15" t="inlineStr">
        <is>
          <t>Garten</t>
        </is>
      </c>
      <c r="H404" s="15" t="inlineStr">
        <is>
          <t>Dachterrasse</t>
        </is>
      </c>
      <c r="I404" s="15" t="inlineStr">
        <is>
          <t>C</t>
        </is>
      </c>
      <c r="J404" s="17" t="n">
        <v>3</v>
      </c>
      <c r="K404" s="17" t="n"/>
      <c r="L404" s="18">
        <f>J404-IF(K404="",0,K404)</f>
        <v/>
      </c>
      <c r="M404" s="15" t="inlineStr">
        <is>
          <t>Stück</t>
        </is>
      </c>
      <c r="N404" s="15" t="inlineStr">
        <is>
          <t>gebraucht</t>
        </is>
      </c>
      <c r="O404" s="19" t="n"/>
      <c r="P404" s="19" t="inlineStr">
        <is>
          <t>ja</t>
        </is>
      </c>
      <c r="Q404" s="19" t="n"/>
      <c r="R404" s="20" t="n"/>
      <c r="S404" s="20" t="n">
        <v>20</v>
      </c>
      <c r="T404" s="19" t="inlineStr">
        <is>
          <t>VHB</t>
        </is>
      </c>
      <c r="U404" s="21">
        <f>L404*S404</f>
        <v/>
      </c>
      <c r="V404" s="15" t="inlineStr">
        <is>
          <t>nur Abholung</t>
        </is>
      </c>
      <c r="W404" s="15" t="inlineStr">
        <is>
          <t>F-513</t>
        </is>
      </c>
      <c r="X404" s="19" t="inlineStr">
        <is>
          <t>ja</t>
        </is>
      </c>
      <c r="Y404" s="19" t="n"/>
      <c r="Z404" s="19" t="inlineStr">
        <is>
          <t>verfügbar</t>
        </is>
      </c>
      <c r="AA404" s="19" t="inlineStr">
        <is>
          <t>IKEA</t>
        </is>
      </c>
      <c r="AB404" s="19" t="n"/>
      <c r="AC404" s="19" t="n"/>
      <c r="AD404" s="19" t="n"/>
      <c r="AE404" s="20" t="n"/>
      <c r="AF404" s="21">
        <f>IF(K404="","",K404*AE404)</f>
        <v/>
      </c>
      <c r="AG404" s="19" t="n"/>
      <c r="AH404" s="19" t="n"/>
      <c r="AI404" s="19" t="n"/>
      <c r="AJ404" s="19" t="n"/>
      <c r="AK404" s="19" t="n"/>
      <c r="AL404" s="19" t="n"/>
      <c r="AM404" s="16" t="inlineStr">
        <is>
          <t>3 Tische – abgebildet ist einer davon.</t>
        </is>
      </c>
      <c r="AN404" s="22" t="n"/>
    </row>
  </sheetData>
  <autoFilter ref="A2:AN404"/>
  <mergeCells count="7">
    <mergeCell ref="AI1:AL1"/>
    <mergeCell ref="V1:AD1"/>
    <mergeCell ref="S1:U1"/>
    <mergeCell ref="Q1:R1"/>
    <mergeCell ref="A1:P1"/>
    <mergeCell ref="AE1:AH1"/>
    <mergeCell ref="AM1:AN1"/>
  </mergeCells>
  <conditionalFormatting sqref="Z3:Z40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404">
    <cfRule type="cellIs" priority="4" operator="equal" dxfId="3">
      <formula>"A"</formula>
    </cfRule>
  </conditionalFormatting>
  <conditionalFormatting sqref="P3:P404">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COUNTA(Artikelstamm!$A$3:$A$404)</f>
        <v/>
      </c>
    </row>
    <row r="6">
      <c r="A6" s="26" t="inlineStr">
        <is>
          <t>davon verfügbar</t>
        </is>
      </c>
      <c r="B6" s="27">
        <f>COUNTIF(Artikelstamm!$Z$3:$Z$404,"verfügbar")</f>
        <v/>
      </c>
    </row>
    <row r="7">
      <c r="A7" s="26" t="inlineStr">
        <is>
          <t>davon reserviert</t>
        </is>
      </c>
      <c r="B7" s="27">
        <f>COUNTIF(Artikelstamm!$Z$3:$Z$404,"reserviert")</f>
        <v/>
      </c>
    </row>
    <row r="8">
      <c r="A8" s="26" t="inlineStr">
        <is>
          <t>davon teilverkauft</t>
        </is>
      </c>
      <c r="B8" s="27">
        <f>COUNTIF(Artikelstamm!$Z$3:$Z$404,"teilverkauft")</f>
        <v/>
      </c>
    </row>
    <row r="9">
      <c r="A9" s="26" t="inlineStr">
        <is>
          <t>davon verkauft</t>
        </is>
      </c>
      <c r="B9" s="27">
        <f>COUNTIF(Artikelstamm!$Z$3:$Z$404,"verkauft")</f>
        <v/>
      </c>
    </row>
    <row r="10">
      <c r="A10" s="26" t="inlineStr">
        <is>
          <t>Einheiten noch im Bestand</t>
        </is>
      </c>
      <c r="B10" s="27">
        <f>SUM(Artikelstamm!$L$3:$L$404)</f>
        <v/>
      </c>
    </row>
    <row r="11">
      <c r="A11" s="28" t="inlineStr">
        <is>
          <t>Restbestand zu Wunschpreisen (netto)</t>
        </is>
      </c>
      <c r="B11" s="29">
        <f>SUM(Artikelstamm!$U$3:$U$404)</f>
        <v/>
      </c>
    </row>
    <row r="12">
      <c r="A12" s="25" t="inlineStr">
        <is>
          <t>Erlöse</t>
        </is>
      </c>
    </row>
    <row r="13">
      <c r="A13" s="26" t="inlineStr">
        <is>
          <t>Verkaufte Einheiten</t>
        </is>
      </c>
      <c r="B13" s="27">
        <f>SUM(Artikelstamm!$K$3:$K$404)</f>
        <v/>
      </c>
    </row>
    <row r="14">
      <c r="A14" s="26" t="inlineStr">
        <is>
          <t>Umsatz netto</t>
        </is>
      </c>
      <c r="B14" s="30">
        <f>SUMPRODUCT(Artikelstamm!$K$3:$K$404,Artikelstamm!$AE$3:$AE$404)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SUMPRODUCT((Artikelstamm!$AJ$3:$AJ$404="bezahlt")*Artikelstamm!$K$3:$K$404*Artikelstamm!$AE$3:$AE$404)</f>
        <v/>
      </c>
    </row>
    <row r="18">
      <c r="A18" s="26" t="inlineStr">
        <is>
          <t>noch offen (netto)</t>
        </is>
      </c>
      <c r="B18" s="30">
        <f>B14-B17</f>
        <v/>
      </c>
    </row>
    <row r="20">
      <c r="A20" s="25" t="inlineStr">
        <is>
          <t>To-do</t>
        </is>
      </c>
    </row>
    <row r="21">
      <c r="A21" s="28" t="inlineStr">
        <is>
          <t>Rechnungen noch zu schreiben</t>
        </is>
      </c>
      <c r="B21" s="31">
        <f>COUNTIFS(Artikelstamm!$Z$3:$Z$404,"*verkauft",Artikelstamm!$AI$3:$AI$404,"")</f>
        <v/>
      </c>
    </row>
    <row r="22">
      <c r="A22" s="28" t="inlineStr">
        <is>
          <t>Rechnungen offen (unbezahlt)</t>
        </is>
      </c>
      <c r="B22" s="31">
        <f>COUNTIFS(Artikelstamm!$Z$3:$Z$404,"*verkauft",Artikelstamm!$AJ$3:$AJ$404,"offen")</f>
        <v/>
      </c>
    </row>
    <row r="23">
      <c r="A23" s="26" t="inlineStr">
        <is>
          <t>Reservierungen ohne Abholtermin</t>
        </is>
      </c>
      <c r="B23" s="27">
        <f>COUNTIFS(Artikelstamm!$Z$3:$Z$404,"reserviert",Artikelstamm!$AL$3:$AL$404,"")</f>
        <v/>
      </c>
    </row>
    <row r="24">
      <c r="A24" s="26" t="inlineStr">
        <is>
          <t>Artikel ohne Preis</t>
        </is>
      </c>
      <c r="B24" s="27">
        <f>COUNTIFS(Artikelstamm!$S$3:$S$404,"")</f>
        <v/>
      </c>
    </row>
    <row r="25">
      <c r="A25" s="26" t="inlineStr">
        <is>
          <t>Artikel ohne Maßangabe</t>
        </is>
      </c>
      <c r="B25" s="27">
        <f>COUNTIFS(Artikelstamm!$O$3:$O$404,"")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COUNTIF(Artikelstamm!$I$3:$I$404,$A30)</f>
        <v/>
      </c>
      <c r="C30" s="34">
        <f>SUMPRODUCT((Artikelstamm!$I$3:$I$404=$A30)*Artikelstamm!$K$3:$K$404*Artikelstamm!$AE$3:$AE$404)</f>
        <v/>
      </c>
      <c r="D30" s="34">
        <f>SUMIF(Artikelstamm!$I$3:$I$404,$A30,Artikelstamm!$U$3:$U$404)</f>
        <v/>
      </c>
    </row>
    <row r="31">
      <c r="A31" s="26" t="inlineStr">
        <is>
          <t>B</t>
        </is>
      </c>
      <c r="B31" s="33">
        <f>COUNTIF(Artikelstamm!$I$3:$I$404,$A31)</f>
        <v/>
      </c>
      <c r="C31" s="34">
        <f>SUMPRODUCT((Artikelstamm!$I$3:$I$404=$A31)*Artikelstamm!$K$3:$K$404*Artikelstamm!$AE$3:$AE$404)</f>
        <v/>
      </c>
      <c r="D31" s="34">
        <f>SUMIF(Artikelstamm!$I$3:$I$404,$A31,Artikelstamm!$U$3:$U$404)</f>
        <v/>
      </c>
    </row>
    <row r="32">
      <c r="A32" s="26" t="inlineStr">
        <is>
          <t>C</t>
        </is>
      </c>
      <c r="B32" s="33">
        <f>COUNTIF(Artikelstamm!$I$3:$I$404,$A32)</f>
        <v/>
      </c>
      <c r="C32" s="34">
        <f>SUMPRODUCT((Artikelstamm!$I$3:$I$404=$A32)*Artikelstamm!$K$3:$K$404*Artikelstamm!$AE$3:$AE$404)</f>
        <v/>
      </c>
      <c r="D32" s="34">
        <f>SUMIF(Artikelstamm!$I$3:$I$404,$A32,Artikelstamm!$U$3:$U$404)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COUNTIF(Artikelstamm!$G$3:$G$404,$A37)</f>
        <v/>
      </c>
      <c r="C37" s="34">
        <f>SUMPRODUCT((Artikelstamm!$G$3:$G$404=$A37)*Artikelstamm!$K$3:$K$404*Artikelstamm!$AE$3:$AE$404)</f>
        <v/>
      </c>
      <c r="D37" s="34">
        <f>SUMIF(Artikelstamm!$G$3:$G$404,$A37,Artikelstamm!$U$3:$U$404)</f>
        <v/>
      </c>
    </row>
    <row r="38">
      <c r="A38" s="26" t="inlineStr">
        <is>
          <t>Deko</t>
        </is>
      </c>
      <c r="B38" s="33">
        <f>COUNTIF(Artikelstamm!$G$3:$G$404,$A38)</f>
        <v/>
      </c>
      <c r="C38" s="34">
        <f>SUMPRODUCT((Artikelstamm!$G$3:$G$404=$A38)*Artikelstamm!$K$3:$K$404*Artikelstamm!$AE$3:$AE$404)</f>
        <v/>
      </c>
      <c r="D38" s="34">
        <f>SUMIF(Artikelstamm!$G$3:$G$404,$A38,Artikelstamm!$U$3:$U$404)</f>
        <v/>
      </c>
    </row>
    <row r="39">
      <c r="A39" s="26" t="inlineStr">
        <is>
          <t>Designmöbel</t>
        </is>
      </c>
      <c r="B39" s="33">
        <f>COUNTIF(Artikelstamm!$G$3:$G$404,$A39)</f>
        <v/>
      </c>
      <c r="C39" s="34">
        <f>SUMPRODUCT((Artikelstamm!$G$3:$G$404=$A39)*Artikelstamm!$K$3:$K$404*Artikelstamm!$AE$3:$AE$404)</f>
        <v/>
      </c>
      <c r="D39" s="34">
        <f>SUMIF(Artikelstamm!$G$3:$G$404,$A39,Artikelstamm!$U$3:$U$404)</f>
        <v/>
      </c>
    </row>
    <row r="40">
      <c r="A40" s="26" t="inlineStr">
        <is>
          <t>Garten</t>
        </is>
      </c>
      <c r="B40" s="33">
        <f>COUNTIF(Artikelstamm!$G$3:$G$404,$A40)</f>
        <v/>
      </c>
      <c r="C40" s="34">
        <f>SUMPRODUCT((Artikelstamm!$G$3:$G$404=$A40)*Artikelstamm!$K$3:$K$404*Artikelstamm!$AE$3:$AE$404)</f>
        <v/>
      </c>
      <c r="D40" s="34">
        <f>SUMIF(Artikelstamm!$G$3:$G$404,$A40,Artikelstamm!$U$3:$U$404)</f>
        <v/>
      </c>
    </row>
    <row r="41">
      <c r="A41" s="26" t="inlineStr">
        <is>
          <t>Kita-Ausstattung</t>
        </is>
      </c>
      <c r="B41" s="33">
        <f>COUNTIF(Artikelstamm!$G$3:$G$404,$A41)</f>
        <v/>
      </c>
      <c r="C41" s="34">
        <f>SUMPRODUCT((Artikelstamm!$G$3:$G$404=$A41)*Artikelstamm!$K$3:$K$404*Artikelstamm!$AE$3:$AE$404)</f>
        <v/>
      </c>
      <c r="D41" s="34">
        <f>SUMIF(Artikelstamm!$G$3:$G$404,$A41,Artikelstamm!$U$3:$U$404)</f>
        <v/>
      </c>
    </row>
    <row r="42">
      <c r="A42" s="26" t="inlineStr">
        <is>
          <t>Kunst</t>
        </is>
      </c>
      <c r="B42" s="33">
        <f>COUNTIF(Artikelstamm!$G$3:$G$404,$A42)</f>
        <v/>
      </c>
      <c r="C42" s="34">
        <f>SUMPRODUCT((Artikelstamm!$G$3:$G$404=$A42)*Artikelstamm!$K$3:$K$404*Artikelstamm!$AE$3:$AE$404)</f>
        <v/>
      </c>
      <c r="D42" s="34">
        <f>SUMIF(Artikelstamm!$G$3:$G$404,$A42,Artikelstamm!$U$3:$U$404)</f>
        <v/>
      </c>
    </row>
    <row r="43">
      <c r="A43" s="26" t="inlineStr">
        <is>
          <t>Leuchten</t>
        </is>
      </c>
      <c r="B43" s="33">
        <f>COUNTIF(Artikelstamm!$G$3:$G$404,$A43)</f>
        <v/>
      </c>
      <c r="C43" s="34">
        <f>SUMPRODUCT((Artikelstamm!$G$3:$G$404=$A43)*Artikelstamm!$K$3:$K$404*Artikelstamm!$AE$3:$AE$404)</f>
        <v/>
      </c>
      <c r="D43" s="34">
        <f>SUMIF(Artikelstamm!$G$3:$G$404,$A43,Artikelstamm!$U$3:$U$404)</f>
        <v/>
      </c>
    </row>
    <row r="44">
      <c r="A44" s="26" t="inlineStr">
        <is>
          <t>Möbel</t>
        </is>
      </c>
      <c r="B44" s="33">
        <f>COUNTIF(Artikelstamm!$G$3:$G$404,$A44)</f>
        <v/>
      </c>
      <c r="C44" s="34">
        <f>SUMPRODUCT((Artikelstamm!$G$3:$G$404=$A44)*Artikelstamm!$K$3:$K$404*Artikelstamm!$AE$3:$AE$404)</f>
        <v/>
      </c>
      <c r="D44" s="34">
        <f>SUMIF(Artikelstamm!$G$3:$G$404,$A44,Artikelstamm!$U$3:$U$404)</f>
        <v/>
      </c>
    </row>
    <row r="45">
      <c r="A45" s="26" t="inlineStr">
        <is>
          <t>Pflanzen</t>
        </is>
      </c>
      <c r="B45" s="33">
        <f>COUNTIF(Artikelstamm!$G$3:$G$404,$A45)</f>
        <v/>
      </c>
      <c r="C45" s="34">
        <f>SUMPRODUCT((Artikelstamm!$G$3:$G$404=$A45)*Artikelstamm!$K$3:$K$404*Artikelstamm!$AE$3:$AE$404)</f>
        <v/>
      </c>
      <c r="D45" s="34">
        <f>SUMIF(Artikelstamm!$G$3:$G$404,$A45,Artikelstamm!$U$3:$U$404)</f>
        <v/>
      </c>
    </row>
    <row r="46">
      <c r="A46" s="26" t="inlineStr">
        <is>
          <t>Sonstiges</t>
        </is>
      </c>
      <c r="B46" s="33">
        <f>COUNTIF(Artikelstamm!$G$3:$G$404,$A46)</f>
        <v/>
      </c>
      <c r="C46" s="34">
        <f>SUMPRODUCT((Artikelstamm!$G$3:$G$404=$A46)*Artikelstamm!$K$3:$K$404*Artikelstamm!$AE$3:$AE$404)</f>
        <v/>
      </c>
      <c r="D46" s="34">
        <f>SUMIF(Artikelstamm!$G$3:$G$404,$A46,Artikelstamm!$U$3:$U$404)</f>
        <v/>
      </c>
    </row>
    <row r="47">
      <c r="A47" s="26" t="inlineStr">
        <is>
          <t>Technik</t>
        </is>
      </c>
      <c r="B47" s="33">
        <f>COUNTIF(Artikelstamm!$G$3:$G$404,$A47)</f>
        <v/>
      </c>
      <c r="C47" s="34">
        <f>SUMPRODUCT((Artikelstamm!$G$3:$G$404=$A47)*Artikelstamm!$K$3:$K$404*Artikelstamm!$AE$3:$AE$404)</f>
        <v/>
      </c>
      <c r="D47" s="34">
        <f>SUMIF(Artikelstamm!$G$3:$G$404,$A47,Artikelstamm!$U$3:$U$404)</f>
        <v/>
      </c>
    </row>
    <row r="48">
      <c r="A48" s="26" t="inlineStr">
        <is>
          <t>Textilien</t>
        </is>
      </c>
      <c r="B48" s="33">
        <f>COUNTIF(Artikelstamm!$G$3:$G$404,$A48)</f>
        <v/>
      </c>
      <c r="C48" s="34">
        <f>SUMPRODUCT((Artikelstamm!$G$3:$G$404=$A48)*Artikelstamm!$K$3:$K$404*Artikelstamm!$AE$3:$AE$404)</f>
        <v/>
      </c>
      <c r="D48" s="34">
        <f>SUMIF(Artikelstamm!$G$3:$G$404,$A48,Artikelstamm!$U$3:$U$404)</f>
        <v/>
      </c>
    </row>
    <row r="49">
      <c r="A49" s="26" t="inlineStr">
        <is>
          <t>Uhren</t>
        </is>
      </c>
      <c r="B49" s="33">
        <f>COUNTIF(Artikelstamm!$G$3:$G$404,$A49)</f>
        <v/>
      </c>
      <c r="C49" s="34">
        <f>SUMPRODUCT((Artikelstamm!$G$3:$G$404=$A49)*Artikelstamm!$K$3:$K$404*Artikelstamm!$AE$3:$AE$404)</f>
        <v/>
      </c>
      <c r="D49" s="34">
        <f>SUMIF(Artikelstamm!$G$3:$G$404,$A49,Artikelstamm!$U$3:$U$404)</f>
        <v/>
      </c>
    </row>
    <row r="50">
      <c r="A50" s="26" t="inlineStr">
        <is>
          <t>Verbrauchsmaterial</t>
        </is>
      </c>
      <c r="B50" s="33">
        <f>COUNTIF(Artikelstamm!$G$3:$G$404,$A50)</f>
        <v/>
      </c>
      <c r="C50" s="34">
        <f>SUMPRODUCT((Artikelstamm!$G$3:$G$404=$A50)*Artikelstamm!$K$3:$K$404*Artikelstamm!$AE$3:$AE$404)</f>
        <v/>
      </c>
      <c r="D50" s="34">
        <f>SUMIF(Artikelstamm!$G$3:$G$404,$A50,Artikelstamm!$U$3:$U$404)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COUNTIF(Artikelstamm!$H$3:$H$404,$A55)</f>
        <v/>
      </c>
      <c r="C55" s="34">
        <f>SUMPRODUCT((Artikelstamm!$H$3:$H$404=$A55)*Artikelstamm!$K$3:$K$404*Artikelstamm!$AE$3:$AE$404)</f>
        <v/>
      </c>
      <c r="D55" s="34">
        <f>SUMIF(Artikelstamm!$H$3:$H$404,$A55,Artikelstamm!$U$3:$U$404)</f>
        <v/>
      </c>
    </row>
    <row r="56">
      <c r="A56" s="26" t="inlineStr">
        <is>
          <t>Büro</t>
        </is>
      </c>
      <c r="B56" s="33">
        <f>COUNTIF(Artikelstamm!$H$3:$H$404,$A56)</f>
        <v/>
      </c>
      <c r="C56" s="34">
        <f>SUMPRODUCT((Artikelstamm!$H$3:$H$404=$A56)*Artikelstamm!$K$3:$K$404*Artikelstamm!$AE$3:$AE$404)</f>
        <v/>
      </c>
      <c r="D56" s="34">
        <f>SUMIF(Artikelstamm!$H$3:$H$404,$A56,Artikelstamm!$U$3:$U$404)</f>
        <v/>
      </c>
    </row>
    <row r="57">
      <c r="A57" s="26" t="inlineStr">
        <is>
          <t>Büro / Besprechung</t>
        </is>
      </c>
      <c r="B57" s="33">
        <f>COUNTIF(Artikelstamm!$H$3:$H$404,$A57)</f>
        <v/>
      </c>
      <c r="C57" s="34">
        <f>SUMPRODUCT((Artikelstamm!$H$3:$H$404=$A57)*Artikelstamm!$K$3:$K$404*Artikelstamm!$AE$3:$AE$404)</f>
        <v/>
      </c>
      <c r="D57" s="34">
        <f>SUMIF(Artikelstamm!$H$3:$H$404,$A57,Artikelstamm!$U$3:$U$404)</f>
        <v/>
      </c>
    </row>
    <row r="58">
      <c r="A58" s="26" t="inlineStr">
        <is>
          <t>Dachterrasse</t>
        </is>
      </c>
      <c r="B58" s="33">
        <f>COUNTIF(Artikelstamm!$H$3:$H$404,$A58)</f>
        <v/>
      </c>
      <c r="C58" s="34">
        <f>SUMPRODUCT((Artikelstamm!$H$3:$H$404=$A58)*Artikelstamm!$K$3:$K$404*Artikelstamm!$AE$3:$AE$404)</f>
        <v/>
      </c>
      <c r="D58" s="34">
        <f>SUMIF(Artikelstamm!$H$3:$H$404,$A58,Artikelstamm!$U$3:$U$404)</f>
        <v/>
      </c>
    </row>
    <row r="59">
      <c r="A59" s="26" t="inlineStr">
        <is>
          <t>Flur</t>
        </is>
      </c>
      <c r="B59" s="33">
        <f>COUNTIF(Artikelstamm!$H$3:$H$404,$A59)</f>
        <v/>
      </c>
      <c r="C59" s="34">
        <f>SUMPRODUCT((Artikelstamm!$H$3:$H$404=$A59)*Artikelstamm!$K$3:$K$404*Artikelstamm!$AE$3:$AE$404)</f>
        <v/>
      </c>
      <c r="D59" s="34">
        <f>SUMIF(Artikelstamm!$H$3:$H$404,$A59,Artikelstamm!$U$3:$U$404)</f>
        <v/>
      </c>
    </row>
    <row r="60">
      <c r="A60" s="26" t="inlineStr">
        <is>
          <t>Flur 1</t>
        </is>
      </c>
      <c r="B60" s="33">
        <f>COUNTIF(Artikelstamm!$H$3:$H$404,$A60)</f>
        <v/>
      </c>
      <c r="C60" s="34">
        <f>SUMPRODUCT((Artikelstamm!$H$3:$H$404=$A60)*Artikelstamm!$K$3:$K$404*Artikelstamm!$AE$3:$AE$404)</f>
        <v/>
      </c>
      <c r="D60" s="34">
        <f>SUMIF(Artikelstamm!$H$3:$H$404,$A60,Artikelstamm!$U$3:$U$404)</f>
        <v/>
      </c>
    </row>
    <row r="61">
      <c r="A61" s="26" t="inlineStr">
        <is>
          <t>Flur 2</t>
        </is>
      </c>
      <c r="B61" s="33">
        <f>COUNTIF(Artikelstamm!$H$3:$H$404,$A61)</f>
        <v/>
      </c>
      <c r="C61" s="34">
        <f>SUMPRODUCT((Artikelstamm!$H$3:$H$404=$A61)*Artikelstamm!$K$3:$K$404*Artikelstamm!$AE$3:$AE$404)</f>
        <v/>
      </c>
      <c r="D61" s="34">
        <f>SUMIF(Artikelstamm!$H$3:$H$404,$A61,Artikelstamm!$U$3:$U$404)</f>
        <v/>
      </c>
    </row>
    <row r="62">
      <c r="A62" s="26" t="inlineStr">
        <is>
          <t>Flur 3</t>
        </is>
      </c>
      <c r="B62" s="33">
        <f>COUNTIF(Artikelstamm!$H$3:$H$404,$A62)</f>
        <v/>
      </c>
      <c r="C62" s="34">
        <f>SUMPRODUCT((Artikelstamm!$H$3:$H$404=$A62)*Artikelstamm!$K$3:$K$404*Artikelstamm!$AE$3:$AE$404)</f>
        <v/>
      </c>
      <c r="D62" s="34">
        <f>SUMIF(Artikelstamm!$H$3:$H$404,$A62,Artikelstamm!$U$3:$U$404)</f>
        <v/>
      </c>
    </row>
    <row r="63">
      <c r="A63" s="26" t="inlineStr">
        <is>
          <t>Galerie</t>
        </is>
      </c>
      <c r="B63" s="33">
        <f>COUNTIF(Artikelstamm!$H$3:$H$404,$A63)</f>
        <v/>
      </c>
      <c r="C63" s="34">
        <f>SUMPRODUCT((Artikelstamm!$H$3:$H$404=$A63)*Artikelstamm!$K$3:$K$404*Artikelstamm!$AE$3:$AE$404)</f>
        <v/>
      </c>
      <c r="D63" s="34">
        <f>SUMIF(Artikelstamm!$H$3:$H$404,$A63,Artikelstamm!$U$3:$U$404)</f>
        <v/>
      </c>
    </row>
    <row r="64">
      <c r="A64" s="26" t="inlineStr">
        <is>
          <t>Garage</t>
        </is>
      </c>
      <c r="B64" s="33">
        <f>COUNTIF(Artikelstamm!$H$3:$H$404,$A64)</f>
        <v/>
      </c>
      <c r="C64" s="34">
        <f>SUMPRODUCT((Artikelstamm!$H$3:$H$404=$A64)*Artikelstamm!$K$3:$K$404*Artikelstamm!$AE$3:$AE$404)</f>
        <v/>
      </c>
      <c r="D64" s="34">
        <f>SUMIF(Artikelstamm!$H$3:$H$404,$A64,Artikelstamm!$U$3:$U$404)</f>
        <v/>
      </c>
    </row>
    <row r="65">
      <c r="A65" s="26" t="inlineStr">
        <is>
          <t>Gartenanlage</t>
        </is>
      </c>
      <c r="B65" s="33">
        <f>COUNTIF(Artikelstamm!$H$3:$H$404,$A65)</f>
        <v/>
      </c>
      <c r="C65" s="34">
        <f>SUMPRODUCT((Artikelstamm!$H$3:$H$404=$A65)*Artikelstamm!$K$3:$K$404*Artikelstamm!$AE$3:$AE$404)</f>
        <v/>
      </c>
      <c r="D65" s="34">
        <f>SUMIF(Artikelstamm!$H$3:$H$404,$A65,Artikelstamm!$U$3:$U$404)</f>
        <v/>
      </c>
    </row>
    <row r="66">
      <c r="A66" s="26" t="inlineStr">
        <is>
          <t>Gruppenraum</t>
        </is>
      </c>
      <c r="B66" s="33">
        <f>COUNTIF(Artikelstamm!$H$3:$H$404,$A66)</f>
        <v/>
      </c>
      <c r="C66" s="34">
        <f>SUMPRODUCT((Artikelstamm!$H$3:$H$404=$A66)*Artikelstamm!$K$3:$K$404*Artikelstamm!$AE$3:$AE$404)</f>
        <v/>
      </c>
      <c r="D66" s="34">
        <f>SUMIF(Artikelstamm!$H$3:$H$404,$A66,Artikelstamm!$U$3:$U$404)</f>
        <v/>
      </c>
    </row>
    <row r="67">
      <c r="A67" s="26" t="inlineStr">
        <is>
          <t>Gruppenraum 2</t>
        </is>
      </c>
      <c r="B67" s="33">
        <f>COUNTIF(Artikelstamm!$H$3:$H$404,$A67)</f>
        <v/>
      </c>
      <c r="C67" s="34">
        <f>SUMPRODUCT((Artikelstamm!$H$3:$H$404=$A67)*Artikelstamm!$K$3:$K$404*Artikelstamm!$AE$3:$AE$404)</f>
        <v/>
      </c>
      <c r="D67" s="34">
        <f>SUMIF(Artikelstamm!$H$3:$H$404,$A67,Artikelstamm!$U$3:$U$404)</f>
        <v/>
      </c>
    </row>
    <row r="68">
      <c r="A68" s="26" t="inlineStr">
        <is>
          <t>Gruppenraum 4</t>
        </is>
      </c>
      <c r="B68" s="33">
        <f>COUNTIF(Artikelstamm!$H$3:$H$404,$A68)</f>
        <v/>
      </c>
      <c r="C68" s="34">
        <f>SUMPRODUCT((Artikelstamm!$H$3:$H$404=$A68)*Artikelstamm!$K$3:$K$404*Artikelstamm!$AE$3:$AE$404)</f>
        <v/>
      </c>
      <c r="D68" s="34">
        <f>SUMIF(Artikelstamm!$H$3:$H$404,$A68,Artikelstamm!$U$3:$U$404)</f>
        <v/>
      </c>
    </row>
    <row r="69">
      <c r="A69" s="26" t="inlineStr">
        <is>
          <t>Gruppenraum 5</t>
        </is>
      </c>
      <c r="B69" s="33">
        <f>COUNTIF(Artikelstamm!$H$3:$H$404,$A69)</f>
        <v/>
      </c>
      <c r="C69" s="34">
        <f>SUMPRODUCT((Artikelstamm!$H$3:$H$404=$A69)*Artikelstamm!$K$3:$K$404*Artikelstamm!$AE$3:$AE$404)</f>
        <v/>
      </c>
      <c r="D69" s="34">
        <f>SUMIF(Artikelstamm!$H$3:$H$404,$A69,Artikelstamm!$U$3:$U$404)</f>
        <v/>
      </c>
    </row>
    <row r="70">
      <c r="A70" s="26" t="inlineStr">
        <is>
          <t>Klassenzimmer</t>
        </is>
      </c>
      <c r="B70" s="33">
        <f>COUNTIF(Artikelstamm!$H$3:$H$404,$A70)</f>
        <v/>
      </c>
      <c r="C70" s="34">
        <f>SUMPRODUCT((Artikelstamm!$H$3:$H$404=$A70)*Artikelstamm!$K$3:$K$404*Artikelstamm!$AE$3:$AE$404)</f>
        <v/>
      </c>
      <c r="D70" s="34">
        <f>SUMIF(Artikelstamm!$H$3:$H$404,$A70,Artikelstamm!$U$3:$U$404)</f>
        <v/>
      </c>
    </row>
    <row r="71">
      <c r="A71" s="26" t="inlineStr">
        <is>
          <t>Küche</t>
        </is>
      </c>
      <c r="B71" s="33">
        <f>COUNTIF(Artikelstamm!$H$3:$H$404,$A71)</f>
        <v/>
      </c>
      <c r="C71" s="34">
        <f>SUMPRODUCT((Artikelstamm!$H$3:$H$404=$A71)*Artikelstamm!$K$3:$K$404*Artikelstamm!$AE$3:$AE$404)</f>
        <v/>
      </c>
      <c r="D71" s="34">
        <f>SUMIF(Artikelstamm!$H$3:$H$404,$A71,Artikelstamm!$U$3:$U$404)</f>
        <v/>
      </c>
    </row>
    <row r="72">
      <c r="A72" s="26" t="inlineStr">
        <is>
          <t>Küche / Essen</t>
        </is>
      </c>
      <c r="B72" s="33">
        <f>COUNTIF(Artikelstamm!$H$3:$H$404,$A72)</f>
        <v/>
      </c>
      <c r="C72" s="34">
        <f>SUMPRODUCT((Artikelstamm!$H$3:$H$404=$A72)*Artikelstamm!$K$3:$K$404*Artikelstamm!$AE$3:$AE$404)</f>
        <v/>
      </c>
      <c r="D72" s="34">
        <f>SUMIF(Artikelstamm!$H$3:$H$404,$A72,Artikelstamm!$U$3:$U$404)</f>
        <v/>
      </c>
    </row>
    <row r="73">
      <c r="A73" s="26" t="inlineStr">
        <is>
          <t>Material / Turnraum</t>
        </is>
      </c>
      <c r="B73" s="33">
        <f>COUNTIF(Artikelstamm!$H$3:$H$404,$A73)</f>
        <v/>
      </c>
      <c r="C73" s="34">
        <f>SUMPRODUCT((Artikelstamm!$H$3:$H$404=$A73)*Artikelstamm!$K$3:$K$404*Artikelstamm!$AE$3:$AE$404)</f>
        <v/>
      </c>
      <c r="D73" s="34">
        <f>SUMIF(Artikelstamm!$H$3:$H$404,$A73,Artikelstamm!$U$3:$U$404)</f>
        <v/>
      </c>
    </row>
    <row r="74">
      <c r="A74" s="26" t="inlineStr">
        <is>
          <t>Personal</t>
        </is>
      </c>
      <c r="B74" s="33">
        <f>COUNTIF(Artikelstamm!$H$3:$H$404,$A74)</f>
        <v/>
      </c>
      <c r="C74" s="34">
        <f>SUMPRODUCT((Artikelstamm!$H$3:$H$404=$A74)*Artikelstamm!$K$3:$K$404*Artikelstamm!$AE$3:$AE$404)</f>
        <v/>
      </c>
      <c r="D74" s="34">
        <f>SUMIF(Artikelstamm!$H$3:$H$404,$A74,Artikelstamm!$U$3:$U$404)</f>
        <v/>
      </c>
    </row>
    <row r="75">
      <c r="A75" s="26" t="inlineStr">
        <is>
          <t>Ruhe- / Schlafraum</t>
        </is>
      </c>
      <c r="B75" s="33">
        <f>COUNTIF(Artikelstamm!$H$3:$H$404,$A75)</f>
        <v/>
      </c>
      <c r="C75" s="34">
        <f>SUMPRODUCT((Artikelstamm!$H$3:$H$404=$A75)*Artikelstamm!$K$3:$K$404*Artikelstamm!$AE$3:$AE$404)</f>
        <v/>
      </c>
      <c r="D75" s="34">
        <f>SUMIF(Artikelstamm!$H$3:$H$404,$A75,Artikelstamm!$U$3:$U$404)</f>
        <v/>
      </c>
    </row>
    <row r="76">
      <c r="A76" s="26" t="inlineStr">
        <is>
          <t>Schlafraum</t>
        </is>
      </c>
      <c r="B76" s="33">
        <f>COUNTIF(Artikelstamm!$H$3:$H$404,$A76)</f>
        <v/>
      </c>
      <c r="C76" s="34">
        <f>SUMPRODUCT((Artikelstamm!$H$3:$H$404=$A76)*Artikelstamm!$K$3:$K$404*Artikelstamm!$AE$3:$AE$404)</f>
        <v/>
      </c>
      <c r="D76" s="34">
        <f>SUMIF(Artikelstamm!$H$3:$H$404,$A76,Artikelstamm!$U$3:$U$404)</f>
        <v/>
      </c>
    </row>
    <row r="77">
      <c r="A77" s="26" t="inlineStr">
        <is>
          <t>Schlafraum 2</t>
        </is>
      </c>
      <c r="B77" s="33">
        <f>COUNTIF(Artikelstamm!$H$3:$H$404,$A77)</f>
        <v/>
      </c>
      <c r="C77" s="34">
        <f>SUMPRODUCT((Artikelstamm!$H$3:$H$404=$A77)*Artikelstamm!$K$3:$K$404*Artikelstamm!$AE$3:$AE$404)</f>
        <v/>
      </c>
      <c r="D77" s="34">
        <f>SUMIF(Artikelstamm!$H$3:$H$404,$A77,Artikelstamm!$U$3:$U$404)</f>
        <v/>
      </c>
    </row>
    <row r="78">
      <c r="A78" s="26" t="inlineStr">
        <is>
          <t>Schlafraum 3</t>
        </is>
      </c>
      <c r="B78" s="33">
        <f>COUNTIF(Artikelstamm!$H$3:$H$404,$A78)</f>
        <v/>
      </c>
      <c r="C78" s="34">
        <f>SUMPRODUCT((Artikelstamm!$H$3:$H$404=$A78)*Artikelstamm!$K$3:$K$404*Artikelstamm!$AE$3:$AE$404)</f>
        <v/>
      </c>
      <c r="D78" s="34">
        <f>SUMIF(Artikelstamm!$H$3:$H$404,$A78,Artikelstamm!$U$3:$U$404)</f>
        <v/>
      </c>
    </row>
    <row r="79">
      <c r="A79" s="26" t="inlineStr">
        <is>
          <t>Schlafraum 4</t>
        </is>
      </c>
      <c r="B79" s="33">
        <f>COUNTIF(Artikelstamm!$H$3:$H$404,$A79)</f>
        <v/>
      </c>
      <c r="C79" s="34">
        <f>SUMPRODUCT((Artikelstamm!$H$3:$H$404=$A79)*Artikelstamm!$K$3:$K$404*Artikelstamm!$AE$3:$AE$404)</f>
        <v/>
      </c>
      <c r="D79" s="34">
        <f>SUMIF(Artikelstamm!$H$3:$H$404,$A79,Artikelstamm!$U$3:$U$404)</f>
        <v/>
      </c>
    </row>
    <row r="80">
      <c r="A80" s="26" t="inlineStr">
        <is>
          <t>Schlafraum 5</t>
        </is>
      </c>
      <c r="B80" s="33">
        <f>COUNTIF(Artikelstamm!$H$3:$H$404,$A80)</f>
        <v/>
      </c>
      <c r="C80" s="34">
        <f>SUMPRODUCT((Artikelstamm!$H$3:$H$404=$A80)*Artikelstamm!$K$3:$K$404*Artikelstamm!$AE$3:$AE$404)</f>
        <v/>
      </c>
      <c r="D80" s="34">
        <f>SUMIF(Artikelstamm!$H$3:$H$404,$A80,Artikelstamm!$U$3:$U$404)</f>
        <v/>
      </c>
    </row>
    <row r="81">
      <c r="A81" s="26" t="inlineStr">
        <is>
          <t>Speisesaal</t>
        </is>
      </c>
      <c r="B81" s="33">
        <f>COUNTIF(Artikelstamm!$H$3:$H$404,$A81)</f>
        <v/>
      </c>
      <c r="C81" s="34">
        <f>SUMPRODUCT((Artikelstamm!$H$3:$H$404=$A81)*Artikelstamm!$K$3:$K$404*Artikelstamm!$AE$3:$AE$404)</f>
        <v/>
      </c>
      <c r="D81" s="34">
        <f>SUMIF(Artikelstamm!$H$3:$H$404,$A81,Artikelstamm!$U$3:$U$404)</f>
        <v/>
      </c>
    </row>
    <row r="82">
      <c r="A82" s="26" t="inlineStr">
        <is>
          <t>Terrasse</t>
        </is>
      </c>
      <c r="B82" s="33">
        <f>COUNTIF(Artikelstamm!$H$3:$H$404,$A82)</f>
        <v/>
      </c>
      <c r="C82" s="34">
        <f>SUMPRODUCT((Artikelstamm!$H$3:$H$404=$A82)*Artikelstamm!$K$3:$K$404*Artikelstamm!$AE$3:$AE$404)</f>
        <v/>
      </c>
      <c r="D82" s="34">
        <f>SUMIF(Artikelstamm!$H$3:$H$404,$A82,Artikelstamm!$U$3:$U$404)</f>
        <v/>
      </c>
    </row>
    <row r="83">
      <c r="A83" s="26" t="inlineStr">
        <is>
          <t>Treppenraum 1</t>
        </is>
      </c>
      <c r="B83" s="33">
        <f>COUNTIF(Artikelstamm!$H$3:$H$404,$A83)</f>
        <v/>
      </c>
      <c r="C83" s="34">
        <f>SUMPRODUCT((Artikelstamm!$H$3:$H$404=$A83)*Artikelstamm!$K$3:$K$404*Artikelstamm!$AE$3:$AE$404)</f>
        <v/>
      </c>
      <c r="D83" s="34">
        <f>SUMIF(Artikelstamm!$H$3:$H$404,$A83,Artikelstamm!$U$3:$U$404)</f>
        <v/>
      </c>
    </row>
    <row r="84">
      <c r="A84" s="26" t="inlineStr">
        <is>
          <t>Turnraum</t>
        </is>
      </c>
      <c r="B84" s="33">
        <f>COUNTIF(Artikelstamm!$H$3:$H$404,$A84)</f>
        <v/>
      </c>
      <c r="C84" s="34">
        <f>SUMPRODUCT((Artikelstamm!$H$3:$H$404=$A84)*Artikelstamm!$K$3:$K$404*Artikelstamm!$AE$3:$AE$404)</f>
        <v/>
      </c>
      <c r="D84" s="34">
        <f>SUMIF(Artikelstamm!$H$3:$H$404,$A84,Artikelstamm!$U$3:$U$404)</f>
        <v/>
      </c>
    </row>
    <row r="85">
      <c r="A85" s="26" t="inlineStr">
        <is>
          <t>WC</t>
        </is>
      </c>
      <c r="B85" s="33">
        <f>COUNTIF(Artikelstamm!$H$3:$H$404,$A85)</f>
        <v/>
      </c>
      <c r="C85" s="34">
        <f>SUMPRODUCT((Artikelstamm!$H$3:$H$404=$A85)*Artikelstamm!$K$3:$K$404*Artikelstamm!$AE$3:$AE$404)</f>
        <v/>
      </c>
      <c r="D85" s="34">
        <f>SUMIF(Artikelstamm!$H$3:$H$404,$A85,Artikelstamm!$U$3:$U$404)</f>
        <v/>
      </c>
    </row>
    <row r="86">
      <c r="A86" s="26" t="inlineStr">
        <is>
          <t>WC Personal</t>
        </is>
      </c>
      <c r="B86" s="33">
        <f>COUNTIF(Artikelstamm!$H$3:$H$404,$A86)</f>
        <v/>
      </c>
      <c r="C86" s="34">
        <f>SUMPRODUCT((Artikelstamm!$H$3:$H$404=$A86)*Artikelstamm!$K$3:$K$404*Artikelstamm!$AE$3:$AE$404)</f>
        <v/>
      </c>
      <c r="D86" s="34">
        <f>SUMIF(Artikelstamm!$H$3:$H$404,$A86,Artikelstamm!$U$3:$U$404)</f>
        <v/>
      </c>
    </row>
    <row r="87">
      <c r="A87" s="26" t="inlineStr">
        <is>
          <t>Werkraum</t>
        </is>
      </c>
      <c r="B87" s="33">
        <f>COUNTIF(Artikelstamm!$H$3:$H$404,$A87)</f>
        <v/>
      </c>
      <c r="C87" s="34">
        <f>SUMPRODUCT((Artikelstamm!$H$3:$H$404=$A87)*Artikelstamm!$K$3:$K$404*Artikelstamm!$AE$3:$AE$404)</f>
        <v/>
      </c>
      <c r="D87" s="34">
        <f>SUMIF(Artikelstamm!$H$3:$H$404,$A87,Artikelstamm!$U$3:$U$404)</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COUNTIF(Artikelstamm!$AC$3:$AC$404,$A92)</f>
        <v/>
      </c>
      <c r="C92" s="34">
        <f>SUMPRODUCT((Artikelstamm!$AC$3:$AC$404=$A92)*Artikelstamm!$K$3:$K$404*Artikelstamm!$AE$3:$AE$404)</f>
        <v/>
      </c>
    </row>
    <row r="93">
      <c r="A93" s="26" t="inlineStr">
        <is>
          <t>Kleinanzeigen</t>
        </is>
      </c>
      <c r="B93" s="33">
        <f>COUNTIF(Artikelstamm!$AC$3:$AC$404,$A93)</f>
        <v/>
      </c>
      <c r="C93" s="34">
        <f>SUMPRODUCT((Artikelstamm!$AC$3:$AC$404=$A93)*Artikelstamm!$K$3:$K$404*Artikelstamm!$AE$3:$AE$404)</f>
        <v/>
      </c>
    </row>
    <row r="94">
      <c r="A94" s="26" t="inlineStr">
        <is>
          <t>eBay</t>
        </is>
      </c>
      <c r="B94" s="33">
        <f>COUNTIF(Artikelstamm!$AC$3:$AC$404,$A94)</f>
        <v/>
      </c>
      <c r="C94" s="34">
        <f>SUMPRODUCT((Artikelstamm!$AC$3:$AC$404=$A94)*Artikelstamm!$K$3:$K$404*Artikelstamm!$AE$3:$AE$404)</f>
        <v/>
      </c>
    </row>
    <row r="95">
      <c r="A95" s="26" t="inlineStr">
        <is>
          <t>Direkt</t>
        </is>
      </c>
      <c r="B95" s="33">
        <f>COUNTIF(Artikelstamm!$AC$3:$AC$404,$A95)</f>
        <v/>
      </c>
      <c r="C95" s="34">
        <f>SUMPRODUCT((Artikelstamm!$AC$3:$AC$404=$A95)*Artikelstamm!$K$3:$K$404*Artikelstamm!$AE$3:$AE$404)</f>
        <v/>
      </c>
    </row>
    <row r="96">
      <c r="A96" s="26" t="inlineStr">
        <is>
          <t>Händler</t>
        </is>
      </c>
      <c r="B96" s="33">
        <f>COUNTIF(Artikelstamm!$AC$3:$AC$404,$A96)</f>
        <v/>
      </c>
      <c r="C96" s="34">
        <f>SUMPRODUCT((Artikelstamm!$AC$3:$AC$404=$A96)*Artikelstamm!$K$3:$K$404*Artikelstamm!$AE$3:$AE$404)</f>
        <v/>
      </c>
    </row>
    <row r="97">
      <c r="A97" s="26" t="inlineStr">
        <is>
          <t>Verkaufstag</t>
        </is>
      </c>
      <c r="B97" s="33">
        <f>COUNTIF(Artikelstamm!$AC$3:$AC$404,$A97)</f>
        <v/>
      </c>
      <c r="C97" s="34">
        <f>SUMPRODUCT((Artikelstamm!$AC$3:$AC$404=$A97)*Artikelstamm!$K$3:$K$404*Artikelstamm!$AE$3:$AE$404)</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2026-09-24T09:08:18Z</dcterms:created>
  <dcterms:modified xmlns:dcterms="http://purl.org/dc/terms/" xmlns:xsi="http://www.w3.org/2001/XMLSchema-instance" xsi:type="dcterms:W3CDTF">2026-09-24T09:08:20Z</dcterms:modified>
</cp:coreProperties>
</file>