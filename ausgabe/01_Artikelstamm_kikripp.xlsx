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'Artikelstamm'!$A$2:$AN$327</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2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31</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31 Stühle insgesamt: 10 im Gruppenraum 5 und im Nachbarraum NU03, 6 im Schlafraum 5 (dort mit NU04-12 beschriftet) und 15 im Flur 2 im Untergeschoss des Bestandsgebäudes (dort mit BU02-04 beschriftet). Die 15 Stühle aus dem Flur 2 sind stark gebraucht.</t>
        </is>
      </c>
      <c r="AN156" s="22" t="inlineStr">
        <is>
          <t>Zusammengefasste Position ueber vier Raeume. Post-it-Nummern: NU04-12, BU02-04.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6</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6 Schränke insgesamt: 2 im Flur 2 der Attika (BA02-08), 2 im Gruppenraum 4 (BA04-09) und 2 im Flur 2 im Untergeschoss des Bestandsgebäudes (BU02-14). Die beiden Schränke im Untergeschoss sind auf Foto F-378 zu sehen.</t>
        </is>
      </c>
      <c r="AN241" s="22" t="inlineStr">
        <is>
          <t>Zusammengefasste Position über drei Räume – Post-it-Nummern: BA04-09, BU02-14.</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inlineStr">
        <is>
          <t>BA07-04</t>
        </is>
      </c>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2 Tische: einer im Gruppenraum 4 (BA04-07) und einer im Klassenzimmer (dort mit BA07-04 beschriftet). Der Inhalt gehört nicht dazu. Baugleich in Kupfer gibt es zwei Stück unter NU02-07.</t>
        </is>
      </c>
      <c r="AN266" s="22" t="inlineStr">
        <is>
          <t>Zusammengefasste Position – Post-it-Nummer im zweiten Raum: BA07-04.</t>
        </is>
      </c>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inlineStr">
        <is>
          <t>BA06-01</t>
        </is>
      </c>
      <c r="D274" s="15" t="inlineStr">
        <is>
          <t>BA05</t>
        </is>
      </c>
      <c r="E274" s="15" t="inlineStr">
        <is>
          <t>Rody Hüpfpferd, rot und grün</t>
        </is>
      </c>
      <c r="F274" s="16" t="inlineStr">
        <is>
          <t>Hüpfpferd Rody aus Gummi mit weißen Punkten, aufblasbar. Markenaufdruck am Bauch. Eines in Rot mit gelbem Sattel, zwei in Grün mit blauem Sattel.</t>
        </is>
      </c>
      <c r="G274" s="15" t="inlineStr">
        <is>
          <t>Kita-Ausstattung</t>
        </is>
      </c>
      <c r="H274" s="15" t="inlineStr">
        <is>
          <t>Turnraum</t>
        </is>
      </c>
      <c r="I274" s="15" t="inlineStr">
        <is>
          <t>C</t>
        </is>
      </c>
      <c r="J274" s="17" t="n">
        <v>3</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3 Hüpfpferde: eines rot im Turnraum (BA05-08) und zwei grüne im Materialraum (dort mit BA06-01 beschriftet). Das rote ist auf Foto F-318 zu sehen, die grünen auf F-323.</t>
        </is>
      </c>
      <c r="AN274" s="22" t="inlineStr">
        <is>
          <t>Zusammengefasste Position – Post-it-Nummer im zweiten Raum: BA06-01.</t>
        </is>
      </c>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row r="277" ht="30" customHeight="1">
      <c r="A277" s="15" t="inlineStr">
        <is>
          <t>BA06-02</t>
        </is>
      </c>
      <c r="B277" s="15" t="n"/>
      <c r="C277" s="15" t="n"/>
      <c r="D277" s="15" t="inlineStr">
        <is>
          <t>BA06</t>
        </is>
      </c>
      <c r="E277" s="15" t="inlineStr">
        <is>
          <t>BMW Baby Racer Rutscherauto</t>
        </is>
      </c>
      <c r="F277" s="16" t="inlineStr">
        <is>
          <t>Rutscherauto in Sportwagenform, Karosserie blau mit rotem Sitz, Lenkrad mit Hupe, verchromte Felgen. BMW-Emblem an der Front. Lack stark zerkratzt.</t>
        </is>
      </c>
      <c r="G277" s="15" t="inlineStr">
        <is>
          <t>Kita-Ausstattung</t>
        </is>
      </c>
      <c r="H277" s="15" t="inlineStr">
        <is>
          <t>Material / Turnraum</t>
        </is>
      </c>
      <c r="I277" s="15" t="inlineStr">
        <is>
          <t>C</t>
        </is>
      </c>
      <c r="J277" s="17" t="n">
        <v>1</v>
      </c>
      <c r="K277" s="17" t="n"/>
      <c r="L277" s="18">
        <f>J277-IF(K277="",0,K277)</f>
        <v/>
      </c>
      <c r="M277" s="15" t="inlineStr">
        <is>
          <t>Stück</t>
        </is>
      </c>
      <c r="N277" s="15" t="inlineStr">
        <is>
          <t>stark gebraucht</t>
        </is>
      </c>
      <c r="O277" s="19" t="n"/>
      <c r="P277" s="19" t="inlineStr">
        <is>
          <t>ja</t>
        </is>
      </c>
      <c r="Q277" s="19" t="n"/>
      <c r="R277" s="20" t="n"/>
      <c r="S277" s="20" t="n">
        <v>15</v>
      </c>
      <c r="T277" s="19" t="inlineStr">
        <is>
          <t>VHB</t>
        </is>
      </c>
      <c r="U277" s="21">
        <f>L277*S277</f>
        <v/>
      </c>
      <c r="V277" s="15" t="inlineStr">
        <is>
          <t>nur Abholung</t>
        </is>
      </c>
      <c r="W277" s="15" t="inlineStr">
        <is>
          <t>F-325</t>
        </is>
      </c>
      <c r="X277" s="19" t="inlineStr">
        <is>
          <t>ja</t>
        </is>
      </c>
      <c r="Y277" s="19" t="n"/>
      <c r="Z277" s="19" t="inlineStr">
        <is>
          <t>verfügbar</t>
        </is>
      </c>
      <c r="AA277" s="19" t="inlineStr">
        <is>
          <t>BMW</t>
        </is>
      </c>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BA06-03</t>
        </is>
      </c>
      <c r="B278" s="15" t="n"/>
      <c r="C278" s="15" t="n"/>
      <c r="D278" s="15" t="inlineStr">
        <is>
          <t>BA06</t>
        </is>
      </c>
      <c r="E278" s="15" t="inlineStr">
        <is>
          <t>BIG Bobby Quad</t>
        </is>
      </c>
      <c r="F278" s="16" t="inlineStr">
        <is>
          <t>Quad-Rutscherfahrzeug aus Kunststoff in Schwarz mit limettengrünen Felgen und Lenkergriffen, Stollenreifen. Aufdruck: bobby quad, BIG.</t>
        </is>
      </c>
      <c r="G278" s="15" t="inlineStr">
        <is>
          <t>Kita-Ausstattung</t>
        </is>
      </c>
      <c r="H278" s="15" t="inlineStr">
        <is>
          <t>Material / Turnraum</t>
        </is>
      </c>
      <c r="I278" s="15" t="inlineStr">
        <is>
          <t>C</t>
        </is>
      </c>
      <c r="J278" s="17" t="n">
        <v>3</v>
      </c>
      <c r="K278" s="17" t="n"/>
      <c r="L278" s="18">
        <f>J278-IF(K278="",0,K278)</f>
        <v/>
      </c>
      <c r="M278" s="15" t="inlineStr">
        <is>
          <t>Stück</t>
        </is>
      </c>
      <c r="N278" s="15" t="inlineStr">
        <is>
          <t>gebraucht</t>
        </is>
      </c>
      <c r="O278" s="19" t="n"/>
      <c r="P278" s="19" t="inlineStr">
        <is>
          <t>ja</t>
        </is>
      </c>
      <c r="Q278" s="19" t="n"/>
      <c r="R278" s="20" t="n"/>
      <c r="S278" s="20" t="n">
        <v>25</v>
      </c>
      <c r="T278" s="19" t="inlineStr">
        <is>
          <t>VHB</t>
        </is>
      </c>
      <c r="U278" s="21">
        <f>L278*S278</f>
        <v/>
      </c>
      <c r="V278" s="15" t="inlineStr">
        <is>
          <t>nur Abholung</t>
        </is>
      </c>
      <c r="W278" s="15" t="inlineStr">
        <is>
          <t>F-326</t>
        </is>
      </c>
      <c r="X278" s="19" t="inlineStr">
        <is>
          <t>ja</t>
        </is>
      </c>
      <c r="Y278" s="19" t="n"/>
      <c r="Z278" s="19" t="inlineStr">
        <is>
          <t>verfügbar</t>
        </is>
      </c>
      <c r="AA278" s="19" t="inlineStr">
        <is>
          <t>BIG</t>
        </is>
      </c>
      <c r="AB278" s="19" t="n"/>
      <c r="AC278" s="19" t="n"/>
      <c r="AD278" s="19" t="n"/>
      <c r="AE278" s="20" t="n"/>
      <c r="AF278" s="21">
        <f>IF(K278="","",K278*AE278)</f>
        <v/>
      </c>
      <c r="AG278" s="19" t="n"/>
      <c r="AH278" s="19" t="n"/>
      <c r="AI278" s="19" t="n"/>
      <c r="AJ278" s="19" t="n"/>
      <c r="AK278" s="19" t="n"/>
      <c r="AL278" s="19" t="n"/>
      <c r="AM278" s="16" t="inlineStr">
        <is>
          <t>3 Fahrzeuge – abgebildet ist eines davon.</t>
        </is>
      </c>
      <c r="AN278" s="22" t="n"/>
    </row>
    <row r="279" ht="30" customHeight="1">
      <c r="A279" s="15" t="inlineStr">
        <is>
          <t>BA06-04</t>
        </is>
      </c>
      <c r="B279" s="15" t="n"/>
      <c r="C279" s="15" t="n"/>
      <c r="D279" s="15" t="inlineStr">
        <is>
          <t>BA06</t>
        </is>
      </c>
      <c r="E279" s="15" t="inlineStr">
        <is>
          <t>Holz-Dreirad mit Kuhkopf</t>
        </is>
      </c>
      <c r="F279" s="16" t="inlineStr">
        <is>
          <t>Rutschfahrzeug aus Massivholz mit vier Rädern, ovalem Sitz und Lehne, vorn ein Kuhkopf mit Stoffohren und gemaltem Gesicht.</t>
        </is>
      </c>
      <c r="G279" s="15" t="inlineStr">
        <is>
          <t>Kita-Ausstattung</t>
        </is>
      </c>
      <c r="H279" s="15" t="inlineStr">
        <is>
          <t>Material / Turnraum</t>
        </is>
      </c>
      <c r="I279" s="15" t="inlineStr">
        <is>
          <t>B</t>
        </is>
      </c>
      <c r="J279" s="17" t="n">
        <v>1</v>
      </c>
      <c r="K279" s="17" t="n"/>
      <c r="L279" s="18">
        <f>J279-IF(K279="",0,K279)</f>
        <v/>
      </c>
      <c r="M279" s="15" t="inlineStr">
        <is>
          <t>Stück</t>
        </is>
      </c>
      <c r="N279" s="15" t="inlineStr">
        <is>
          <t>gebraucht</t>
        </is>
      </c>
      <c r="O279" s="19" t="n"/>
      <c r="P279" s="19" t="inlineStr">
        <is>
          <t>ja</t>
        </is>
      </c>
      <c r="Q279" s="19" t="n"/>
      <c r="R279" s="20" t="n"/>
      <c r="S279" s="20" t="n">
        <v>35</v>
      </c>
      <c r="T279" s="19" t="inlineStr">
        <is>
          <t>VHB</t>
        </is>
      </c>
      <c r="U279" s="21">
        <f>L279*S279</f>
        <v/>
      </c>
      <c r="V279" s="15" t="inlineStr">
        <is>
          <t>nur Abholung</t>
        </is>
      </c>
      <c r="W279" s="15" t="inlineStr">
        <is>
          <t>F-324</t>
        </is>
      </c>
      <c r="X279" s="19" t="inlineStr">
        <is>
          <t>ja</t>
        </is>
      </c>
      <c r="Y279" s="19" t="n"/>
      <c r="Z279" s="19" t="inlineStr">
        <is>
          <t>verfügbar</t>
        </is>
      </c>
      <c r="AA279" s="19" t="n"/>
      <c r="AB279" s="19" t="n"/>
      <c r="AC279" s="19" t="n"/>
      <c r="AD279" s="19" t="n"/>
      <c r="AE279" s="20" t="n"/>
      <c r="AF279" s="21">
        <f>IF(K279="","",K279*AE279)</f>
        <v/>
      </c>
      <c r="AG279" s="19" t="n"/>
      <c r="AH279" s="19" t="n"/>
      <c r="AI279" s="19" t="n"/>
      <c r="AJ279" s="19" t="n"/>
      <c r="AK279" s="19" t="n"/>
      <c r="AL279" s="19" t="n"/>
      <c r="AM279" s="16" t="inlineStr">
        <is>
          <t>1 Fahrzeug.</t>
        </is>
      </c>
      <c r="AN279" s="22" t="n"/>
    </row>
    <row r="280" ht="30" customHeight="1">
      <c r="A280" s="15" t="inlineStr">
        <is>
          <t>BA06-05</t>
        </is>
      </c>
      <c r="B280" s="15" t="n"/>
      <c r="C280" s="15" t="n"/>
      <c r="D280" s="15" t="inlineStr">
        <is>
          <t>BA06</t>
        </is>
      </c>
      <c r="E280" s="15" t="inlineStr">
        <is>
          <t>Schaukel- und Rutschtier aus Formholz</t>
        </is>
      </c>
      <c r="F280" s="16" t="inlineStr">
        <is>
          <t>Fahrzeug aus weiß lackiertem Formholz mit Naturholz-Lehne, vier kleinen Rollen und schwarzen Griffen. Lack an vielen Stellen abgeplatzt.</t>
        </is>
      </c>
      <c r="G280" s="15" t="inlineStr">
        <is>
          <t>Kita-Ausstattung</t>
        </is>
      </c>
      <c r="H280" s="15" t="inlineStr">
        <is>
          <t>Material / Turnraum</t>
        </is>
      </c>
      <c r="I280" s="15" t="inlineStr">
        <is>
          <t>C</t>
        </is>
      </c>
      <c r="J280" s="17" t="n">
        <v>1</v>
      </c>
      <c r="K280" s="17" t="n"/>
      <c r="L280" s="18">
        <f>J280-IF(K280="",0,K280)</f>
        <v/>
      </c>
      <c r="M280" s="15" t="inlineStr">
        <is>
          <t>Stück</t>
        </is>
      </c>
      <c r="N280" s="15" t="inlineStr">
        <is>
          <t>stark gebraucht</t>
        </is>
      </c>
      <c r="O280" s="19" t="n"/>
      <c r="P280" s="19" t="inlineStr">
        <is>
          <t>ja</t>
        </is>
      </c>
      <c r="Q280" s="19" t="n"/>
      <c r="R280" s="20" t="n"/>
      <c r="S280" s="20" t="n">
        <v>20</v>
      </c>
      <c r="T280" s="19" t="inlineStr">
        <is>
          <t>VHB</t>
        </is>
      </c>
      <c r="U280" s="21">
        <f>L280*S280</f>
        <v/>
      </c>
      <c r="V280" s="15" t="inlineStr">
        <is>
          <t>nur Abholung</t>
        </is>
      </c>
      <c r="W280" s="15" t="inlineStr">
        <is>
          <t>F-327</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1 Fahrzeug.</t>
        </is>
      </c>
      <c r="AN280" s="22" t="n"/>
    </row>
    <row r="281" ht="30" customHeight="1">
      <c r="A281" s="15" t="inlineStr">
        <is>
          <t>BA06-06</t>
        </is>
      </c>
      <c r="B281" s="15" t="n"/>
      <c r="C281" s="15" t="n"/>
      <c r="D281" s="15" t="inlineStr">
        <is>
          <t>BA06</t>
        </is>
      </c>
      <c r="E281" s="15" t="inlineStr">
        <is>
          <t>BIG Bobby Car Feuerwehr</t>
        </is>
      </c>
      <c r="F281" s="16" t="inlineStr">
        <is>
          <t>Rutscherauto als Feuerwehrfahrzeug aus rotem Kunststoff mit Blaulicht, drehbarem Wasserwerfer und Stollenreifen. Aufdruck: BIG.</t>
        </is>
      </c>
      <c r="G281" s="15" t="inlineStr">
        <is>
          <t>Kita-Ausstattung</t>
        </is>
      </c>
      <c r="H281" s="15" t="inlineStr">
        <is>
          <t>Material / Turnraum</t>
        </is>
      </c>
      <c r="I281" s="15" t="inlineStr">
        <is>
          <t>B</t>
        </is>
      </c>
      <c r="J281" s="17" t="n">
        <v>2</v>
      </c>
      <c r="K281" s="17" t="n"/>
      <c r="L281" s="18">
        <f>J281-IF(K281="",0,K281)</f>
        <v/>
      </c>
      <c r="M281" s="15" t="inlineStr">
        <is>
          <t>Stück</t>
        </is>
      </c>
      <c r="N281" s="15" t="inlineStr">
        <is>
          <t>gebraucht</t>
        </is>
      </c>
      <c r="O281" s="19" t="n"/>
      <c r="P281" s="19" t="inlineStr">
        <is>
          <t>ja</t>
        </is>
      </c>
      <c r="Q281" s="19" t="n"/>
      <c r="R281" s="20" t="n"/>
      <c r="S281" s="20" t="n">
        <v>30</v>
      </c>
      <c r="T281" s="19" t="inlineStr">
        <is>
          <t>VHB</t>
        </is>
      </c>
      <c r="U281" s="21">
        <f>L281*S281</f>
        <v/>
      </c>
      <c r="V281" s="15" t="inlineStr">
        <is>
          <t>nur Abholung</t>
        </is>
      </c>
      <c r="W281" s="15" t="inlineStr">
        <is>
          <t>F-328</t>
        </is>
      </c>
      <c r="X281" s="19" t="inlineStr">
        <is>
          <t>ja</t>
        </is>
      </c>
      <c r="Y281" s="19" t="n"/>
      <c r="Z281" s="19" t="inlineStr">
        <is>
          <t>verfügbar</t>
        </is>
      </c>
      <c r="AA281" s="19" t="inlineStr">
        <is>
          <t>BIG</t>
        </is>
      </c>
      <c r="AB281" s="19" t="n"/>
      <c r="AC281" s="19" t="n"/>
      <c r="AD281" s="19" t="n"/>
      <c r="AE281" s="20" t="n"/>
      <c r="AF281" s="21">
        <f>IF(K281="","",K281*AE281)</f>
        <v/>
      </c>
      <c r="AG281" s="19" t="n"/>
      <c r="AH281" s="19" t="n"/>
      <c r="AI281" s="19" t="n"/>
      <c r="AJ281" s="19" t="n"/>
      <c r="AK281" s="19" t="n"/>
      <c r="AL281" s="19" t="n"/>
      <c r="AM281" s="16" t="inlineStr">
        <is>
          <t>2 Fahrzeuge – abgebildet ist eines davon.</t>
        </is>
      </c>
      <c r="AN281" s="22" t="n"/>
    </row>
    <row r="282" ht="30" customHeight="1">
      <c r="A282" s="15" t="inlineStr">
        <is>
          <t>BA06-07</t>
        </is>
      </c>
      <c r="B282" s="15" t="n"/>
      <c r="C282" s="15" t="n"/>
      <c r="D282" s="15" t="inlineStr">
        <is>
          <t>BA06</t>
        </is>
      </c>
      <c r="E282" s="15" t="inlineStr">
        <is>
          <t>Klettergerüst Holz</t>
        </is>
      </c>
      <c r="F282" s="16" t="inlineStr">
        <is>
          <t>Klettergerüst aus Buche massiv mit Rundsprossen und seitlichen Wangen, zusammenklappbar.</t>
        </is>
      </c>
      <c r="G282" s="15" t="inlineStr">
        <is>
          <t>Kita-Ausstattung</t>
        </is>
      </c>
      <c r="H282" s="15" t="inlineStr">
        <is>
          <t>Material / Turnraum</t>
        </is>
      </c>
      <c r="I282" s="15" t="inlineStr">
        <is>
          <t>B</t>
        </is>
      </c>
      <c r="J282" s="17" t="n">
        <v>2</v>
      </c>
      <c r="K282" s="17" t="n"/>
      <c r="L282" s="18">
        <f>J282-IF(K282="",0,K282)</f>
        <v/>
      </c>
      <c r="M282" s="15" t="inlineStr">
        <is>
          <t>Stück</t>
        </is>
      </c>
      <c r="N282" s="15" t="inlineStr">
        <is>
          <t>gebraucht</t>
        </is>
      </c>
      <c r="O282" s="19" t="n"/>
      <c r="P282" s="19" t="inlineStr">
        <is>
          <t>ja</t>
        </is>
      </c>
      <c r="Q282" s="19" t="n"/>
      <c r="R282" s="20" t="n"/>
      <c r="S282" s="20" t="n">
        <v>60</v>
      </c>
      <c r="T282" s="19" t="inlineStr">
        <is>
          <t>VHB</t>
        </is>
      </c>
      <c r="U282" s="21">
        <f>L282*S282</f>
        <v/>
      </c>
      <c r="V282" s="15" t="inlineStr">
        <is>
          <t>nur Abholung</t>
        </is>
      </c>
      <c r="W282" s="15" t="inlineStr">
        <is>
          <t>F-329</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2 Gerüste – abgebildet ist eines davon.</t>
        </is>
      </c>
      <c r="AN282" s="22" t="n"/>
    </row>
    <row r="283" ht="30" customHeight="1">
      <c r="A283" s="15" t="inlineStr">
        <is>
          <t>BA06-08</t>
        </is>
      </c>
      <c r="B283" s="15" t="n"/>
      <c r="C283" s="15" t="n"/>
      <c r="D283" s="15" t="inlineStr">
        <is>
          <t>BA06</t>
        </is>
      </c>
      <c r="E283" s="15" t="inlineStr">
        <is>
          <t>Klettergerüst grün mit Rutschbrett</t>
        </is>
      </c>
      <c r="F283" s="16" t="inlineStr">
        <is>
          <t>Klettergerüst mit grün lackiertem Metallrahmen, Rundsprossen aus Holz und einem Rutschbrett mit dunkler Lauffläche.</t>
        </is>
      </c>
      <c r="G283" s="15" t="inlineStr">
        <is>
          <t>Kita-Ausstattung</t>
        </is>
      </c>
      <c r="H283" s="15" t="inlineStr">
        <is>
          <t>Material / Turnraum</t>
        </is>
      </c>
      <c r="I283" s="15" t="inlineStr">
        <is>
          <t>B</t>
        </is>
      </c>
      <c r="J283" s="17" t="n">
        <v>3</v>
      </c>
      <c r="K283" s="17" t="n"/>
      <c r="L283" s="18">
        <f>J283-IF(K283="",0,K283)</f>
        <v/>
      </c>
      <c r="M283" s="15" t="inlineStr">
        <is>
          <t>Stück</t>
        </is>
      </c>
      <c r="N283" s="15" t="inlineStr">
        <is>
          <t>gebraucht</t>
        </is>
      </c>
      <c r="O283" s="19" t="n"/>
      <c r="P283" s="19" t="inlineStr">
        <is>
          <t>ja</t>
        </is>
      </c>
      <c r="Q283" s="19" t="n"/>
      <c r="R283" s="20" t="n"/>
      <c r="S283" s="20" t="n">
        <v>70</v>
      </c>
      <c r="T283" s="19" t="inlineStr">
        <is>
          <t>VHB</t>
        </is>
      </c>
      <c r="U283" s="21">
        <f>L283*S283</f>
        <v/>
      </c>
      <c r="V283" s="15" t="inlineStr">
        <is>
          <t>nur Abholung</t>
        </is>
      </c>
      <c r="W283" s="15" t="inlineStr">
        <is>
          <t>F-330</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3 Gerüste – abgebildet ist eines davon.</t>
        </is>
      </c>
      <c r="AN283" s="22" t="n"/>
    </row>
    <row r="284" ht="30" customHeight="1">
      <c r="A284" s="15" t="inlineStr">
        <is>
          <t>BA06-09</t>
        </is>
      </c>
      <c r="B284" s="15" t="n"/>
      <c r="C284" s="15" t="n"/>
      <c r="D284" s="15" t="inlineStr">
        <is>
          <t>BA06</t>
        </is>
      </c>
      <c r="E284" s="15" t="inlineStr">
        <is>
          <t>Holz-Lastwagen zum Rutschen</t>
        </is>
      </c>
      <c r="F284" s="16" t="inlineStr">
        <is>
          <t>Rutschfahrzeug aus Massivholz in Lastwagenform: offene Ladefläche mit Bordwänden, gepolsterter Sitz vor dem Führerhaus, Holzlenkrad und vier Gummiräder mit roten Felgen.</t>
        </is>
      </c>
      <c r="G284" s="15" t="inlineStr">
        <is>
          <t>Kita-Ausstattung</t>
        </is>
      </c>
      <c r="H284" s="15" t="inlineStr">
        <is>
          <t>Material / Turnraum</t>
        </is>
      </c>
      <c r="I284" s="15" t="inlineStr">
        <is>
          <t>B</t>
        </is>
      </c>
      <c r="J284" s="17" t="n">
        <v>1</v>
      </c>
      <c r="K284" s="17" t="n"/>
      <c r="L284" s="18">
        <f>J284-IF(K284="",0,K284)</f>
        <v/>
      </c>
      <c r="M284" s="15" t="inlineStr">
        <is>
          <t>Stück</t>
        </is>
      </c>
      <c r="N284" s="15" t="inlineStr">
        <is>
          <t>gebraucht</t>
        </is>
      </c>
      <c r="O284" s="19" t="n"/>
      <c r="P284" s="19" t="inlineStr">
        <is>
          <t>ja</t>
        </is>
      </c>
      <c r="Q284" s="19" t="n"/>
      <c r="R284" s="20" t="n"/>
      <c r="S284" s="20" t="n">
        <v>40</v>
      </c>
      <c r="T284" s="19" t="inlineStr">
        <is>
          <t>VHB</t>
        </is>
      </c>
      <c r="U284" s="21">
        <f>L284*S284</f>
        <v/>
      </c>
      <c r="V284" s="15" t="inlineStr">
        <is>
          <t>nur Abholung</t>
        </is>
      </c>
      <c r="W284" s="15" t="inlineStr">
        <is>
          <t>F-335</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Fahrzeug.</t>
        </is>
      </c>
      <c r="AN284" s="22" t="n"/>
    </row>
    <row r="285" ht="30" customHeight="1">
      <c r="A285" s="15" t="inlineStr">
        <is>
          <t>BA06-10</t>
        </is>
      </c>
      <c r="B285" s="15" t="n"/>
      <c r="C285" s="15" t="n"/>
      <c r="D285" s="15" t="inlineStr">
        <is>
          <t>BA06</t>
        </is>
      </c>
      <c r="E285" s="15" t="inlineStr">
        <is>
          <t>Feuerwehrhaus aus Holz</t>
        </is>
      </c>
      <c r="F285" s="16" t="inlineStr">
        <is>
          <t>Spiel-Feuerwehrhaus aus Holz mit rot lackierten Wänden, dunklem Dach, aufklappbarem Tor und Zwischenboden. Aufdruck: FIRE STATION. Farbe stark abgegriffen.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stark gebraucht</t>
        </is>
      </c>
      <c r="O285" s="19" t="n"/>
      <c r="P285" s="19" t="inlineStr">
        <is>
          <t>ja</t>
        </is>
      </c>
      <c r="Q285" s="19" t="n"/>
      <c r="R285" s="20" t="n"/>
      <c r="S285" s="20" t="n">
        <v>20</v>
      </c>
      <c r="T285" s="19" t="inlineStr">
        <is>
          <t>VHB</t>
        </is>
      </c>
      <c r="U285" s="21">
        <f>L285*S285</f>
        <v/>
      </c>
      <c r="V285" s="15" t="inlineStr">
        <is>
          <t>nur Abholung</t>
        </is>
      </c>
      <c r="W285" s="15" t="inlineStr">
        <is>
          <t>F-331</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Haus. Die Fahrzeuge darin gehören nicht dazu.</t>
        </is>
      </c>
      <c r="AN285" s="22" t="n"/>
    </row>
    <row r="286" ht="30" customHeight="1">
      <c r="A286" s="15" t="inlineStr">
        <is>
          <t>BA06-11</t>
        </is>
      </c>
      <c r="B286" s="15" t="n"/>
      <c r="C286" s="15" t="n"/>
      <c r="D286" s="15" t="inlineStr">
        <is>
          <t>BA06</t>
        </is>
      </c>
      <c r="E286" s="15" t="inlineStr">
        <is>
          <t>Sitzschaukel Kunststoff mit Seilen</t>
        </is>
      </c>
      <c r="F286" s="16" t="inlineStr">
        <is>
          <t>Babyschaukel aus Kunststoff: Sitzschale in Violett mit limettengrünem Sicherheitsbügel, Aufhängung über weiße Seile.</t>
        </is>
      </c>
      <c r="G286" s="15" t="inlineStr">
        <is>
          <t>Kita-Ausstattung</t>
        </is>
      </c>
      <c r="H286" s="15" t="inlineStr">
        <is>
          <t>Material / Turnraum</t>
        </is>
      </c>
      <c r="I286" s="15" t="inlineStr">
        <is>
          <t>C</t>
        </is>
      </c>
      <c r="J286" s="17" t="n">
        <v>1</v>
      </c>
      <c r="K286" s="17" t="n"/>
      <c r="L286" s="18">
        <f>J286-IF(K286="",0,K286)</f>
        <v/>
      </c>
      <c r="M286" s="15" t="inlineStr">
        <is>
          <t>Stück</t>
        </is>
      </c>
      <c r="N286" s="15" t="inlineStr">
        <is>
          <t>gebraucht</t>
        </is>
      </c>
      <c r="O286" s="19" t="n"/>
      <c r="P286" s="19" t="inlineStr">
        <is>
          <t>ja</t>
        </is>
      </c>
      <c r="Q286" s="19" t="n"/>
      <c r="R286" s="20" t="n"/>
      <c r="S286" s="20" t="n">
        <v>15</v>
      </c>
      <c r="T286" s="19" t="inlineStr">
        <is>
          <t>VHB</t>
        </is>
      </c>
      <c r="U286" s="21">
        <f>L286*S286</f>
        <v/>
      </c>
      <c r="V286" s="15" t="inlineStr">
        <is>
          <t>nur Abholung</t>
        </is>
      </c>
      <c r="W286" s="15" t="inlineStr">
        <is>
          <t>F-332</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1 Schaukel.</t>
        </is>
      </c>
      <c r="AN286" s="22" t="n"/>
    </row>
    <row r="287" ht="30" customHeight="1">
      <c r="A287" s="15" t="inlineStr">
        <is>
          <t>BA06-12</t>
        </is>
      </c>
      <c r="B287" s="15" t="n"/>
      <c r="C287" s="15" t="n"/>
      <c r="D287" s="15" t="inlineStr">
        <is>
          <t>BA06</t>
        </is>
      </c>
      <c r="E287" s="15" t="inlineStr">
        <is>
          <t>Spieltunnel grün, 180 cm</t>
        </is>
      </c>
      <c r="F287" s="16" t="inlineStr">
        <is>
          <t>Spieltunnel aus grünem Stoff mit roten Ringen, etwa 180 cm lang bei 45 cm Durchmesser. Faltbar, mit Originalkarton.</t>
        </is>
      </c>
      <c r="G287" s="15" t="inlineStr">
        <is>
          <t>Kita-Ausstattung</t>
        </is>
      </c>
      <c r="H287" s="15" t="inlineStr">
        <is>
          <t>Material / Turnraum</t>
        </is>
      </c>
      <c r="I287" s="15" t="inlineStr">
        <is>
          <t>C</t>
        </is>
      </c>
      <c r="J287" s="17" t="n">
        <v>1</v>
      </c>
      <c r="K287" s="17" t="n"/>
      <c r="L287" s="18">
        <f>J287-IF(K287="",0,K287)</f>
        <v/>
      </c>
      <c r="M287" s="15" t="inlineStr">
        <is>
          <t>Stück</t>
        </is>
      </c>
      <c r="N287" s="15" t="inlineStr">
        <is>
          <t>gebraucht</t>
        </is>
      </c>
      <c r="O287" s="19" t="n"/>
      <c r="P287" s="19" t="inlineStr">
        <is>
          <t>ja</t>
        </is>
      </c>
      <c r="Q287" s="19" t="n"/>
      <c r="R287" s="20" t="n"/>
      <c r="S287" s="20" t="n">
        <v>15</v>
      </c>
      <c r="T287" s="19" t="inlineStr">
        <is>
          <t>VHB</t>
        </is>
      </c>
      <c r="U287" s="21">
        <f>L287*S287</f>
        <v/>
      </c>
      <c r="V287" s="15" t="inlineStr">
        <is>
          <t>nur Abholung</t>
        </is>
      </c>
      <c r="W287" s="15" t="inlineStr">
        <is>
          <t>F-336</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1 Tunnel. Das Foto zeigt den Originalkarton mit der Abbildung; der Tunnel selbst ist zusammengefaltet darin.</t>
        </is>
      </c>
      <c r="AN287" s="22" t="n"/>
    </row>
    <row r="288" ht="30" customHeight="1">
      <c r="A288" s="15" t="inlineStr">
        <is>
          <t>BA07-01</t>
        </is>
      </c>
      <c r="B288" s="15" t="n"/>
      <c r="C288" s="15" t="n"/>
      <c r="D288" s="15" t="inlineStr">
        <is>
          <t>BA07</t>
        </is>
      </c>
      <c r="E288" s="15" t="inlineStr">
        <is>
          <t>Kissen in Wolkenform, hellblau</t>
        </is>
      </c>
      <c r="F288" s="16" t="inlineStr">
        <is>
          <t>Dekokissen in Wolkenform aus hellblauem Samtstoff, mit aufgestickten Augen, Lächeln und rosa Wangen.</t>
        </is>
      </c>
      <c r="G288" s="15" t="inlineStr">
        <is>
          <t>Textilien</t>
        </is>
      </c>
      <c r="H288" s="15" t="inlineStr">
        <is>
          <t>Klassenzimmer</t>
        </is>
      </c>
      <c r="I288" s="15" t="inlineStr">
        <is>
          <t>C</t>
        </is>
      </c>
      <c r="J288" s="17" t="n">
        <v>2</v>
      </c>
      <c r="K288" s="17" t="n"/>
      <c r="L288" s="18">
        <f>J288-IF(K288="",0,K288)</f>
        <v/>
      </c>
      <c r="M288" s="15" t="inlineStr">
        <is>
          <t>Stück</t>
        </is>
      </c>
      <c r="N288" s="15" t="inlineStr">
        <is>
          <t>gut</t>
        </is>
      </c>
      <c r="O288" s="19" t="n"/>
      <c r="P288" s="19" t="inlineStr">
        <is>
          <t>ja</t>
        </is>
      </c>
      <c r="Q288" s="19" t="n"/>
      <c r="R288" s="20" t="n"/>
      <c r="S288" s="20" t="n">
        <v>12</v>
      </c>
      <c r="T288" s="19" t="inlineStr">
        <is>
          <t>VHB</t>
        </is>
      </c>
      <c r="U288" s="21">
        <f>L288*S288</f>
        <v/>
      </c>
      <c r="V288" s="15" t="inlineStr">
        <is>
          <t>Versand möglich</t>
        </is>
      </c>
      <c r="W288" s="15" t="inlineStr">
        <is>
          <t>F-337</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2 Kissen, beide abgebildet.</t>
        </is>
      </c>
      <c r="AN288" s="22" t="n"/>
    </row>
    <row r="289" ht="30" customHeight="1">
      <c r="A289" s="15" t="inlineStr">
        <is>
          <t>BA07-02</t>
        </is>
      </c>
      <c r="B289" s="15" t="n"/>
      <c r="C289" s="15" t="n"/>
      <c r="D289" s="15" t="inlineStr">
        <is>
          <t>BA07</t>
        </is>
      </c>
      <c r="E289" s="15" t="inlineStr">
        <is>
          <t>Wandleuchte rund mit Holzrand</t>
        </is>
      </c>
      <c r="F289" s="16" t="inlineStr">
        <is>
          <t>Runde Wandleuchte: Rahmen aus gebogenem Schichtholz mit satinierter Scheibe, flache Bauform, Zuleitung sichtbar verlegt. Zwei verschiedene Durchmesser.</t>
        </is>
      </c>
      <c r="G289" s="15" t="inlineStr">
        <is>
          <t>Leuchten</t>
        </is>
      </c>
      <c r="H289" s="15" t="inlineStr">
        <is>
          <t>Klassenzimmer</t>
        </is>
      </c>
      <c r="I289" s="15" t="inlineStr">
        <is>
          <t>B</t>
        </is>
      </c>
      <c r="J289" s="17" t="n">
        <v>2</v>
      </c>
      <c r="K289" s="17" t="n"/>
      <c r="L289" s="18">
        <f>J289-IF(K289="",0,K289)</f>
        <v/>
      </c>
      <c r="M289" s="15" t="inlineStr">
        <is>
          <t>Stück</t>
        </is>
      </c>
      <c r="N289" s="15" t="inlineStr">
        <is>
          <t>gebraucht</t>
        </is>
      </c>
      <c r="O289" s="19" t="n"/>
      <c r="P289" s="19" t="inlineStr">
        <is>
          <t>ja</t>
        </is>
      </c>
      <c r="Q289" s="19" t="n"/>
      <c r="R289" s="20" t="n"/>
      <c r="S289" s="20" t="n">
        <v>45</v>
      </c>
      <c r="T289" s="19" t="inlineStr">
        <is>
          <t>VHB</t>
        </is>
      </c>
      <c r="U289" s="21">
        <f>L289*S289</f>
        <v/>
      </c>
      <c r="V289" s="15" t="inlineStr">
        <is>
          <t>nur Abholung</t>
        </is>
      </c>
      <c r="W289" s="15" t="inlineStr">
        <is>
          <t>F-338</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2 Leuchten in unterschiedlicher Größe, beide abgebildet.</t>
        </is>
      </c>
      <c r="AN289" s="22" t="n"/>
    </row>
    <row r="290" ht="30" customHeight="1">
      <c r="A290" s="15" t="inlineStr">
        <is>
          <t>BA07-03</t>
        </is>
      </c>
      <c r="B290" s="15" t="n"/>
      <c r="C290" s="15" t="n"/>
      <c r="D290" s="15" t="inlineStr">
        <is>
          <t>BA07</t>
        </is>
      </c>
      <c r="E290" s="15" t="inlineStr">
        <is>
          <t>Standregal grau mit Wolkenaufsatz</t>
        </is>
      </c>
      <c r="F290" s="16" t="inlineStr">
        <is>
          <t>Schmales Standregal in Grau mit drei Ablagen und vorderen Haltelleisten, oben ein ausgesägter Wolkenaufsatz, auf schrägen Holzbeinen. Als Bücherregal genutzt.</t>
        </is>
      </c>
      <c r="G290" s="15" t="inlineStr">
        <is>
          <t>Kita-Ausstattung</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45</v>
      </c>
      <c r="T290" s="19" t="inlineStr">
        <is>
          <t>VHB</t>
        </is>
      </c>
      <c r="U290" s="21">
        <f>L290*S290</f>
        <v/>
      </c>
      <c r="V290" s="15" t="inlineStr">
        <is>
          <t>nur Abholung</t>
        </is>
      </c>
      <c r="W290" s="15" t="inlineStr">
        <is>
          <t>F-339</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t>
        </is>
      </c>
      <c r="AN290" s="22" t="n"/>
    </row>
    <row r="291" ht="30" customHeight="1">
      <c r="A291" s="15" t="inlineStr">
        <is>
          <t>BA07-05</t>
        </is>
      </c>
      <c r="B291" s="15" t="n"/>
      <c r="C291" s="15" t="n"/>
      <c r="D291" s="15" t="inlineStr">
        <is>
          <t>BA07</t>
        </is>
      </c>
      <c r="E291" s="15" t="inlineStr">
        <is>
          <t>Tisch weiß, lang, auf schwarzen Beinen</t>
        </is>
      </c>
      <c r="F291" s="16" t="inlineStr">
        <is>
          <t>Langer Tisch mit weißer Platte auf vier schwarzen Rundbeinen mit Gleitern. Als Arbeits- und Ablagefläche genutzt.</t>
        </is>
      </c>
      <c r="G291" s="15" t="inlineStr">
        <is>
          <t>Möbel</t>
        </is>
      </c>
      <c r="H291" s="15" t="inlineStr">
        <is>
          <t>Klassenzimmer</t>
        </is>
      </c>
      <c r="I291" s="15" t="inlineStr">
        <is>
          <t>B</t>
        </is>
      </c>
      <c r="J291" s="17" t="n">
        <v>1</v>
      </c>
      <c r="K291" s="17" t="n"/>
      <c r="L291" s="18">
        <f>J291-IF(K291="",0,K291)</f>
        <v/>
      </c>
      <c r="M291" s="15" t="inlineStr">
        <is>
          <t>Stück</t>
        </is>
      </c>
      <c r="N291" s="15" t="inlineStr">
        <is>
          <t>gebraucht</t>
        </is>
      </c>
      <c r="O291" s="19" t="n"/>
      <c r="P291" s="19" t="inlineStr">
        <is>
          <t>ja</t>
        </is>
      </c>
      <c r="Q291" s="19" t="n"/>
      <c r="R291" s="20" t="n"/>
      <c r="S291" s="20" t="n">
        <v>70</v>
      </c>
      <c r="T291" s="19" t="inlineStr">
        <is>
          <t>VHB</t>
        </is>
      </c>
      <c r="U291" s="21">
        <f>L291*S291</f>
        <v/>
      </c>
      <c r="V291" s="15" t="inlineStr">
        <is>
          <t>nur Abholung</t>
        </is>
      </c>
      <c r="W291" s="15" t="inlineStr">
        <is>
          <t>F-341</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Tisch.</t>
        </is>
      </c>
      <c r="AN291" s="22" t="inlineStr">
        <is>
          <t>Stueckzahl auf dem Erfassungsblatt nicht eingetragen, als 1 angenommen - bitte bestaetigen.</t>
        </is>
      </c>
    </row>
    <row r="292" ht="30" customHeight="1">
      <c r="A292" s="15" t="inlineStr">
        <is>
          <t>BA07-06</t>
        </is>
      </c>
      <c r="B292" s="15" t="n"/>
      <c r="C292" s="15" t="n"/>
      <c r="D292" s="15" t="inlineStr">
        <is>
          <t>BA07</t>
        </is>
      </c>
      <c r="E292" s="15" t="inlineStr">
        <is>
          <t>Regal creme, 16 Fächer, auf Metallbeinen</t>
        </is>
      </c>
      <c r="F292" s="16" t="inlineStr">
        <is>
          <t>Großes Regal in Creme mit sechzehn Fächern in vier Reihen, auf schräg gestellten schwarzen Metallbeinen.</t>
        </is>
      </c>
      <c r="G292" s="15" t="inlineStr">
        <is>
          <t>Möbel</t>
        </is>
      </c>
      <c r="H292" s="15" t="inlineStr">
        <is>
          <t>Klassenzimmer</t>
        </is>
      </c>
      <c r="I292" s="15" t="inlineStr">
        <is>
          <t>B</t>
        </is>
      </c>
      <c r="J292" s="17" t="n">
        <v>1</v>
      </c>
      <c r="K292" s="17" t="n"/>
      <c r="L292" s="18">
        <f>J292-IF(K292="",0,K292)</f>
        <v/>
      </c>
      <c r="M292" s="15" t="inlineStr">
        <is>
          <t>Stück</t>
        </is>
      </c>
      <c r="N292" s="15" t="inlineStr">
        <is>
          <t>gebraucht</t>
        </is>
      </c>
      <c r="O292" s="19" t="n"/>
      <c r="P292" s="19" t="inlineStr">
        <is>
          <t>ja</t>
        </is>
      </c>
      <c r="Q292" s="19" t="n"/>
      <c r="R292" s="20" t="n"/>
      <c r="S292" s="20" t="n">
        <v>90</v>
      </c>
      <c r="T292" s="19" t="inlineStr">
        <is>
          <t>VHB</t>
        </is>
      </c>
      <c r="U292" s="21">
        <f>L292*S292</f>
        <v/>
      </c>
      <c r="V292" s="15" t="inlineStr">
        <is>
          <t>nur Abholung</t>
        </is>
      </c>
      <c r="W292" s="15" t="inlineStr">
        <is>
          <t>F-342</t>
        </is>
      </c>
      <c r="X292" s="19" t="inlineStr">
        <is>
          <t>ja</t>
        </is>
      </c>
      <c r="Y292" s="19" t="n"/>
      <c r="Z292" s="19" t="inlineStr">
        <is>
          <t>verfügbar</t>
        </is>
      </c>
      <c r="AA292" s="19" t="n"/>
      <c r="AB292" s="19" t="n"/>
      <c r="AC292" s="19" t="n"/>
      <c r="AD292" s="19" t="n"/>
      <c r="AE292" s="20" t="n"/>
      <c r="AF292" s="21">
        <f>IF(K292="","",K292*AE292)</f>
        <v/>
      </c>
      <c r="AG292" s="19" t="n"/>
      <c r="AH292" s="19" t="n"/>
      <c r="AI292" s="19" t="n"/>
      <c r="AJ292" s="19" t="n"/>
      <c r="AK292" s="19" t="n"/>
      <c r="AL292" s="19" t="n"/>
      <c r="AM292" s="16" t="inlineStr">
        <is>
          <t>1 Regal. Der Inhalt gehört nicht dazu.</t>
        </is>
      </c>
      <c r="AN292" s="22" t="n"/>
    </row>
    <row r="293" ht="30" customHeight="1">
      <c r="A293" s="15" t="inlineStr">
        <is>
          <t>BA08-05</t>
        </is>
      </c>
      <c r="B293" s="15" t="n"/>
      <c r="C293" s="15" t="n"/>
      <c r="D293" s="15" t="inlineStr">
        <is>
          <t>BA08</t>
        </is>
      </c>
      <c r="E293" s="15" t="inlineStr">
        <is>
          <t>Acrylbild schwarz-weiß, Kreise mit Punkten</t>
        </is>
      </c>
      <c r="F293" s="16" t="inlineStr">
        <is>
          <t>Acryl auf Leinwand, großes Quadrat: mit breitem Pinsel gezogene Kreise, darin je mehrere gemalte Punkte – die Anmutung von Würfeln. Eigenarbeit einer Privatperson, nicht signiert.</t>
        </is>
      </c>
      <c r="G293" s="15" t="inlineStr">
        <is>
          <t>Kunst</t>
        </is>
      </c>
      <c r="H293" s="15" t="inlineStr">
        <is>
          <t>Atelier</t>
        </is>
      </c>
      <c r="I293" s="15" t="inlineStr">
        <is>
          <t>B</t>
        </is>
      </c>
      <c r="J293" s="17" t="n">
        <v>1</v>
      </c>
      <c r="K293" s="17" t="n"/>
      <c r="L293" s="18">
        <f>J293-IF(K293="",0,K293)</f>
        <v/>
      </c>
      <c r="M293" s="15" t="inlineStr">
        <is>
          <t>Stück</t>
        </is>
      </c>
      <c r="N293" s="15" t="inlineStr">
        <is>
          <t>gut</t>
        </is>
      </c>
      <c r="O293" s="19" t="n"/>
      <c r="P293" s="19" t="inlineStr">
        <is>
          <t>ja</t>
        </is>
      </c>
      <c r="Q293" s="19" t="n"/>
      <c r="R293" s="20" t="n"/>
      <c r="S293" s="20" t="n">
        <v>150</v>
      </c>
      <c r="T293" s="19" t="inlineStr">
        <is>
          <t>VHB</t>
        </is>
      </c>
      <c r="U293" s="21">
        <f>L293*S293</f>
        <v/>
      </c>
      <c r="V293" s="15" t="inlineStr">
        <is>
          <t>Versand möglich</t>
        </is>
      </c>
      <c r="W293" s="15" t="inlineStr">
        <is>
          <t>F-344</t>
        </is>
      </c>
      <c r="X293" s="19" t="inlineStr">
        <is>
          <t>ja</t>
        </is>
      </c>
      <c r="Y293" s="19" t="n"/>
      <c r="Z293" s="19" t="inlineStr">
        <is>
          <t>verfügbar</t>
        </is>
      </c>
      <c r="AA293" s="19" t="n"/>
      <c r="AB293" s="19" t="n"/>
      <c r="AC293" s="19" t="n"/>
      <c r="AD293" s="19" t="n"/>
      <c r="AE293" s="20" t="n"/>
      <c r="AF293" s="21">
        <f>IF(K293="","",K293*AE293)</f>
        <v/>
      </c>
      <c r="AG293" s="19" t="n"/>
      <c r="AH293" s="19" t="n"/>
      <c r="AI293" s="19" t="n"/>
      <c r="AJ293" s="19" t="n"/>
      <c r="AK293" s="19" t="n"/>
      <c r="AL293" s="19" t="n"/>
      <c r="AM293" s="16" t="inlineStr">
        <is>
          <t>1 Bild.</t>
        </is>
      </c>
      <c r="AN293" s="22" t="n"/>
    </row>
    <row r="294" ht="30" customHeight="1">
      <c r="A294" s="15" t="inlineStr">
        <is>
          <t>BA08-06</t>
        </is>
      </c>
      <c r="B294" s="15" t="n"/>
      <c r="C294" s="15" t="n"/>
      <c r="D294" s="15" t="inlineStr">
        <is>
          <t>BA08</t>
        </is>
      </c>
      <c r="E294" s="15" t="inlineStr">
        <is>
          <t>VS Schalenstuhl grau, Vierfußgestell</t>
        </is>
      </c>
      <c r="F294" s="16" t="inlineStr">
        <is>
          <t>Schalenstuhl von VS (Vereinigte Spezialmöbelfabriken): graue Kunststoffschale mit Rautenstruktur und Griffloch in der Lehne, auf grauem Vierfußgestell aus Rohr. Farbspritzer aus dem Atelierbetrieb auf Sitz und Lehne.</t>
        </is>
      </c>
      <c r="G294" s="15" t="inlineStr">
        <is>
          <t>Kita-Ausstattung</t>
        </is>
      </c>
      <c r="H294" s="15" t="inlineStr">
        <is>
          <t>Atelier</t>
        </is>
      </c>
      <c r="I294" s="15" t="inlineStr">
        <is>
          <t>B</t>
        </is>
      </c>
      <c r="J294" s="17" t="n">
        <v>9</v>
      </c>
      <c r="K294" s="17" t="n"/>
      <c r="L294" s="18">
        <f>J294-IF(K294="",0,K294)</f>
        <v/>
      </c>
      <c r="M294" s="15" t="inlineStr">
        <is>
          <t>Stück</t>
        </is>
      </c>
      <c r="N294" s="15" t="inlineStr">
        <is>
          <t>gebraucht</t>
        </is>
      </c>
      <c r="O294" s="19" t="n"/>
      <c r="P294" s="19" t="inlineStr">
        <is>
          <t>ja</t>
        </is>
      </c>
      <c r="Q294" s="19" t="n"/>
      <c r="R294" s="20" t="n"/>
      <c r="S294" s="20" t="n">
        <v>50</v>
      </c>
      <c r="T294" s="19" t="inlineStr">
        <is>
          <t>VHB</t>
        </is>
      </c>
      <c r="U294" s="21">
        <f>L294*S294</f>
        <v/>
      </c>
      <c r="V294" s="15" t="inlineStr">
        <is>
          <t>nur Abholung</t>
        </is>
      </c>
      <c r="W294" s="15" t="inlineStr">
        <is>
          <t>F-345</t>
        </is>
      </c>
      <c r="X294" s="19" t="inlineStr">
        <is>
          <t>ja</t>
        </is>
      </c>
      <c r="Y294" s="19" t="n"/>
      <c r="Z294" s="19" t="inlineStr">
        <is>
          <t>verfügbar</t>
        </is>
      </c>
      <c r="AA294" s="19" t="inlineStr">
        <is>
          <t>VS</t>
        </is>
      </c>
      <c r="AB294" s="19" t="n"/>
      <c r="AC294" s="19" t="n"/>
      <c r="AD294" s="19" t="n"/>
      <c r="AE294" s="20" t="n"/>
      <c r="AF294" s="21">
        <f>IF(K294="","",K294*AE294)</f>
        <v/>
      </c>
      <c r="AG294" s="19" t="n"/>
      <c r="AH294" s="19" t="n"/>
      <c r="AI294" s="19" t="n"/>
      <c r="AJ294" s="19" t="n"/>
      <c r="AK294" s="19" t="n"/>
      <c r="AL294" s="19" t="n"/>
      <c r="AM294" s="16" t="inlineStr">
        <is>
          <t>9 Stühle – abgebildet ist einer davon. Das Logo ist auf Foto F-346 zu sehen. Ein anderes VS-Modell auf Kufengestell steht unter NU02-04.</t>
        </is>
      </c>
      <c r="AN294" s="22" t="n"/>
    </row>
    <row r="295" ht="30" customHeight="1">
      <c r="A295" s="15" t="inlineStr">
        <is>
          <t>BA08-07</t>
        </is>
      </c>
      <c r="B295" s="15" t="n"/>
      <c r="C295" s="15" t="n"/>
      <c r="D295" s="15" t="inlineStr">
        <is>
          <t>BA08</t>
        </is>
      </c>
      <c r="E295" s="15" t="inlineStr">
        <is>
          <t>Konvolut Feinkrepp-Papier</t>
        </is>
      </c>
      <c r="F295" s="16" t="inlineStr">
        <is>
          <t>Rollen Feinkrepp von Marpa Jansen, je 50 × 250 cm, in Blau, Grün, Gelb, Rot, Orange und Braun. Teils angebrochen, dazu ein Beutel mit zugeschnittenen Schnipseln.</t>
        </is>
      </c>
      <c r="G295" s="15" t="inlineStr">
        <is>
          <t>Verbrauchsmaterial</t>
        </is>
      </c>
      <c r="H295" s="15" t="inlineStr">
        <is>
          <t>Atelier</t>
        </is>
      </c>
      <c r="I295" s="15" t="inlineStr">
        <is>
          <t>C</t>
        </is>
      </c>
      <c r="J295" s="17" t="n">
        <v>1</v>
      </c>
      <c r="K295" s="17" t="n"/>
      <c r="L295" s="18">
        <f>J295-IF(K295="",0,K295)</f>
        <v/>
      </c>
      <c r="M295" s="15" t="inlineStr">
        <is>
          <t>Konvolut</t>
        </is>
      </c>
      <c r="N295" s="15" t="inlineStr">
        <is>
          <t>gebraucht</t>
        </is>
      </c>
      <c r="O295" s="19" t="n"/>
      <c r="P295" s="19" t="inlineStr">
        <is>
          <t>ja</t>
        </is>
      </c>
      <c r="Q295" s="19" t="n"/>
      <c r="R295" s="20" t="n"/>
      <c r="S295" s="20" t="n">
        <v>20</v>
      </c>
      <c r="T295" s="19" t="inlineStr">
        <is>
          <t>VHB</t>
        </is>
      </c>
      <c r="U295" s="21">
        <f>L295*S295</f>
        <v/>
      </c>
      <c r="V295" s="15" t="inlineStr">
        <is>
          <t>nur Abholung</t>
        </is>
      </c>
      <c r="W295" s="15" t="inlineStr">
        <is>
          <t>F-347</t>
        </is>
      </c>
      <c r="X295" s="19" t="inlineStr">
        <is>
          <t>ja</t>
        </is>
      </c>
      <c r="Y295" s="19" t="n"/>
      <c r="Z295" s="19" t="inlineStr">
        <is>
          <t>verfügbar</t>
        </is>
      </c>
      <c r="AA295" s="19" t="inlineStr">
        <is>
          <t>Marpa Jansen</t>
        </is>
      </c>
      <c r="AB295" s="19" t="n"/>
      <c r="AC295" s="19" t="n"/>
      <c r="AD295" s="19" t="n"/>
      <c r="AE295" s="20" t="n"/>
      <c r="AF295" s="21">
        <f>IF(K295="","",K295*AE295)</f>
        <v/>
      </c>
      <c r="AG295" s="19" t="n"/>
      <c r="AH295" s="19" t="n"/>
      <c r="AI295" s="19" t="n"/>
      <c r="AJ295" s="19" t="n"/>
      <c r="AK295" s="19" t="n"/>
      <c r="AL295" s="19" t="n"/>
      <c r="AM295" s="16" t="inlineStr">
        <is>
          <t>1 Konvolut. Der Schubladeninhalt ist auf Foto F-348 zu sehen.</t>
        </is>
      </c>
      <c r="AN295" s="22" t="n"/>
    </row>
    <row r="296" ht="30" customHeight="1">
      <c r="A296" s="15" t="inlineStr">
        <is>
          <t>BA08-08</t>
        </is>
      </c>
      <c r="B296" s="15" t="n"/>
      <c r="C296" s="15" t="n"/>
      <c r="D296" s="15" t="inlineStr">
        <is>
          <t>BA08</t>
        </is>
      </c>
      <c r="E296" s="15" t="inlineStr">
        <is>
          <t>Deko-Pilze auf Holzfuß</t>
        </is>
      </c>
      <c r="F296" s="16" t="inlineStr">
        <is>
          <t>Dekopilze mit gedrechseltem Fuß aus Massivholz: zwei mit gehämmerter Metallkappe in Silberoptik, einer mit Kappe in Betonoptik.</t>
        </is>
      </c>
      <c r="G296" s="15" t="inlineStr">
        <is>
          <t>Deko</t>
        </is>
      </c>
      <c r="H296" s="15" t="inlineStr">
        <is>
          <t>Atelier</t>
        </is>
      </c>
      <c r="I296" s="15" t="inlineStr">
        <is>
          <t>C</t>
        </is>
      </c>
      <c r="J296" s="17" t="n">
        <v>3</v>
      </c>
      <c r="K296" s="17" t="n"/>
      <c r="L296" s="18">
        <f>J296-IF(K296="",0,K296)</f>
        <v/>
      </c>
      <c r="M296" s="15" t="inlineStr">
        <is>
          <t>Stück</t>
        </is>
      </c>
      <c r="N296" s="15" t="inlineStr">
        <is>
          <t>gut</t>
        </is>
      </c>
      <c r="O296" s="19" t="n"/>
      <c r="P296" s="19" t="inlineStr">
        <is>
          <t>ja</t>
        </is>
      </c>
      <c r="Q296" s="19" t="n"/>
      <c r="R296" s="20" t="n"/>
      <c r="S296" s="20" t="n">
        <v>18</v>
      </c>
      <c r="T296" s="19" t="inlineStr">
        <is>
          <t>VHB</t>
        </is>
      </c>
      <c r="U296" s="21">
        <f>L296*S296</f>
        <v/>
      </c>
      <c r="V296" s="15" t="inlineStr">
        <is>
          <t>Versand möglich</t>
        </is>
      </c>
      <c r="W296" s="15" t="inlineStr">
        <is>
          <t>F-349</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3 Pilze, alle abgebildet.</t>
        </is>
      </c>
      <c r="AN296" s="22" t="n"/>
    </row>
    <row r="297" ht="30" customHeight="1">
      <c r="A297" s="15" t="inlineStr">
        <is>
          <t>BA08-09</t>
        </is>
      </c>
      <c r="B297" s="15" t="n"/>
      <c r="C297" s="15" t="n"/>
      <c r="D297" s="15" t="inlineStr">
        <is>
          <t>BA08</t>
        </is>
      </c>
      <c r="E297" s="15" t="inlineStr">
        <is>
          <t>Bastelscheren im Betzold-Holzblock</t>
        </is>
      </c>
      <c r="F297" s="16" t="inlineStr">
        <is>
          <t>Kinder-Bastelscheren mit Kunststoffgriffen in gemischten Farben, dazu ein Holzblock mit Steckbohrungen von Betzold als Ablage.</t>
        </is>
      </c>
      <c r="G297" s="15" t="inlineStr">
        <is>
          <t>Kita-Ausstattung</t>
        </is>
      </c>
      <c r="H297" s="15" t="inlineStr">
        <is>
          <t>Atelier</t>
        </is>
      </c>
      <c r="I297" s="15" t="inlineStr">
        <is>
          <t>C</t>
        </is>
      </c>
      <c r="J297" s="17" t="n">
        <v>15</v>
      </c>
      <c r="K297" s="17" t="n"/>
      <c r="L297" s="18">
        <f>J297-IF(K297="",0,K297)</f>
        <v/>
      </c>
      <c r="M297" s="15" t="inlineStr">
        <is>
          <t>Stück</t>
        </is>
      </c>
      <c r="N297" s="15" t="inlineStr">
        <is>
          <t>gebraucht</t>
        </is>
      </c>
      <c r="O297" s="19" t="n"/>
      <c r="P297" s="19" t="inlineStr">
        <is>
          <t>ja</t>
        </is>
      </c>
      <c r="Q297" s="19" t="n"/>
      <c r="R297" s="20" t="n"/>
      <c r="S297" s="20" t="n">
        <v>2</v>
      </c>
      <c r="T297" s="19" t="inlineStr">
        <is>
          <t>VHB</t>
        </is>
      </c>
      <c r="U297" s="21">
        <f>L297*S297</f>
        <v/>
      </c>
      <c r="V297" s="15" t="inlineStr">
        <is>
          <t>nur Abholung</t>
        </is>
      </c>
      <c r="W297" s="15" t="inlineStr">
        <is>
          <t>F-350</t>
        </is>
      </c>
      <c r="X297" s="19" t="inlineStr">
        <is>
          <t>ja</t>
        </is>
      </c>
      <c r="Y297" s="19" t="n"/>
      <c r="Z297" s="19" t="inlineStr">
        <is>
          <t>verfügbar</t>
        </is>
      </c>
      <c r="AA297" s="19" t="inlineStr">
        <is>
          <t>Betzold</t>
        </is>
      </c>
      <c r="AB297" s="19" t="n"/>
      <c r="AC297" s="19" t="n"/>
      <c r="AD297" s="19" t="n"/>
      <c r="AE297" s="20" t="n"/>
      <c r="AF297" s="21">
        <f>IF(K297="","",K297*AE297)</f>
        <v/>
      </c>
      <c r="AG297" s="19" t="n"/>
      <c r="AH297" s="19" t="n"/>
      <c r="AI297" s="19" t="n"/>
      <c r="AJ297" s="19" t="n"/>
      <c r="AK297" s="19" t="n"/>
      <c r="AL297" s="19" t="n"/>
      <c r="AM297" s="16" t="inlineStr">
        <is>
          <t>15 Scheren, der Holzblock gehört dazu.</t>
        </is>
      </c>
      <c r="AN297" s="22" t="n"/>
    </row>
    <row r="298" ht="30" customHeight="1">
      <c r="A298" s="15" t="inlineStr">
        <is>
          <t>BA08-10</t>
        </is>
      </c>
      <c r="B298" s="15" t="n"/>
      <c r="C298" s="15" t="n"/>
      <c r="D298" s="15" t="inlineStr">
        <is>
          <t>BA08</t>
        </is>
      </c>
      <c r="E298" s="15" t="inlineStr">
        <is>
          <t>Kunstpflanze Gras im weißen Topf</t>
        </is>
      </c>
      <c r="F298" s="16" t="inlineStr">
        <is>
          <t>Künstliches Ziergras mit gedrehten Halmen in einem weißen Übertopf aus Metall mit durchbrochenem Spitzenrand.</t>
        </is>
      </c>
      <c r="G298" s="15" t="inlineStr">
        <is>
          <t>Deko</t>
        </is>
      </c>
      <c r="H298" s="15" t="inlineStr">
        <is>
          <t>Atelier</t>
        </is>
      </c>
      <c r="I298" s="15" t="inlineStr">
        <is>
          <t>C</t>
        </is>
      </c>
      <c r="J298" s="17" t="n">
        <v>2</v>
      </c>
      <c r="K298" s="17" t="n"/>
      <c r="L298" s="18">
        <f>J298-IF(K298="",0,K298)</f>
        <v/>
      </c>
      <c r="M298" s="15" t="inlineStr">
        <is>
          <t>Stück</t>
        </is>
      </c>
      <c r="N298" s="15" t="inlineStr">
        <is>
          <t>gut</t>
        </is>
      </c>
      <c r="O298" s="19" t="n"/>
      <c r="P298" s="19" t="inlineStr">
        <is>
          <t>ja</t>
        </is>
      </c>
      <c r="Q298" s="19" t="n"/>
      <c r="R298" s="20" t="n"/>
      <c r="S298" s="20" t="n">
        <v>15</v>
      </c>
      <c r="T298" s="19" t="inlineStr">
        <is>
          <t>VHB</t>
        </is>
      </c>
      <c r="U298" s="21">
        <f>L298*S298</f>
        <v/>
      </c>
      <c r="V298" s="15" t="inlineStr">
        <is>
          <t>Versand möglich</t>
        </is>
      </c>
      <c r="W298" s="15" t="inlineStr">
        <is>
          <t>F-351</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2 Stück, beide abgebildet.</t>
        </is>
      </c>
      <c r="AN298" s="22" t="n"/>
    </row>
    <row r="299" ht="30" customHeight="1">
      <c r="A299" s="15" t="inlineStr">
        <is>
          <t>BA08-11</t>
        </is>
      </c>
      <c r="B299" s="15" t="n"/>
      <c r="C299" s="15" t="n"/>
      <c r="D299" s="15" t="inlineStr">
        <is>
          <t>BA08</t>
        </is>
      </c>
      <c r="E299" s="15" t="inlineStr">
        <is>
          <t>Bilderrahmen mit Zeichenwerkzeug</t>
        </is>
      </c>
      <c r="F299" s="16" t="inlineStr">
        <is>
          <t>Zwei schwarze Rahmen hinter Glas, gepunkteter Hintergrund: einer mit Bleistift, Lineal und gefaltetem Papier, einer mit sechs Pinseln in verschiedenen Breiten. Passend für ein Atelier oder Arbeitszimmer.</t>
        </is>
      </c>
      <c r="G299" s="15" t="inlineStr">
        <is>
          <t>Deko</t>
        </is>
      </c>
      <c r="H299" s="15" t="inlineStr">
        <is>
          <t>Atelier</t>
        </is>
      </c>
      <c r="I299" s="15" t="inlineStr">
        <is>
          <t>C</t>
        </is>
      </c>
      <c r="J299" s="17" t="n">
        <v>2</v>
      </c>
      <c r="K299" s="17" t="n"/>
      <c r="L299" s="18">
        <f>J299-IF(K299="",0,K299)</f>
        <v/>
      </c>
      <c r="M299" s="15" t="inlineStr">
        <is>
          <t>Stück</t>
        </is>
      </c>
      <c r="N299" s="15" t="inlineStr">
        <is>
          <t>gut</t>
        </is>
      </c>
      <c r="O299" s="19" t="n"/>
      <c r="P299" s="19" t="inlineStr">
        <is>
          <t>ja</t>
        </is>
      </c>
      <c r="Q299" s="19" t="n"/>
      <c r="R299" s="20" t="n"/>
      <c r="S299" s="20" t="n">
        <v>25</v>
      </c>
      <c r="T299" s="19" t="inlineStr">
        <is>
          <t>VHB</t>
        </is>
      </c>
      <c r="U299" s="21">
        <f>L299*S299</f>
        <v/>
      </c>
      <c r="V299" s="15" t="inlineStr">
        <is>
          <t>Versand möglich</t>
        </is>
      </c>
      <c r="W299" s="15" t="inlineStr">
        <is>
          <t>F-352</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2 Bilder, beide abgebildet.</t>
        </is>
      </c>
      <c r="AN299" s="22" t="n"/>
    </row>
    <row r="300" ht="30" customHeight="1">
      <c r="A300" s="15" t="inlineStr">
        <is>
          <t>BA08-12</t>
        </is>
      </c>
      <c r="B300" s="15" t="n"/>
      <c r="C300" s="15" t="inlineStr">
        <is>
          <t>BU02-08</t>
        </is>
      </c>
      <c r="D300" s="15" t="inlineStr">
        <is>
          <t>BA08</t>
        </is>
      </c>
      <c r="E300" s="15" t="inlineStr">
        <is>
          <t>Wandregalbrett weiß</t>
        </is>
      </c>
      <c r="F300" s="16" t="inlineStr">
        <is>
          <t>Schmales weißes Wandregalbrett mit vorderer Kante, zum Anschrauben.</t>
        </is>
      </c>
      <c r="G300" s="15" t="inlineStr">
        <is>
          <t>Möbel</t>
        </is>
      </c>
      <c r="H300" s="15" t="inlineStr">
        <is>
          <t>Atelier</t>
        </is>
      </c>
      <c r="I300" s="15" t="inlineStr">
        <is>
          <t>C</t>
        </is>
      </c>
      <c r="J300" s="17" t="n">
        <v>4</v>
      </c>
      <c r="K300" s="17" t="n"/>
      <c r="L300" s="18">
        <f>J300-IF(K300="",0,K300)</f>
        <v/>
      </c>
      <c r="M300" s="15" t="inlineStr">
        <is>
          <t>Stück</t>
        </is>
      </c>
      <c r="N300" s="15" t="inlineStr">
        <is>
          <t>gebraucht</t>
        </is>
      </c>
      <c r="O300" s="19" t="n"/>
      <c r="P300" s="19" t="inlineStr">
        <is>
          <t>ja</t>
        </is>
      </c>
      <c r="Q300" s="19" t="n"/>
      <c r="R300" s="20" t="n"/>
      <c r="S300" s="20" t="n">
        <v>15</v>
      </c>
      <c r="T300" s="19" t="inlineStr">
        <is>
          <t>VHB</t>
        </is>
      </c>
      <c r="U300" s="21">
        <f>L300*S300</f>
        <v/>
      </c>
      <c r="V300" s="15" t="inlineStr">
        <is>
          <t>nur Abholung</t>
        </is>
      </c>
      <c r="W300" s="15" t="inlineStr">
        <is>
          <t>F-353</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4 Bretter insgesamt: 2 im Atelier (BA08-12) und 2 im Flur 2 im Untergeschoss des Bestandsgebäudes (BU02-08). Die blauen Becher auf dem Foto gehören nicht dazu.</t>
        </is>
      </c>
      <c r="AN300" s="22" t="inlineStr">
        <is>
          <t>Zusammengefasste Position über zwei Räume – Post-it-Nummer: BU02-08.</t>
        </is>
      </c>
    </row>
    <row r="301" ht="30" customHeight="1">
      <c r="A301" s="15" t="inlineStr">
        <is>
          <t>BU01-01</t>
        </is>
      </c>
      <c r="B301" s="15" t="n"/>
      <c r="C301" s="15" t="n"/>
      <c r="D301" s="15" t="inlineStr">
        <is>
          <t>BU01</t>
        </is>
      </c>
      <c r="E301" s="15" t="inlineStr">
        <is>
          <t>Hausbett Buche massiv</t>
        </is>
      </c>
      <c r="F301" s="16" t="inlineStr">
        <is>
          <t>Kinderbett in Hausform aus massiver Buche, natur geölt, mit Dachgiebel und umlaufendem Rahmen. Einschließlich Matratze.</t>
        </is>
      </c>
      <c r="G301" s="15" t="inlineStr">
        <is>
          <t>Kita-Ausstattung</t>
        </is>
      </c>
      <c r="H301" s="15" t="inlineStr">
        <is>
          <t>Flur 1</t>
        </is>
      </c>
      <c r="I301" s="15" t="inlineStr">
        <is>
          <t>A</t>
        </is>
      </c>
      <c r="J301" s="17" t="n">
        <v>1</v>
      </c>
      <c r="K301" s="17" t="n"/>
      <c r="L301" s="18">
        <f>J301-IF(K301="",0,K301)</f>
        <v/>
      </c>
      <c r="M301" s="15" t="inlineStr">
        <is>
          <t>Stück</t>
        </is>
      </c>
      <c r="N301" s="15" t="inlineStr">
        <is>
          <t>gebraucht</t>
        </is>
      </c>
      <c r="O301" s="19" t="n"/>
      <c r="P301" s="19" t="inlineStr">
        <is>
          <t>ja</t>
        </is>
      </c>
      <c r="Q301" s="19" t="n"/>
      <c r="R301" s="20" t="n"/>
      <c r="S301" s="20" t="n">
        <v>220</v>
      </c>
      <c r="T301" s="19" t="inlineStr">
        <is>
          <t>VHB</t>
        </is>
      </c>
      <c r="U301" s="21">
        <f>L301*S301</f>
        <v/>
      </c>
      <c r="V301" s="15" t="inlineStr">
        <is>
          <t>nur Abholung</t>
        </is>
      </c>
      <c r="W301" s="15" t="inlineStr">
        <is>
          <t>F-356</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Bett einschließlich Matratze. Kissen und Bettschlange gehören nicht dazu.</t>
        </is>
      </c>
      <c r="AN301" s="22" t="n"/>
    </row>
    <row r="302" ht="30" customHeight="1">
      <c r="A302" s="15" t="inlineStr">
        <is>
          <t>BU01-02</t>
        </is>
      </c>
      <c r="B302" s="15" t="n"/>
      <c r="C302" s="15" t="n"/>
      <c r="D302" s="15" t="inlineStr">
        <is>
          <t>BU01</t>
        </is>
      </c>
      <c r="E302" s="15" t="inlineStr">
        <is>
          <t>Spielküche klein mit Mikrowelle</t>
        </is>
      </c>
      <c r="F302" s="16" t="inlineStr">
        <is>
          <t>Kleine Spielküche aus Birke-Multiplex mit weißen Fronten: Aufsatz mit Mikrowelle und zwei offenen Fächern, Arbeitsplatte mit Kochfeld, Spülbecken und Wasserhahn, darunter Backofen mit Sichtfenster und ein Schrank.</t>
        </is>
      </c>
      <c r="G302" s="15" t="inlineStr">
        <is>
          <t>Kita-Ausstattung</t>
        </is>
      </c>
      <c r="H302" s="15" t="inlineStr">
        <is>
          <t>Flur 1</t>
        </is>
      </c>
      <c r="I302" s="15" t="inlineStr">
        <is>
          <t>B</t>
        </is>
      </c>
      <c r="J302" s="17" t="n">
        <v>1</v>
      </c>
      <c r="K302" s="17" t="n"/>
      <c r="L302" s="18">
        <f>J302-IF(K302="",0,K302)</f>
        <v/>
      </c>
      <c r="M302" s="15" t="inlineStr">
        <is>
          <t>Stück</t>
        </is>
      </c>
      <c r="N302" s="15" t="inlineStr">
        <is>
          <t>gebraucht</t>
        </is>
      </c>
      <c r="O302" s="19" t="n"/>
      <c r="P302" s="19" t="inlineStr">
        <is>
          <t>ja</t>
        </is>
      </c>
      <c r="Q302" s="19" t="n"/>
      <c r="R302" s="20" t="n"/>
      <c r="S302" s="20" t="n">
        <v>60</v>
      </c>
      <c r="T302" s="19" t="inlineStr">
        <is>
          <t>VHB</t>
        </is>
      </c>
      <c r="U302" s="21">
        <f>L302*S302</f>
        <v/>
      </c>
      <c r="V302" s="15" t="inlineStr">
        <is>
          <t>nur Abholung</t>
        </is>
      </c>
      <c r="W302" s="15" t="inlineStr">
        <is>
          <t>F-355</t>
        </is>
      </c>
      <c r="X302" s="19" t="inlineStr">
        <is>
          <t>ja</t>
        </is>
      </c>
      <c r="Y302" s="19" t="n"/>
      <c r="Z302" s="19" t="inlineStr">
        <is>
          <t>verfügbar</t>
        </is>
      </c>
      <c r="AA302" s="19" t="n"/>
      <c r="AB302" s="19" t="n"/>
      <c r="AC302" s="19" t="n"/>
      <c r="AD302" s="19" t="n"/>
      <c r="AE302" s="20" t="n"/>
      <c r="AF302" s="21">
        <f>IF(K302="","",K302*AE302)</f>
        <v/>
      </c>
      <c r="AG302" s="19" t="n"/>
      <c r="AH302" s="19" t="n"/>
      <c r="AI302" s="19" t="n"/>
      <c r="AJ302" s="19" t="n"/>
      <c r="AK302" s="19" t="n"/>
      <c r="AL302" s="19" t="n"/>
      <c r="AM302" s="16" t="inlineStr">
        <is>
          <t>1 Küche. Spielgeschirr und Zubehör gehören nicht dazu. Weitere Spielküchen stehen unter NU03-03, NU07-03, BA03-02 und BU02-05.</t>
        </is>
      </c>
      <c r="AN302" s="22" t="n"/>
    </row>
    <row r="303" ht="30" customHeight="1">
      <c r="A303" s="15" t="inlineStr">
        <is>
          <t>BU01-04</t>
        </is>
      </c>
      <c r="B303" s="15" t="n"/>
      <c r="C303" s="15" t="n"/>
      <c r="D303" s="15" t="inlineStr">
        <is>
          <t>BU01</t>
        </is>
      </c>
      <c r="E303" s="15" t="inlineStr">
        <is>
          <t>Gestell Kiefer mit sechs Wannen</t>
        </is>
      </c>
      <c r="F303" s="16" t="inlineStr">
        <is>
          <t>Gestell aus Kiefer massiv mit sechs weißen Kunststoffwannen in zwei Reihen, als Spielzeugaufbewahrung genutzt.</t>
        </is>
      </c>
      <c r="G303" s="15" t="inlineStr">
        <is>
          <t>Kita-Ausstattung</t>
        </is>
      </c>
      <c r="H303" s="15" t="inlineStr">
        <is>
          <t>Flur 1</t>
        </is>
      </c>
      <c r="I303" s="15" t="inlineStr">
        <is>
          <t>B</t>
        </is>
      </c>
      <c r="J303" s="17" t="n">
        <v>1</v>
      </c>
      <c r="K303" s="17" t="n"/>
      <c r="L303" s="18">
        <f>J303-IF(K303="",0,K303)</f>
        <v/>
      </c>
      <c r="M303" s="15" t="inlineStr">
        <is>
          <t>Stück</t>
        </is>
      </c>
      <c r="N303" s="15" t="inlineStr">
        <is>
          <t>gebraucht</t>
        </is>
      </c>
      <c r="O303" s="19" t="n"/>
      <c r="P303" s="19" t="inlineStr">
        <is>
          <t>ja</t>
        </is>
      </c>
      <c r="Q303" s="19" t="n"/>
      <c r="R303" s="20" t="n"/>
      <c r="S303" s="20" t="n">
        <v>55</v>
      </c>
      <c r="T303" s="19" t="inlineStr">
        <is>
          <t>VHB</t>
        </is>
      </c>
      <c r="U303" s="21">
        <f>L303*S303</f>
        <v/>
      </c>
      <c r="V303" s="15" t="inlineStr">
        <is>
          <t>nur Abholung</t>
        </is>
      </c>
      <c r="W303" s="15" t="inlineStr">
        <is>
          <t>F-358</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1 Gestell einschließlich der Wannen. Der Inhalt gehört nicht dazu.</t>
        </is>
      </c>
      <c r="AN303" s="22" t="n"/>
    </row>
    <row r="304" ht="30" customHeight="1">
      <c r="A304" s="15" t="inlineStr">
        <is>
          <t>BU01-05</t>
        </is>
      </c>
      <c r="B304" s="15" t="n"/>
      <c r="C304" s="15" t="n"/>
      <c r="D304" s="15" t="inlineStr">
        <is>
          <t>BU01</t>
        </is>
      </c>
      <c r="E304" s="15" t="inlineStr">
        <is>
          <t>IKEA Småstad Kindertisch weiß</t>
        </is>
      </c>
      <c r="F304" s="16" t="inlineStr">
        <is>
          <t>Niedriger Kindertisch von IKEA in Weiß mit Seitenwangen, Etikett an der Unterseite: Småstad, 804.335.42. Die Platte ist stark verkratzt und mit einer Schutzfolie belegt.</t>
        </is>
      </c>
      <c r="G304" s="15" t="inlineStr">
        <is>
          <t>Kita-Ausstattung</t>
        </is>
      </c>
      <c r="H304" s="15" t="inlineStr">
        <is>
          <t>Flur 1</t>
        </is>
      </c>
      <c r="I304" s="15" t="inlineStr">
        <is>
          <t>B</t>
        </is>
      </c>
      <c r="J304" s="17" t="n">
        <v>2</v>
      </c>
      <c r="K304" s="17" t="n"/>
      <c r="L304" s="18">
        <f>J304-IF(K304="",0,K304)</f>
        <v/>
      </c>
      <c r="M304" s="15" t="inlineStr">
        <is>
          <t>Stück</t>
        </is>
      </c>
      <c r="N304" s="15" t="inlineStr">
        <is>
          <t>stark gebraucht</t>
        </is>
      </c>
      <c r="O304" s="19" t="n"/>
      <c r="P304" s="19" t="inlineStr">
        <is>
          <t>ja</t>
        </is>
      </c>
      <c r="Q304" s="19" t="n"/>
      <c r="R304" s="20" t="n"/>
      <c r="S304" s="20" t="n">
        <v>35</v>
      </c>
      <c r="T304" s="19" t="inlineStr">
        <is>
          <t>VHB</t>
        </is>
      </c>
      <c r="U304" s="21">
        <f>L304*S304</f>
        <v/>
      </c>
      <c r="V304" s="15" t="inlineStr">
        <is>
          <t>nur Abholung</t>
        </is>
      </c>
      <c r="W304" s="15" t="inlineStr">
        <is>
          <t>F-359</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2 Tische – abgebildet ist einer davon. Das Etikett ist auf Foto F-360 zu sehen.</t>
        </is>
      </c>
      <c r="AN304" s="22" t="n"/>
    </row>
    <row r="305" ht="30" customHeight="1">
      <c r="A305" s="15" t="inlineStr">
        <is>
          <t>BU01-06</t>
        </is>
      </c>
      <c r="B305" s="15" t="n"/>
      <c r="C305" s="15" t="inlineStr">
        <is>
          <t>BU02-13</t>
        </is>
      </c>
      <c r="D305" s="15" t="inlineStr">
        <is>
          <t>BU01</t>
        </is>
      </c>
      <c r="E305" s="15" t="inlineStr">
        <is>
          <t>Wanddeko Lama, Steckwand</t>
        </is>
      </c>
      <c r="F305" s="16" t="inlineStr">
        <is>
          <t>Wandelement in Lamaform aus weiß lackiertem Holz mit grauen Ohren, Gesicht und Füßen, durchgehend gelocht zum Einstecken von Haken oder Stäben.</t>
        </is>
      </c>
      <c r="G305" s="15" t="inlineStr">
        <is>
          <t>Deko</t>
        </is>
      </c>
      <c r="H305" s="15" t="inlineStr">
        <is>
          <t>Flur 1</t>
        </is>
      </c>
      <c r="I305" s="15" t="inlineStr">
        <is>
          <t>C</t>
        </is>
      </c>
      <c r="J305" s="17" t="n">
        <v>3</v>
      </c>
      <c r="K305" s="17" t="n"/>
      <c r="L305" s="18">
        <f>J305-IF(K305="",0,K305)</f>
        <v/>
      </c>
      <c r="M305" s="15" t="inlineStr">
        <is>
          <t>Stück</t>
        </is>
      </c>
      <c r="N305" s="15" t="inlineStr">
        <is>
          <t>gebraucht</t>
        </is>
      </c>
      <c r="O305" s="19" t="n"/>
      <c r="P305" s="19" t="inlineStr">
        <is>
          <t>ja</t>
        </is>
      </c>
      <c r="Q305" s="19" t="n"/>
      <c r="R305" s="20" t="n"/>
      <c r="S305" s="20" t="n">
        <v>25</v>
      </c>
      <c r="T305" s="19" t="inlineStr">
        <is>
          <t>VHB</t>
        </is>
      </c>
      <c r="U305" s="21">
        <f>L305*S305</f>
        <v/>
      </c>
      <c r="V305" s="15" t="inlineStr">
        <is>
          <t>nur Abholung</t>
        </is>
      </c>
      <c r="W305" s="15" t="inlineStr">
        <is>
          <t>F-361</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3 Stück insgesamt: 2 im Flur 1 (BU01-06) und 1 im Flur 2 (BU02-13), beide im Untergeschoss des Bestandsgebäudes. Abgebildet ist eines davon.</t>
        </is>
      </c>
      <c r="AN305" s="22" t="inlineStr">
        <is>
          <t>Zusammengefasste Position über zwei Räume – Post-it-Nummer: BU02-13.</t>
        </is>
      </c>
    </row>
    <row r="306" ht="30" customHeight="1">
      <c r="A306" s="15" t="inlineStr">
        <is>
          <t>BU01-07</t>
        </is>
      </c>
      <c r="B306" s="15" t="n"/>
      <c r="C306" s="15" t="n"/>
      <c r="D306" s="15" t="inlineStr">
        <is>
          <t>BU01</t>
        </is>
      </c>
      <c r="E306" s="15" t="inlineStr">
        <is>
          <t>IKEA Grua Wandspiegel, schwarzer Rahmen</t>
        </is>
      </c>
      <c r="F306" s="16" t="inlineStr">
        <is>
          <t>Wandspiegel mit schmalem schwarzem Rahmen und abgerundeten Ecken. Etikett auf der Rückseite: Grua, IKEA.</t>
        </is>
      </c>
      <c r="G306" s="15" t="inlineStr">
        <is>
          <t>Deko</t>
        </is>
      </c>
      <c r="H306" s="15" t="inlineStr">
        <is>
          <t>Flur 1</t>
        </is>
      </c>
      <c r="I306" s="15" t="inlineStr">
        <is>
          <t>C</t>
        </is>
      </c>
      <c r="J306" s="17" t="n">
        <v>1</v>
      </c>
      <c r="K306" s="17" t="n"/>
      <c r="L306" s="18">
        <f>J306-IF(K306="",0,K306)</f>
        <v/>
      </c>
      <c r="M306" s="15" t="inlineStr">
        <is>
          <t>Stück</t>
        </is>
      </c>
      <c r="N306" s="15" t="inlineStr">
        <is>
          <t>gebraucht</t>
        </is>
      </c>
      <c r="O306" s="19" t="n"/>
      <c r="P306" s="19" t="inlineStr">
        <is>
          <t>ja</t>
        </is>
      </c>
      <c r="Q306" s="19" t="n"/>
      <c r="R306" s="20" t="n"/>
      <c r="S306" s="20" t="n">
        <v>25</v>
      </c>
      <c r="T306" s="19" t="inlineStr">
        <is>
          <t>VHB</t>
        </is>
      </c>
      <c r="U306" s="21">
        <f>L306*S306</f>
        <v/>
      </c>
      <c r="V306" s="15" t="inlineStr">
        <is>
          <t>nur Abholung</t>
        </is>
      </c>
      <c r="W306" s="15" t="inlineStr">
        <is>
          <t>F-362</t>
        </is>
      </c>
      <c r="X306" s="19" t="inlineStr">
        <is>
          <t>ja</t>
        </is>
      </c>
      <c r="Y306" s="19" t="n"/>
      <c r="Z306" s="19" t="inlineStr">
        <is>
          <t>verfügbar</t>
        </is>
      </c>
      <c r="AA306" s="19" t="inlineStr">
        <is>
          <t>IKEA</t>
        </is>
      </c>
      <c r="AB306" s="19" t="n"/>
      <c r="AC306" s="19" t="n"/>
      <c r="AD306" s="19" t="n"/>
      <c r="AE306" s="20" t="n"/>
      <c r="AF306" s="21">
        <f>IF(K306="","",K306*AE306)</f>
        <v/>
      </c>
      <c r="AG306" s="19" t="n"/>
      <c r="AH306" s="19" t="n"/>
      <c r="AI306" s="19" t="n"/>
      <c r="AJ306" s="19" t="n"/>
      <c r="AK306" s="19" t="n"/>
      <c r="AL306" s="19" t="n"/>
      <c r="AM306" s="16" t="inlineStr">
        <is>
          <t>1 Spiegel. Das Etikett ist auf Foto F-363 zu sehen.</t>
        </is>
      </c>
      <c r="AN306" s="22" t="n"/>
    </row>
    <row r="307" ht="30" customHeight="1">
      <c r="A307" s="15" t="inlineStr">
        <is>
          <t>BU02-01</t>
        </is>
      </c>
      <c r="B307" s="15" t="n"/>
      <c r="C307" s="15" t="n"/>
      <c r="D307" s="15" t="inlineStr">
        <is>
          <t>BU02</t>
        </is>
      </c>
      <c r="E307" s="15" t="inlineStr">
        <is>
          <t>Hausbett Holz natur mit Stoffdach</t>
        </is>
      </c>
      <c r="F307" s="16" t="inlineStr">
        <is>
          <t>Bodenbett in Hausform aus hellem Massivholz mit vier Pfosten und aufgelegtem Stoffdach in Creme mit schwarzer Zackenkante und aufgesticktem Wolkenmotiv. Einschließlich Matratze.</t>
        </is>
      </c>
      <c r="G307" s="15" t="inlineStr">
        <is>
          <t>Kita-Ausstattung</t>
        </is>
      </c>
      <c r="H307" s="15" t="inlineStr">
        <is>
          <t>Flur 2</t>
        </is>
      </c>
      <c r="I307" s="15" t="inlineStr">
        <is>
          <t>A</t>
        </is>
      </c>
      <c r="J307" s="17" t="n">
        <v>1</v>
      </c>
      <c r="K307" s="17" t="n"/>
      <c r="L307" s="18">
        <f>J307-IF(K307="",0,K307)</f>
        <v/>
      </c>
      <c r="M307" s="15" t="inlineStr">
        <is>
          <t>Stück</t>
        </is>
      </c>
      <c r="N307" s="15" t="inlineStr">
        <is>
          <t>gebraucht</t>
        </is>
      </c>
      <c r="O307" s="19" t="n"/>
      <c r="P307" s="19" t="inlineStr">
        <is>
          <t>ja</t>
        </is>
      </c>
      <c r="Q307" s="19" t="n"/>
      <c r="R307" s="20" t="n"/>
      <c r="S307" s="20" t="n">
        <v>180</v>
      </c>
      <c r="T307" s="19" t="inlineStr">
        <is>
          <t>VHB</t>
        </is>
      </c>
      <c r="U307" s="21">
        <f>L307*S307</f>
        <v/>
      </c>
      <c r="V307" s="15" t="inlineStr">
        <is>
          <t>nur Abholung</t>
        </is>
      </c>
      <c r="W307" s="15" t="inlineStr">
        <is>
          <t>F-365</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Bett mit Stoffdach und Matratze. Kissen, Decke und Puppe gehören nicht dazu. Weitere Hausbetten stehen unter BU01-01 und NU07-01.</t>
        </is>
      </c>
      <c r="AN307" s="22" t="n"/>
    </row>
    <row r="308" ht="30" customHeight="1">
      <c r="A308" s="15" t="inlineStr">
        <is>
          <t>BU02-02</t>
        </is>
      </c>
      <c r="B308" s="15" t="n"/>
      <c r="C308" s="15" t="n"/>
      <c r="D308" s="15" t="inlineStr">
        <is>
          <t>BU02</t>
        </is>
      </c>
      <c r="E308" s="15" t="inlineStr">
        <is>
          <t>Nachtlicht Marienkäfer, schwarz</t>
        </is>
      </c>
      <c r="F308" s="16" t="inlineStr">
        <is>
          <t>Steckdosen-Nachtlicht in Marienkäferform aus schwarzem Kunststoff mit geprägten Punkten und Fühlern.</t>
        </is>
      </c>
      <c r="G308" s="15" t="inlineStr">
        <is>
          <t>Leuchten</t>
        </is>
      </c>
      <c r="H308" s="15" t="inlineStr">
        <is>
          <t>Flur 2</t>
        </is>
      </c>
      <c r="I308" s="15" t="inlineStr">
        <is>
          <t>C</t>
        </is>
      </c>
      <c r="J308" s="17" t="n">
        <v>2</v>
      </c>
      <c r="K308" s="17" t="n"/>
      <c r="L308" s="18">
        <f>J308-IF(K308="",0,K308)</f>
        <v/>
      </c>
      <c r="M308" s="15" t="inlineStr">
        <is>
          <t>Stück</t>
        </is>
      </c>
      <c r="N308" s="15" t="inlineStr">
        <is>
          <t>gebraucht</t>
        </is>
      </c>
      <c r="O308" s="19" t="n"/>
      <c r="P308" s="19" t="inlineStr">
        <is>
          <t>ja</t>
        </is>
      </c>
      <c r="Q308" s="19" t="n"/>
      <c r="R308" s="20" t="n"/>
      <c r="S308" s="20" t="n">
        <v>15</v>
      </c>
      <c r="T308" s="19" t="inlineStr">
        <is>
          <t>VHB</t>
        </is>
      </c>
      <c r="U308" s="21">
        <f>L308*S308</f>
        <v/>
      </c>
      <c r="V308" s="15" t="inlineStr">
        <is>
          <t>Versand möglich</t>
        </is>
      </c>
      <c r="W308" s="15" t="inlineStr">
        <is>
          <t>F-366</t>
        </is>
      </c>
      <c r="X308" s="19" t="inlineStr">
        <is>
          <t>ja</t>
        </is>
      </c>
      <c r="Y308" s="19" t="n"/>
      <c r="Z308" s="19" t="inlineStr">
        <is>
          <t>verfügbar</t>
        </is>
      </c>
      <c r="AA308" s="19" t="n"/>
      <c r="AB308" s="19" t="n"/>
      <c r="AC308" s="19" t="n"/>
      <c r="AD308" s="19" t="n"/>
      <c r="AE308" s="20" t="n"/>
      <c r="AF308" s="21">
        <f>IF(K308="","",K308*AE308)</f>
        <v/>
      </c>
      <c r="AG308" s="19" t="n"/>
      <c r="AH308" s="19" t="n"/>
      <c r="AI308" s="19" t="n"/>
      <c r="AJ308" s="19" t="n"/>
      <c r="AK308" s="19" t="n"/>
      <c r="AL308" s="19" t="n"/>
      <c r="AM308" s="16" t="inlineStr">
        <is>
          <t>2 Stück – abgebildet ist eines davon.</t>
        </is>
      </c>
      <c r="AN308" s="22" t="n"/>
    </row>
    <row r="309" ht="30" customHeight="1">
      <c r="A309" s="15" t="inlineStr">
        <is>
          <t>BU02-03</t>
        </is>
      </c>
      <c r="B309" s="15" t="n"/>
      <c r="C309" s="15" t="n"/>
      <c r="D309" s="15" t="inlineStr">
        <is>
          <t>BU02</t>
        </is>
      </c>
      <c r="E309" s="15" t="inlineStr">
        <is>
          <t>Kindertisch weiß, oval, aus vier Segmenten</t>
        </is>
      </c>
      <c r="F309" s="16" t="inlineStr">
        <is>
          <t>Vier Tischsegmente mit weißer Platte und Multiplex-Kante auf verchromten Rundfüßen in Kinderhöhe: zwei halbrunde Endstücke und zwei Mittelstücke. Zusammengestellt ergeben sie einen großen ovalen Gruppentisch, einzeln sind sie frei kombinierbar.</t>
        </is>
      </c>
      <c r="G309" s="15" t="inlineStr">
        <is>
          <t>Möbel</t>
        </is>
      </c>
      <c r="H309" s="15" t="inlineStr">
        <is>
          <t>Flur 2</t>
        </is>
      </c>
      <c r="I309" s="15" t="inlineStr">
        <is>
          <t>A</t>
        </is>
      </c>
      <c r="J309" s="17" t="n">
        <v>1</v>
      </c>
      <c r="K309" s="17" t="n"/>
      <c r="L309" s="18">
        <f>J309-IF(K309="",0,K309)</f>
        <v/>
      </c>
      <c r="M309" s="15" t="inlineStr">
        <is>
          <t>Set</t>
        </is>
      </c>
      <c r="N309" s="15" t="inlineStr">
        <is>
          <t>gebraucht</t>
        </is>
      </c>
      <c r="O309" s="19" t="n"/>
      <c r="P309" s="19" t="inlineStr">
        <is>
          <t>ja</t>
        </is>
      </c>
      <c r="Q309" s="19" t="n"/>
      <c r="R309" s="20" t="n"/>
      <c r="S309" s="20" t="n">
        <v>160</v>
      </c>
      <c r="T309" s="19" t="inlineStr">
        <is>
          <t>VHB</t>
        </is>
      </c>
      <c r="U309" s="21">
        <f>L309*S309</f>
        <v/>
      </c>
      <c r="V309" s="15" t="inlineStr">
        <is>
          <t>nur Abholung</t>
        </is>
      </c>
      <c r="W309" s="15" t="inlineStr">
        <is>
          <t>F-367</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Tischgruppe aus vier Segmenten. Eine zweite Tischgruppe in Sechseckform steht unter NU02-23.</t>
        </is>
      </c>
      <c r="AN309" s="22" t="n"/>
    </row>
    <row r="310" ht="30" customHeight="1">
      <c r="A310" s="15" t="inlineStr">
        <is>
          <t>BU02-05</t>
        </is>
      </c>
      <c r="B310" s="15" t="n"/>
      <c r="C310" s="15" t="n"/>
      <c r="D310" s="15" t="inlineStr">
        <is>
          <t>BU02</t>
        </is>
      </c>
      <c r="E310" s="15" t="inlineStr">
        <is>
          <t>IKEA Duktig Spielküche mit Mikrowelle</t>
        </is>
      </c>
      <c r="F310" s="16" t="inlineStr">
        <is>
          <t>Spielküche von IKEA aus Birkenholz mit weißen Fronten: Aufsatz mit Mikrowelle und offenen Fächern, Arbeitsplatte mit Kochfeld, Spülbecken und Wasserhahn, darunter Backofen mit Sichtfenster und ein Schrank.</t>
        </is>
      </c>
      <c r="G310" s="15" t="inlineStr">
        <is>
          <t>Kita-Ausstattung</t>
        </is>
      </c>
      <c r="H310" s="15" t="inlineStr">
        <is>
          <t>Flur 2</t>
        </is>
      </c>
      <c r="I310" s="15" t="inlineStr">
        <is>
          <t>B</t>
        </is>
      </c>
      <c r="J310" s="17" t="n">
        <v>1</v>
      </c>
      <c r="K310" s="17" t="n"/>
      <c r="L310" s="18">
        <f>J310-IF(K310="",0,K310)</f>
        <v/>
      </c>
      <c r="M310" s="15" t="inlineStr">
        <is>
          <t>Stück</t>
        </is>
      </c>
      <c r="N310" s="15" t="inlineStr">
        <is>
          <t>gebraucht</t>
        </is>
      </c>
      <c r="O310" s="19" t="n"/>
      <c r="P310" s="19" t="inlineStr">
        <is>
          <t>ja</t>
        </is>
      </c>
      <c r="Q310" s="19" t="n"/>
      <c r="R310" s="20" t="n"/>
      <c r="S310" s="20" t="n">
        <v>60</v>
      </c>
      <c r="T310" s="19" t="inlineStr">
        <is>
          <t>VHB</t>
        </is>
      </c>
      <c r="U310" s="21">
        <f>L310*S310</f>
        <v/>
      </c>
      <c r="V310" s="15" t="inlineStr">
        <is>
          <t>nur Abholung</t>
        </is>
      </c>
      <c r="W310" s="15" t="inlineStr">
        <is>
          <t>F-369</t>
        </is>
      </c>
      <c r="X310" s="19" t="inlineStr">
        <is>
          <t>ja</t>
        </is>
      </c>
      <c r="Y310" s="19" t="n"/>
      <c r="Z310" s="19" t="inlineStr">
        <is>
          <t>verfügbar</t>
        </is>
      </c>
      <c r="AA310" s="19" t="inlineStr">
        <is>
          <t>IKEA</t>
        </is>
      </c>
      <c r="AB310" s="19" t="n"/>
      <c r="AC310" s="19" t="n"/>
      <c r="AD310" s="19" t="n"/>
      <c r="AE310" s="20" t="n"/>
      <c r="AF310" s="21">
        <f>IF(K310="","",K310*AE310)</f>
        <v/>
      </c>
      <c r="AG310" s="19" t="n"/>
      <c r="AH310" s="19" t="n"/>
      <c r="AI310" s="19" t="n"/>
      <c r="AJ310" s="19" t="n"/>
      <c r="AK310" s="19" t="n"/>
      <c r="AL310" s="19" t="n"/>
      <c r="AM310" s="16" t="inlineStr">
        <is>
          <t>1 Küche. Spielgeschirr, Vorratsgläser und Zubehör gehören nicht dazu. Weitere Spielküchen stehen unter NU03-03, NU07-03, BA03-02 und BU01-02.</t>
        </is>
      </c>
      <c r="AN310" s="22" t="n"/>
    </row>
    <row r="311" ht="30" customHeight="1">
      <c r="A311" s="15" t="inlineStr">
        <is>
          <t>BU02-06</t>
        </is>
      </c>
      <c r="B311" s="15" t="n"/>
      <c r="C311" s="15" t="n"/>
      <c r="D311" s="15" t="inlineStr">
        <is>
          <t>BU02</t>
        </is>
      </c>
      <c r="E311" s="15" t="inlineStr">
        <is>
          <t>Kinder-Putzständer, fünfteilig</t>
        </is>
      </c>
      <c r="F311" s="16" t="inlineStr">
        <is>
          <t>Ständer aus Holz und Metall in Weiß mit Ablagekasten und aufgehängtem Kinder-Reinigungsgerät: Besen, Schrubber, Kehrblech und Staubwedel.</t>
        </is>
      </c>
      <c r="G311" s="15" t="inlineStr">
        <is>
          <t>Kita-Ausstattung</t>
        </is>
      </c>
      <c r="H311" s="15" t="inlineStr">
        <is>
          <t>Flur 2</t>
        </is>
      </c>
      <c r="I311" s="15" t="inlineStr">
        <is>
          <t>C</t>
        </is>
      </c>
      <c r="J311" s="17" t="n">
        <v>1</v>
      </c>
      <c r="K311" s="17" t="n"/>
      <c r="L311" s="18">
        <f>J311-IF(K311="",0,K311)</f>
        <v/>
      </c>
      <c r="M311" s="15" t="inlineStr">
        <is>
          <t>Stück</t>
        </is>
      </c>
      <c r="N311" s="15" t="inlineStr">
        <is>
          <t>gebraucht</t>
        </is>
      </c>
      <c r="O311" s="19" t="n"/>
      <c r="P311" s="19" t="inlineStr">
        <is>
          <t>ja</t>
        </is>
      </c>
      <c r="Q311" s="19" t="n"/>
      <c r="R311" s="20" t="n"/>
      <c r="S311" s="20" t="n">
        <v>25</v>
      </c>
      <c r="T311" s="19" t="inlineStr">
        <is>
          <t>VHB</t>
        </is>
      </c>
      <c r="U311" s="21">
        <f>L311*S311</f>
        <v/>
      </c>
      <c r="V311" s="15" t="inlineStr">
        <is>
          <t>nur Abholung</t>
        </is>
      </c>
      <c r="W311" s="15" t="inlineStr">
        <is>
          <t>F-370</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1 Ständer mit fünf Teilen.</t>
        </is>
      </c>
      <c r="AN311" s="22" t="n"/>
    </row>
    <row r="312" ht="30" customHeight="1">
      <c r="A312" s="15" t="inlineStr">
        <is>
          <t>BU02-09</t>
        </is>
      </c>
      <c r="B312" s="15" t="n"/>
      <c r="C312" s="15" t="n"/>
      <c r="D312" s="15" t="inlineStr">
        <is>
          <t>BU02</t>
        </is>
      </c>
      <c r="E312" s="15" t="inlineStr">
        <is>
          <t>Acrylbild Herz auf Strahlenkranz</t>
        </is>
      </c>
      <c r="F312" s="16" t="inlineStr">
        <is>
          <t>Acryl auf Leinwand im Hochformat: breite Pinselstriche in Pink, Magenta und Grau strahlenförmig um ein ausgespartes weißes Herz. Eigenarbeit einer Privatperson, nicht signiert.</t>
        </is>
      </c>
      <c r="G312" s="15" t="inlineStr">
        <is>
          <t>Kunst</t>
        </is>
      </c>
      <c r="H312" s="15" t="inlineStr">
        <is>
          <t>Flur 2</t>
        </is>
      </c>
      <c r="I312" s="15" t="inlineStr">
        <is>
          <t>B</t>
        </is>
      </c>
      <c r="J312" s="17" t="n">
        <v>1</v>
      </c>
      <c r="K312" s="17" t="n"/>
      <c r="L312" s="18">
        <f>J312-IF(K312="",0,K312)</f>
        <v/>
      </c>
      <c r="M312" s="15" t="inlineStr">
        <is>
          <t>Stück</t>
        </is>
      </c>
      <c r="N312" s="15" t="inlineStr">
        <is>
          <t>gut</t>
        </is>
      </c>
      <c r="O312" s="19" t="n"/>
      <c r="P312" s="19" t="inlineStr">
        <is>
          <t>ja</t>
        </is>
      </c>
      <c r="Q312" s="19" t="n"/>
      <c r="R312" s="20" t="n"/>
      <c r="S312" s="20" t="n">
        <v>80</v>
      </c>
      <c r="T312" s="19" t="inlineStr">
        <is>
          <t>VHB</t>
        </is>
      </c>
      <c r="U312" s="21">
        <f>L312*S312</f>
        <v/>
      </c>
      <c r="V312" s="15" t="inlineStr">
        <is>
          <t>Versand möglich</t>
        </is>
      </c>
      <c r="W312" s="15" t="inlineStr">
        <is>
          <t>F-373</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Bild auf Keilrahmen, ungerahmt.</t>
        </is>
      </c>
      <c r="AN312" s="22" t="n"/>
    </row>
    <row r="313" ht="30" customHeight="1">
      <c r="A313" s="15" t="inlineStr">
        <is>
          <t>BU02-10</t>
        </is>
      </c>
      <c r="B313" s="15" t="n"/>
      <c r="C313" s="15" t="n"/>
      <c r="D313" s="15" t="inlineStr">
        <is>
          <t>BU02</t>
        </is>
      </c>
      <c r="E313" s="15" t="inlineStr">
        <is>
          <t>Spieltisch Kiefer mit herausnehmbaren Platten</t>
        </is>
      </c>
      <c r="F313" s="16" t="inlineStr">
        <is>
          <t>Kindertisch aus Kiefer massiv mit zwei herausnehmbaren weißen Platten. Darunter liegen Wannen, sodass der Tisch als Spiel- und Materialtisch genutzt werden kann. Die Platten sind an den Kanten großflächig abgeplatzt.</t>
        </is>
      </c>
      <c r="G313" s="15" t="inlineStr">
        <is>
          <t>Kita-Ausstattung</t>
        </is>
      </c>
      <c r="H313" s="15" t="inlineStr">
        <is>
          <t>Flur 2</t>
        </is>
      </c>
      <c r="I313" s="15" t="inlineStr">
        <is>
          <t>B</t>
        </is>
      </c>
      <c r="J313" s="17" t="n">
        <v>2</v>
      </c>
      <c r="K313" s="17" t="n"/>
      <c r="L313" s="18">
        <f>J313-IF(K313="",0,K313)</f>
        <v/>
      </c>
      <c r="M313" s="15" t="inlineStr">
        <is>
          <t>Stück</t>
        </is>
      </c>
      <c r="N313" s="15" t="inlineStr">
        <is>
          <t>stark gebraucht</t>
        </is>
      </c>
      <c r="O313" s="19" t="n"/>
      <c r="P313" s="19" t="inlineStr">
        <is>
          <t>ja</t>
        </is>
      </c>
      <c r="Q313" s="19" t="n"/>
      <c r="R313" s="20" t="n"/>
      <c r="S313" s="20" t="n">
        <v>40</v>
      </c>
      <c r="T313" s="19" t="inlineStr">
        <is>
          <t>VHB</t>
        </is>
      </c>
      <c r="U313" s="21">
        <f>L313*S313</f>
        <v/>
      </c>
      <c r="V313" s="15" t="inlineStr">
        <is>
          <t>nur Abholung</t>
        </is>
      </c>
      <c r="W313" s="15" t="inlineStr">
        <is>
          <t>F-374</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Tische einschließlich der Platten und Wannen – abgebildet ist einer davon. Der Inhalt gehört nicht dazu.</t>
        </is>
      </c>
      <c r="AN313" s="22" t="n"/>
    </row>
    <row r="314" ht="30" customHeight="1">
      <c r="A314" s="15" t="inlineStr">
        <is>
          <t>BU02-12</t>
        </is>
      </c>
      <c r="B314" s="15" t="n"/>
      <c r="C314" s="15" t="n"/>
      <c r="D314" s="15" t="inlineStr">
        <is>
          <t>BU02</t>
        </is>
      </c>
      <c r="E314" s="15" t="inlineStr">
        <is>
          <t>Wandregal weiß mit drei Wannen, geschwungen</t>
        </is>
      </c>
      <c r="F314" s="16" t="inlineStr">
        <is>
          <t>Weißes Wandelement mit geschwungener Front, drei Fächern und drei eingeschobenen Kunststoffwannen.</t>
        </is>
      </c>
      <c r="G314" s="15" t="inlineStr">
        <is>
          <t>Kita-Ausstattung</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35</v>
      </c>
      <c r="T314" s="19" t="inlineStr">
        <is>
          <t>VHB</t>
        </is>
      </c>
      <c r="U314" s="21">
        <f>L314*S314</f>
        <v/>
      </c>
      <c r="V314" s="15" t="inlineStr">
        <is>
          <t>nur Abholung</t>
        </is>
      </c>
      <c r="W314" s="15" t="inlineStr">
        <is>
          <t>F-376</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Regal einschließlich der Wannen. Gerade Wandregale gleicher Bauart stehen unter NE01-21.</t>
        </is>
      </c>
      <c r="AN314" s="22" t="n"/>
    </row>
    <row r="315" ht="30" customHeight="1">
      <c r="A315" s="15" t="inlineStr">
        <is>
          <t>BU02-15</t>
        </is>
      </c>
      <c r="B315" s="15" t="n"/>
      <c r="C315" s="15" t="n"/>
      <c r="D315" s="15" t="inlineStr">
        <is>
          <t>BU02</t>
        </is>
      </c>
      <c r="E315" s="15" t="inlineStr">
        <is>
          <t>Bodensitzkissen beige, selbststehend</t>
        </is>
      </c>
      <c r="F315" s="16" t="inlineStr">
        <is>
          <t>Selbststehendes Bodensitzkissen aus beigem Leinenstoff mit gesteppten Feldern, Rückenlehne und langer Sitzfläche. Die Lehne lässt sich flach ausklappen.</t>
        </is>
      </c>
      <c r="G315" s="15" t="inlineStr">
        <is>
          <t>Textilien</t>
        </is>
      </c>
      <c r="H315" s="15" t="inlineStr">
        <is>
          <t>Flur 2</t>
        </is>
      </c>
      <c r="I315" s="15" t="inlineStr">
        <is>
          <t>C</t>
        </is>
      </c>
      <c r="J315" s="17" t="n">
        <v>2</v>
      </c>
      <c r="K315" s="17" t="n"/>
      <c r="L315" s="18">
        <f>J315-IF(K315="",0,K315)</f>
        <v/>
      </c>
      <c r="M315" s="15" t="inlineStr">
        <is>
          <t>Stück</t>
        </is>
      </c>
      <c r="N315" s="15" t="inlineStr">
        <is>
          <t>gebraucht</t>
        </is>
      </c>
      <c r="O315" s="19" t="n"/>
      <c r="P315" s="19" t="inlineStr">
        <is>
          <t>ja</t>
        </is>
      </c>
      <c r="Q315" s="19" t="n"/>
      <c r="R315" s="20" t="n"/>
      <c r="S315" s="20" t="n">
        <v>25</v>
      </c>
      <c r="T315" s="19" t="inlineStr">
        <is>
          <t>VHB</t>
        </is>
      </c>
      <c r="U315" s="21">
        <f>L315*S315</f>
        <v/>
      </c>
      <c r="V315" s="15" t="inlineStr">
        <is>
          <t>nur Abholung</t>
        </is>
      </c>
      <c r="W315" s="15" t="inlineStr">
        <is>
          <t>F-379</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2 Stück – abgebildet ist eines davon.</t>
        </is>
      </c>
      <c r="AN315" s="22" t="n"/>
    </row>
    <row r="316" ht="30" customHeight="1">
      <c r="A316" s="15" t="inlineStr">
        <is>
          <t>BU02-16</t>
        </is>
      </c>
      <c r="B316" s="15" t="n"/>
      <c r="C316" s="15" t="n"/>
      <c r="D316" s="15" t="inlineStr">
        <is>
          <t>BU02</t>
        </is>
      </c>
      <c r="E316" s="15" t="inlineStr">
        <is>
          <t>Servierwagen Metall schwarz, drei Ebenen</t>
        </is>
      </c>
      <c r="F316" s="16" t="inlineStr">
        <is>
          <t>Rollwagen aus schwarz lackiertem Metall mit drei Ablageebenen und Lochblechböden, auf vier Rollen.</t>
        </is>
      </c>
      <c r="G316" s="15" t="inlineStr">
        <is>
          <t>Möbel</t>
        </is>
      </c>
      <c r="H316" s="15" t="inlineStr">
        <is>
          <t>Flur 2</t>
        </is>
      </c>
      <c r="I316" s="15" t="inlineStr">
        <is>
          <t>B</t>
        </is>
      </c>
      <c r="J316" s="17" t="n">
        <v>1</v>
      </c>
      <c r="K316" s="17" t="n"/>
      <c r="L316" s="18">
        <f>J316-IF(K316="",0,K316)</f>
        <v/>
      </c>
      <c r="M316" s="15" t="inlineStr">
        <is>
          <t>Stück</t>
        </is>
      </c>
      <c r="N316" s="15" t="inlineStr">
        <is>
          <t>gebraucht</t>
        </is>
      </c>
      <c r="O316" s="19" t="n"/>
      <c r="P316" s="19" t="inlineStr">
        <is>
          <t>ja</t>
        </is>
      </c>
      <c r="Q316" s="19" t="n"/>
      <c r="R316" s="20" t="n"/>
      <c r="S316" s="20" t="n">
        <v>30</v>
      </c>
      <c r="T316" s="19" t="inlineStr">
        <is>
          <t>VHB</t>
        </is>
      </c>
      <c r="U316" s="21">
        <f>L316*S316</f>
        <v/>
      </c>
      <c r="V316" s="15" t="inlineStr">
        <is>
          <t>nur Abholung</t>
        </is>
      </c>
      <c r="W316" s="15" t="inlineStr">
        <is>
          <t>F-380</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Wagen. Der Inhalt gehört nicht dazu.</t>
        </is>
      </c>
      <c r="AN316" s="22" t="n"/>
    </row>
    <row r="317" ht="30" customHeight="1">
      <c r="A317" s="15" t="inlineStr">
        <is>
          <t>BU02-17</t>
        </is>
      </c>
      <c r="B317" s="15" t="n"/>
      <c r="C317" s="15" t="n"/>
      <c r="D317" s="15" t="inlineStr">
        <is>
          <t>BU02</t>
        </is>
      </c>
      <c r="E317" s="15" t="inlineStr">
        <is>
          <t>Kommode weiß, drei Schubladen</t>
        </is>
      </c>
      <c r="F317" s="16" t="inlineStr">
        <is>
          <t>Kommode in Weiß mit drei breiten Schubladen und mittig ausgeschnittenen Griffmulden, auf umlaufendem Sockel.</t>
        </is>
      </c>
      <c r="G317" s="15" t="inlineStr">
        <is>
          <t>Möbel</t>
        </is>
      </c>
      <c r="H317" s="15" t="inlineStr">
        <is>
          <t>Flur 2</t>
        </is>
      </c>
      <c r="I317" s="15" t="inlineStr">
        <is>
          <t>B</t>
        </is>
      </c>
      <c r="J317" s="17" t="n">
        <v>1</v>
      </c>
      <c r="K317" s="17" t="n"/>
      <c r="L317" s="18">
        <f>J317-IF(K317="",0,K317)</f>
        <v/>
      </c>
      <c r="M317" s="15" t="inlineStr">
        <is>
          <t>Stück</t>
        </is>
      </c>
      <c r="N317" s="15" t="inlineStr">
        <is>
          <t>gebraucht</t>
        </is>
      </c>
      <c r="O317" s="19" t="n"/>
      <c r="P317" s="19" t="inlineStr">
        <is>
          <t>ja</t>
        </is>
      </c>
      <c r="Q317" s="19" t="n"/>
      <c r="R317" s="20" t="n"/>
      <c r="S317" s="20" t="n">
        <v>60</v>
      </c>
      <c r="T317" s="19" t="inlineStr">
        <is>
          <t>VHB</t>
        </is>
      </c>
      <c r="U317" s="21">
        <f>L317*S317</f>
        <v/>
      </c>
      <c r="V317" s="15" t="inlineStr">
        <is>
          <t>nur Abholung</t>
        </is>
      </c>
      <c r="W317" s="15" t="inlineStr">
        <is>
          <t>F-381</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1 Kommode.</t>
        </is>
      </c>
      <c r="AN317" s="22" t="n"/>
    </row>
    <row r="318" ht="30" customHeight="1">
      <c r="A318" s="15" t="inlineStr">
        <is>
          <t>BU02-18</t>
        </is>
      </c>
      <c r="B318" s="15" t="n"/>
      <c r="C318" s="15" t="n"/>
      <c r="D318" s="15" t="inlineStr">
        <is>
          <t>BU02</t>
        </is>
      </c>
      <c r="E318" s="15" t="inlineStr">
        <is>
          <t>Hochflorteppich grau</t>
        </is>
      </c>
      <c r="F318" s="16" t="inlineStr">
        <is>
          <t>Hochflorteppich in Grau, rechteckig. Maße laut Etikett auf der Rückseite: 160 × 230 cm.</t>
        </is>
      </c>
      <c r="G318" s="15" t="inlineStr">
        <is>
          <t>Textilien</t>
        </is>
      </c>
      <c r="H318" s="15" t="inlineStr">
        <is>
          <t>Flur 2</t>
        </is>
      </c>
      <c r="I318" s="15" t="inlineStr">
        <is>
          <t>C</t>
        </is>
      </c>
      <c r="J318" s="17" t="n">
        <v>1</v>
      </c>
      <c r="K318" s="17" t="n"/>
      <c r="L318" s="18">
        <f>J318-IF(K318="",0,K318)</f>
        <v/>
      </c>
      <c r="M318" s="15" t="inlineStr">
        <is>
          <t>Stück</t>
        </is>
      </c>
      <c r="N318" s="15" t="inlineStr">
        <is>
          <t>gebraucht</t>
        </is>
      </c>
      <c r="O318" s="19" t="inlineStr">
        <is>
          <t>160 × 230 cm</t>
        </is>
      </c>
      <c r="P318" s="19" t="inlineStr">
        <is>
          <t>ja</t>
        </is>
      </c>
      <c r="Q318" s="19" t="n"/>
      <c r="R318" s="20" t="n"/>
      <c r="S318" s="20" t="n">
        <v>40</v>
      </c>
      <c r="T318" s="19" t="inlineStr">
        <is>
          <t>VHB</t>
        </is>
      </c>
      <c r="U318" s="21">
        <f>L318*S318</f>
        <v/>
      </c>
      <c r="V318" s="15" t="inlineStr">
        <is>
          <t>Versand möglich</t>
        </is>
      </c>
      <c r="W318" s="15" t="inlineStr">
        <is>
          <t>F-382</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Teppich. Das Etikett ist auf Foto F-384 zu sehen.</t>
        </is>
      </c>
      <c r="AN318" s="22" t="n"/>
    </row>
    <row r="319" ht="30" customHeight="1">
      <c r="A319" s="15" t="inlineStr">
        <is>
          <t>BU02-19</t>
        </is>
      </c>
      <c r="B319" s="15" t="n"/>
      <c r="C319" s="15" t="n"/>
      <c r="D319" s="15" t="inlineStr">
        <is>
          <t>BU02</t>
        </is>
      </c>
      <c r="E319" s="15" t="inlineStr">
        <is>
          <t>Spielmöbel Kiefer, dreiteilig</t>
        </is>
      </c>
      <c r="F319" s="16" t="inlineStr">
        <is>
          <t>Dreiteilige Kombination aus Kiefer massiv: Wandregal mit zwei Kunststoffwannen, niedrige Werkbank mit offenem Unterbau und zwei Wannen sowie ein hohes Seitenteil mit Wanne.</t>
        </is>
      </c>
      <c r="G319" s="15" t="inlineStr">
        <is>
          <t>Kita-Ausstattung</t>
        </is>
      </c>
      <c r="H319" s="15" t="inlineStr">
        <is>
          <t>Flur 2</t>
        </is>
      </c>
      <c r="I319" s="15" t="inlineStr">
        <is>
          <t>B</t>
        </is>
      </c>
      <c r="J319" s="17" t="n">
        <v>1</v>
      </c>
      <c r="K319" s="17" t="n"/>
      <c r="L319" s="18">
        <f>J319-IF(K319="",0,K319)</f>
        <v/>
      </c>
      <c r="M319" s="15" t="inlineStr">
        <is>
          <t>Set</t>
        </is>
      </c>
      <c r="N319" s="15" t="inlineStr">
        <is>
          <t>gebraucht</t>
        </is>
      </c>
      <c r="O319" s="19" t="n"/>
      <c r="P319" s="19" t="inlineStr">
        <is>
          <t>ja</t>
        </is>
      </c>
      <c r="Q319" s="19" t="n"/>
      <c r="R319" s="20" t="n"/>
      <c r="S319" s="20" t="n">
        <v>90</v>
      </c>
      <c r="T319" s="19" t="inlineStr">
        <is>
          <t>VHB</t>
        </is>
      </c>
      <c r="U319" s="21">
        <f>L319*S319</f>
        <v/>
      </c>
      <c r="V319" s="15" t="inlineStr">
        <is>
          <t>nur Abholung</t>
        </is>
      </c>
      <c r="W319" s="15" t="inlineStr">
        <is>
          <t>F-385</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1 Kombination aus drei Teilen einschließlich der Wannen. Das Spielzeug gehört nicht dazu.</t>
        </is>
      </c>
      <c r="AN319" s="22" t="n"/>
    </row>
    <row r="320" ht="30" customHeight="1">
      <c r="A320" s="15" t="inlineStr">
        <is>
          <t>BU03-01</t>
        </is>
      </c>
      <c r="B320" s="15" t="n"/>
      <c r="C320" s="15" t="n"/>
      <c r="D320" s="15" t="inlineStr">
        <is>
          <t>BU03</t>
        </is>
      </c>
      <c r="E320" s="15" t="inlineStr">
        <is>
          <t>Pinnwand Holz mit Klammerleinen</t>
        </is>
      </c>
      <c r="F320" s="16" t="inlineStr">
        <is>
          <t>Großes Wandelement aus hellem Massivholz mit vier waagerechten Bändern und Holzklammern zum Aufhängen von Bildern und Bastelarbeiten. Zwei zusätzliche Querbretter als Ablage.</t>
        </is>
      </c>
      <c r="G320" s="15" t="inlineStr">
        <is>
          <t>Kita-Ausstattung</t>
        </is>
      </c>
      <c r="H320" s="15" t="inlineStr">
        <is>
          <t>Flur 3</t>
        </is>
      </c>
      <c r="I320" s="15" t="inlineStr">
        <is>
          <t>B</t>
        </is>
      </c>
      <c r="J320" s="17" t="n">
        <v>1</v>
      </c>
      <c r="K320" s="17" t="n"/>
      <c r="L320" s="18">
        <f>J320-IF(K320="",0,K320)</f>
        <v/>
      </c>
      <c r="M320" s="15" t="inlineStr">
        <is>
          <t>Stück</t>
        </is>
      </c>
      <c r="N320" s="15" t="inlineStr">
        <is>
          <t>gebraucht</t>
        </is>
      </c>
      <c r="O320" s="19" t="n"/>
      <c r="P320" s="19" t="inlineStr">
        <is>
          <t>ja</t>
        </is>
      </c>
      <c r="Q320" s="19" t="n"/>
      <c r="R320" s="20" t="n"/>
      <c r="S320" s="20" t="n">
        <v>45</v>
      </c>
      <c r="T320" s="19" t="inlineStr">
        <is>
          <t>VHB</t>
        </is>
      </c>
      <c r="U320" s="21">
        <f>L320*S320</f>
        <v/>
      </c>
      <c r="V320" s="15" t="inlineStr">
        <is>
          <t>nur Abholung</t>
        </is>
      </c>
      <c r="W320" s="15" t="inlineStr">
        <is>
          <t>F-387</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1 Wand einschließlich der Klammern. Die Deko-Ringe und Quasten gehören nicht dazu.</t>
        </is>
      </c>
      <c r="AN320" s="22" t="n"/>
    </row>
    <row r="321" ht="30" customHeight="1">
      <c r="A321" s="15" t="inlineStr">
        <is>
          <t>BU03-02</t>
        </is>
      </c>
      <c r="B321" s="15" t="n"/>
      <c r="C321" s="15" t="n"/>
      <c r="D321" s="15" t="inlineStr">
        <is>
          <t>BU03</t>
        </is>
      </c>
      <c r="E321" s="15" t="inlineStr">
        <is>
          <t>Schwingspiegel, geschwungene Form</t>
        </is>
      </c>
      <c r="F321" s="16" t="inlineStr">
        <is>
          <t>Hoher Wandspiegel mit geschwungener Außenkante ohne Rahmen, zum Anschrauben.</t>
        </is>
      </c>
      <c r="G321" s="15" t="inlineStr">
        <is>
          <t>Deko</t>
        </is>
      </c>
      <c r="H321" s="15" t="inlineStr">
        <is>
          <t>Flur 3</t>
        </is>
      </c>
      <c r="I321" s="15" t="inlineStr">
        <is>
          <t>C</t>
        </is>
      </c>
      <c r="J321" s="17" t="n">
        <v>2</v>
      </c>
      <c r="K321" s="17" t="n"/>
      <c r="L321" s="18">
        <f>J321-IF(K321="",0,K321)</f>
        <v/>
      </c>
      <c r="M321" s="15" t="inlineStr">
        <is>
          <t>Stück</t>
        </is>
      </c>
      <c r="N321" s="15" t="inlineStr">
        <is>
          <t>gebraucht</t>
        </is>
      </c>
      <c r="O321" s="19" t="n"/>
      <c r="P321" s="19" t="inlineStr">
        <is>
          <t>ja</t>
        </is>
      </c>
      <c r="Q321" s="19" t="n"/>
      <c r="R321" s="20" t="n"/>
      <c r="S321" s="20" t="n">
        <v>25</v>
      </c>
      <c r="T321" s="19" t="inlineStr">
        <is>
          <t>VHB</t>
        </is>
      </c>
      <c r="U321" s="21">
        <f>L321*S321</f>
        <v/>
      </c>
      <c r="V321" s="15" t="inlineStr">
        <is>
          <t>nur Abholung</t>
        </is>
      </c>
      <c r="W321" s="15" t="inlineStr">
        <is>
          <t>F-388</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Spiegel – abgebildet ist einer davon.</t>
        </is>
      </c>
      <c r="AN321" s="22" t="n"/>
    </row>
    <row r="322" ht="30" customHeight="1">
      <c r="A322" s="15" t="inlineStr">
        <is>
          <t>BU03-03</t>
        </is>
      </c>
      <c r="B322" s="15" t="n"/>
      <c r="C322" s="15" t="n"/>
      <c r="D322" s="15" t="inlineStr">
        <is>
          <t>BU03</t>
        </is>
      </c>
      <c r="E322" s="15" t="inlineStr">
        <is>
          <t>Schuhregal schwarz mit Chromstangen</t>
        </is>
      </c>
      <c r="F322" s="16" t="inlineStr">
        <is>
          <t>Niedriges Schuhregal aus schwarz lackiertem Holz mit schwarzer Deckplatte und drei Ebenen aus verchromten Rundstangen, auch als Sitzbank nutzbar.</t>
        </is>
      </c>
      <c r="G322" s="15" t="inlineStr">
        <is>
          <t>Möbel</t>
        </is>
      </c>
      <c r="H322" s="15" t="inlineStr">
        <is>
          <t>Flur 3</t>
        </is>
      </c>
      <c r="I322" s="15" t="inlineStr">
        <is>
          <t>C</t>
        </is>
      </c>
      <c r="J322" s="17" t="n">
        <v>2</v>
      </c>
      <c r="K322" s="17" t="n"/>
      <c r="L322" s="18">
        <f>J322-IF(K322="",0,K322)</f>
        <v/>
      </c>
      <c r="M322" s="15" t="inlineStr">
        <is>
          <t>Stück</t>
        </is>
      </c>
      <c r="N322" s="15" t="inlineStr">
        <is>
          <t>gebraucht</t>
        </is>
      </c>
      <c r="O322" s="19" t="n"/>
      <c r="P322" s="19" t="inlineStr">
        <is>
          <t>ja</t>
        </is>
      </c>
      <c r="Q322" s="19" t="n"/>
      <c r="R322" s="20" t="n"/>
      <c r="S322" s="20" t="n">
        <v>25</v>
      </c>
      <c r="T322" s="19" t="inlineStr">
        <is>
          <t>VHB</t>
        </is>
      </c>
      <c r="U322" s="21">
        <f>L322*S322</f>
        <v/>
      </c>
      <c r="V322" s="15" t="inlineStr">
        <is>
          <t>nur Abholung</t>
        </is>
      </c>
      <c r="W322" s="15" t="inlineStr">
        <is>
          <t>F-389</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2 Regale – abgebildet ist eines davon.</t>
        </is>
      </c>
      <c r="AN322" s="22" t="n"/>
    </row>
    <row r="323" ht="30" customHeight="1">
      <c r="A323" s="15" t="inlineStr">
        <is>
          <t>BU03-04</t>
        </is>
      </c>
      <c r="B323" s="15" t="n"/>
      <c r="C323" s="15" t="n"/>
      <c r="D323" s="15" t="inlineStr">
        <is>
          <t>BU03</t>
        </is>
      </c>
      <c r="E323" s="15" t="inlineStr">
        <is>
          <t>Metallregal weiß, vier Böden</t>
        </is>
      </c>
      <c r="F323" s="16" t="inlineStr">
        <is>
          <t>Offenes Regal mit weißem Metallgestell, Kreuzstrebe auf der Rückseite und vier weißen Böden.</t>
        </is>
      </c>
      <c r="G323" s="15" t="inlineStr">
        <is>
          <t>Möbel</t>
        </is>
      </c>
      <c r="H323" s="15" t="inlineStr">
        <is>
          <t>Flur 3</t>
        </is>
      </c>
      <c r="I323" s="15" t="inlineStr">
        <is>
          <t>B</t>
        </is>
      </c>
      <c r="J323" s="17" t="n">
        <v>2</v>
      </c>
      <c r="K323" s="17" t="n"/>
      <c r="L323" s="18">
        <f>J323-IF(K323="",0,K323)</f>
        <v/>
      </c>
      <c r="M323" s="15" t="inlineStr">
        <is>
          <t>Stück</t>
        </is>
      </c>
      <c r="N323" s="15" t="inlineStr">
        <is>
          <t>gebraucht</t>
        </is>
      </c>
      <c r="O323" s="19" t="n"/>
      <c r="P323" s="19" t="inlineStr">
        <is>
          <t>ja</t>
        </is>
      </c>
      <c r="Q323" s="19" t="n"/>
      <c r="R323" s="20" t="n"/>
      <c r="S323" s="20" t="n">
        <v>35</v>
      </c>
      <c r="T323" s="19" t="inlineStr">
        <is>
          <t>VHB</t>
        </is>
      </c>
      <c r="U323" s="21">
        <f>L323*S323</f>
        <v/>
      </c>
      <c r="V323" s="15" t="inlineStr">
        <is>
          <t>nur Abholung</t>
        </is>
      </c>
      <c r="W323" s="15" t="inlineStr">
        <is>
          <t>F-390</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2 Regale – abgebildet ist eines davon.</t>
        </is>
      </c>
      <c r="AN323" s="22" t="n"/>
    </row>
    <row r="324" ht="30" customHeight="1">
      <c r="A324" s="15" t="inlineStr">
        <is>
          <t>BU03-05</t>
        </is>
      </c>
      <c r="B324" s="15" t="n"/>
      <c r="C324" s="15" t="n"/>
      <c r="D324" s="15" t="inlineStr">
        <is>
          <t>BU03</t>
        </is>
      </c>
      <c r="E324" s="15" t="inlineStr">
        <is>
          <t>Schuhschrank weiß mit Klappfächern</t>
        </is>
      </c>
      <c r="F324" s="16" t="inlineStr">
        <is>
          <t>Schmaler Schuhschrank in Weiß mit zwei Klappfächern und schwarzen Knöpfen. Die Schuhablagen sind innen verschmutzt und an den Kanten abgestoßen.</t>
        </is>
      </c>
      <c r="G324" s="15" t="inlineStr">
        <is>
          <t>Möbel</t>
        </is>
      </c>
      <c r="H324" s="15" t="inlineStr">
        <is>
          <t>Flur 3</t>
        </is>
      </c>
      <c r="I324" s="15" t="inlineStr">
        <is>
          <t>B</t>
        </is>
      </c>
      <c r="J324" s="17" t="n">
        <v>1</v>
      </c>
      <c r="K324" s="17" t="n"/>
      <c r="L324" s="18">
        <f>J324-IF(K324="",0,K324)</f>
        <v/>
      </c>
      <c r="M324" s="15" t="inlineStr">
        <is>
          <t>Stück</t>
        </is>
      </c>
      <c r="N324" s="15" t="inlineStr">
        <is>
          <t>gebraucht</t>
        </is>
      </c>
      <c r="O324" s="19" t="n"/>
      <c r="P324" s="19" t="inlineStr">
        <is>
          <t>ja</t>
        </is>
      </c>
      <c r="Q324" s="19" t="n"/>
      <c r="R324" s="20" t="n"/>
      <c r="S324" s="20" t="n">
        <v>60</v>
      </c>
      <c r="T324" s="19" t="inlineStr">
        <is>
          <t>VHB</t>
        </is>
      </c>
      <c r="U324" s="21">
        <f>L324*S324</f>
        <v/>
      </c>
      <c r="V324" s="15" t="inlineStr">
        <is>
          <t>nur Abholung</t>
        </is>
      </c>
      <c r="W324" s="15" t="inlineStr">
        <is>
          <t>F-391</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Schrank.</t>
        </is>
      </c>
      <c r="AN324" s="22" t="n"/>
    </row>
    <row r="325" ht="30" customHeight="1">
      <c r="A325" s="15" t="inlineStr">
        <is>
          <t>BU03-06</t>
        </is>
      </c>
      <c r="B325" s="15" t="n"/>
      <c r="C325" s="15" t="n"/>
      <c r="D325" s="15" t="inlineStr">
        <is>
          <t>BU03</t>
        </is>
      </c>
      <c r="E325" s="15" t="inlineStr">
        <is>
          <t>Wäschekorb anthrazit mit Deckel, hoch</t>
        </is>
      </c>
      <c r="F325" s="16" t="inlineStr">
        <is>
          <t>Hoher Wäschekorb aus Kunststoff in Flechtoptik, anthrazit, nach unten verjüngt, mit aufklappbarem Deckel und Griffloch.</t>
        </is>
      </c>
      <c r="G325" s="15" t="inlineStr">
        <is>
          <t>Sonstiges</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12</v>
      </c>
      <c r="T325" s="19" t="inlineStr">
        <is>
          <t>VHB</t>
        </is>
      </c>
      <c r="U325" s="21">
        <f>L325*S325</f>
        <v/>
      </c>
      <c r="V325" s="15" t="inlineStr">
        <is>
          <t>Versand möglich</t>
        </is>
      </c>
      <c r="W325" s="15" t="inlineStr">
        <is>
          <t>F-392</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Korb. Drei niedrigere Wäschekörbe stehen unter NE02-03.</t>
        </is>
      </c>
      <c r="AN325" s="22" t="n"/>
    </row>
    <row r="326" ht="30" customHeight="1">
      <c r="A326" s="15" t="inlineStr">
        <is>
          <t>BU03-07</t>
        </is>
      </c>
      <c r="B326" s="15" t="n"/>
      <c r="C326" s="15" t="n"/>
      <c r="D326" s="15" t="inlineStr">
        <is>
          <t>BU03</t>
        </is>
      </c>
      <c r="E326" s="15" t="inlineStr">
        <is>
          <t>Tischleuchte Holzgestell mit Stoffschirm</t>
        </is>
      </c>
      <c r="F326" s="16" t="inlineStr">
        <is>
          <t>Tischleuchte mit dreieckigem Gestell aus hellem Holz und zylindrischem Stoffschirm in Hellgrau, mit Schnurschalter.</t>
        </is>
      </c>
      <c r="G326" s="15" t="inlineStr">
        <is>
          <t>Leuchten</t>
        </is>
      </c>
      <c r="H326" s="15" t="inlineStr">
        <is>
          <t>Flur 3</t>
        </is>
      </c>
      <c r="I326" s="15" t="inlineStr">
        <is>
          <t>C</t>
        </is>
      </c>
      <c r="J326" s="17" t="n">
        <v>1</v>
      </c>
      <c r="K326" s="17" t="n"/>
      <c r="L326" s="18">
        <f>J326-IF(K326="",0,K326)</f>
        <v/>
      </c>
      <c r="M326" s="15" t="inlineStr">
        <is>
          <t>Stück</t>
        </is>
      </c>
      <c r="N326" s="15" t="inlineStr">
        <is>
          <t>gebraucht</t>
        </is>
      </c>
      <c r="O326" s="19" t="n"/>
      <c r="P326" s="19" t="inlineStr">
        <is>
          <t>ja</t>
        </is>
      </c>
      <c r="Q326" s="19" t="n"/>
      <c r="R326" s="20" t="n"/>
      <c r="S326" s="20" t="n">
        <v>25</v>
      </c>
      <c r="T326" s="19" t="inlineStr">
        <is>
          <t>VHB</t>
        </is>
      </c>
      <c r="U326" s="21">
        <f>L326*S326</f>
        <v/>
      </c>
      <c r="V326" s="15" t="inlineStr">
        <is>
          <t>Versand möglich</t>
        </is>
      </c>
      <c r="W326" s="15" t="inlineStr">
        <is>
          <t>F-393</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Leuchte ohne Leuchtmittel. Auf dem Erfassungsblatt als Stehlampe geführt – es ist eine Tischleuchte.</t>
        </is>
      </c>
      <c r="AN326" s="22" t="n"/>
    </row>
    <row r="327" ht="30" customHeight="1">
      <c r="A327" s="15" t="inlineStr">
        <is>
          <t>BU03-08</t>
        </is>
      </c>
      <c r="B327" s="15" t="n"/>
      <c r="C327" s="15" t="n"/>
      <c r="D327" s="15" t="inlineStr">
        <is>
          <t>BU03</t>
        </is>
      </c>
      <c r="E327" s="15" t="inlineStr">
        <is>
          <t>Beistelltisch rund türkis mit Hairpin-Beinen</t>
        </is>
      </c>
      <c r="F327" s="16" t="inlineStr">
        <is>
          <t>Kleiner runder Beistelltisch mit türkis lackierter Holzplatte auf drei schwarzen Hairpin-Beinen aus Rundstahl. Die Platte ist leicht verkratzt.</t>
        </is>
      </c>
      <c r="G327" s="15" t="inlineStr">
        <is>
          <t>Möbel</t>
        </is>
      </c>
      <c r="H327" s="15" t="inlineStr">
        <is>
          <t>Flur 3</t>
        </is>
      </c>
      <c r="I327" s="15" t="inlineStr">
        <is>
          <t>C</t>
        </is>
      </c>
      <c r="J327" s="17" t="n">
        <v>1</v>
      </c>
      <c r="K327" s="17" t="n"/>
      <c r="L327" s="18">
        <f>J327-IF(K327="",0,K327)</f>
        <v/>
      </c>
      <c r="M327" s="15" t="inlineStr">
        <is>
          <t>Stück</t>
        </is>
      </c>
      <c r="N327" s="15" t="inlineStr">
        <is>
          <t>gebraucht</t>
        </is>
      </c>
      <c r="O327" s="19" t="n"/>
      <c r="P327" s="19" t="inlineStr">
        <is>
          <t>ja</t>
        </is>
      </c>
      <c r="Q327" s="19" t="n"/>
      <c r="R327" s="20" t="n"/>
      <c r="S327" s="20" t="n">
        <v>35</v>
      </c>
      <c r="T327" s="19" t="inlineStr">
        <is>
          <t>VHB</t>
        </is>
      </c>
      <c r="U327" s="21">
        <f>L327*S327</f>
        <v/>
      </c>
      <c r="V327" s="15" t="inlineStr">
        <is>
          <t>Versand möglich</t>
        </is>
      </c>
      <c r="W327" s="15" t="inlineStr">
        <is>
          <t>F-394</t>
        </is>
      </c>
      <c r="X327" s="19" t="inlineStr">
        <is>
          <t>ja</t>
        </is>
      </c>
      <c r="Y327" s="19" t="n"/>
      <c r="Z327" s="19" t="inlineStr">
        <is>
          <t>verfügbar</t>
        </is>
      </c>
      <c r="AA327" s="19" t="n"/>
      <c r="AB327" s="19" t="n"/>
      <c r="AC327" s="19" t="n"/>
      <c r="AD327" s="19" t="n"/>
      <c r="AE327" s="20" t="n"/>
      <c r="AF327" s="21">
        <f>IF(K327="","",K327*AE327)</f>
        <v/>
      </c>
      <c r="AG327" s="19" t="n"/>
      <c r="AH327" s="19" t="n"/>
      <c r="AI327" s="19" t="n"/>
      <c r="AJ327" s="19" t="n"/>
      <c r="AK327" s="19" t="n"/>
      <c r="AL327" s="19" t="n"/>
      <c r="AM327" s="16" t="inlineStr">
        <is>
          <t>1 Tisch.</t>
        </is>
      </c>
      <c r="AN327" s="22" t="n"/>
    </row>
  </sheetData>
  <autoFilter ref="A2:AN327"/>
  <mergeCells count="7">
    <mergeCell ref="AI1:AL1"/>
    <mergeCell ref="V1:AD1"/>
    <mergeCell ref="S1:U1"/>
    <mergeCell ref="Q1:R1"/>
    <mergeCell ref="A1:P1"/>
    <mergeCell ref="AE1:AH1"/>
    <mergeCell ref="AM1:AN1"/>
  </mergeCells>
  <conditionalFormatting sqref="Z3:Z327">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27">
    <cfRule type="cellIs" priority="4" operator="equal" dxfId="3">
      <formula>"A"</formula>
    </cfRule>
  </conditionalFormatting>
  <conditionalFormatting sqref="P3:P327">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COUNTA(Artikelstamm!$A$3:$A$327)</f>
        <v/>
      </c>
    </row>
    <row r="6">
      <c r="A6" s="26" t="inlineStr">
        <is>
          <t>davon verfügbar</t>
        </is>
      </c>
      <c r="B6" s="27">
        <f>COUNTIF(Artikelstamm!$Z$3:$Z$327,"verfügbar")</f>
        <v/>
      </c>
    </row>
    <row r="7">
      <c r="A7" s="26" t="inlineStr">
        <is>
          <t>davon reserviert</t>
        </is>
      </c>
      <c r="B7" s="27">
        <f>COUNTIF(Artikelstamm!$Z$3:$Z$327,"reserviert")</f>
        <v/>
      </c>
    </row>
    <row r="8">
      <c r="A8" s="26" t="inlineStr">
        <is>
          <t>davon teilverkauft</t>
        </is>
      </c>
      <c r="B8" s="27">
        <f>COUNTIF(Artikelstamm!$Z$3:$Z$327,"teilverkauft")</f>
        <v/>
      </c>
    </row>
    <row r="9">
      <c r="A9" s="26" t="inlineStr">
        <is>
          <t>davon verkauft</t>
        </is>
      </c>
      <c r="B9" s="27">
        <f>COUNTIF(Artikelstamm!$Z$3:$Z$327,"verkauft")</f>
        <v/>
      </c>
    </row>
    <row r="10">
      <c r="A10" s="26" t="inlineStr">
        <is>
          <t>Einheiten noch im Bestand</t>
        </is>
      </c>
      <c r="B10" s="27">
        <f>SUM(Artikelstamm!$L$3:$L$327)</f>
        <v/>
      </c>
    </row>
    <row r="11">
      <c r="A11" s="28" t="inlineStr">
        <is>
          <t>Restbestand zu Wunschpreisen (netto)</t>
        </is>
      </c>
      <c r="B11" s="29">
        <f>SUM(Artikelstamm!$U$3:$U$327)</f>
        <v/>
      </c>
    </row>
    <row r="12">
      <c r="A12" s="25" t="inlineStr">
        <is>
          <t>Erlöse</t>
        </is>
      </c>
    </row>
    <row r="13">
      <c r="A13" s="26" t="inlineStr">
        <is>
          <t>Verkaufte Einheiten</t>
        </is>
      </c>
      <c r="B13" s="27">
        <f>SUM(Artikelstamm!$K$3:$K$327)</f>
        <v/>
      </c>
    </row>
    <row r="14">
      <c r="A14" s="26" t="inlineStr">
        <is>
          <t>Umsatz netto</t>
        </is>
      </c>
      <c r="B14" s="30">
        <f>SUMPRODUCT(Artikelstamm!$K$3:$K$327,Artikelstamm!$AE$3:$AE$327)</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SUMPRODUCT((Artikelstamm!$AJ$3:$AJ$327="bezahlt")*Artikelstamm!$K$3:$K$327*Artikelstamm!$AE$3:$AE$327)</f>
        <v/>
      </c>
    </row>
    <row r="18">
      <c r="A18" s="26" t="inlineStr">
        <is>
          <t>noch offen (netto)</t>
        </is>
      </c>
      <c r="B18" s="30">
        <f>B14-B17</f>
        <v/>
      </c>
    </row>
    <row r="20">
      <c r="A20" s="25" t="inlineStr">
        <is>
          <t>To-do</t>
        </is>
      </c>
    </row>
    <row r="21">
      <c r="A21" s="28" t="inlineStr">
        <is>
          <t>Rechnungen noch zu schreiben</t>
        </is>
      </c>
      <c r="B21" s="31">
        <f>COUNTIFS(Artikelstamm!$Z$3:$Z$327,"*verkauft",Artikelstamm!$AI$3:$AI$327,"")</f>
        <v/>
      </c>
    </row>
    <row r="22">
      <c r="A22" s="28" t="inlineStr">
        <is>
          <t>Rechnungen offen (unbezahlt)</t>
        </is>
      </c>
      <c r="B22" s="31">
        <f>COUNTIFS(Artikelstamm!$Z$3:$Z$327,"*verkauft",Artikelstamm!$AJ$3:$AJ$327,"offen")</f>
        <v/>
      </c>
    </row>
    <row r="23">
      <c r="A23" s="26" t="inlineStr">
        <is>
          <t>Reservierungen ohne Abholtermin</t>
        </is>
      </c>
      <c r="B23" s="27">
        <f>COUNTIFS(Artikelstamm!$Z$3:$Z$327,"reserviert",Artikelstamm!$AL$3:$AL$327,"")</f>
        <v/>
      </c>
    </row>
    <row r="24">
      <c r="A24" s="26" t="inlineStr">
        <is>
          <t>Artikel ohne Preis</t>
        </is>
      </c>
      <c r="B24" s="27">
        <f>COUNTIFS(Artikelstamm!$S$3:$S$327,"")</f>
        <v/>
      </c>
    </row>
    <row r="25">
      <c r="A25" s="26" t="inlineStr">
        <is>
          <t>Artikel ohne Maßangabe</t>
        </is>
      </c>
      <c r="B25" s="27">
        <f>COUNTIFS(Artikelstamm!$O$3:$O$327,"")</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COUNTIF(Artikelstamm!$I$3:$I$327,$A30)</f>
        <v/>
      </c>
      <c r="C30" s="34">
        <f>SUMPRODUCT((Artikelstamm!$I$3:$I$327=$A30)*Artikelstamm!$K$3:$K$327*Artikelstamm!$AE$3:$AE$327)</f>
        <v/>
      </c>
      <c r="D30" s="34">
        <f>SUMIF(Artikelstamm!$I$3:$I$327,$A30,Artikelstamm!$U$3:$U$327)</f>
        <v/>
      </c>
    </row>
    <row r="31">
      <c r="A31" s="26" t="inlineStr">
        <is>
          <t>B</t>
        </is>
      </c>
      <c r="B31" s="33">
        <f>COUNTIF(Artikelstamm!$I$3:$I$327,$A31)</f>
        <v/>
      </c>
      <c r="C31" s="34">
        <f>SUMPRODUCT((Artikelstamm!$I$3:$I$327=$A31)*Artikelstamm!$K$3:$K$327*Artikelstamm!$AE$3:$AE$327)</f>
        <v/>
      </c>
      <c r="D31" s="34">
        <f>SUMIF(Artikelstamm!$I$3:$I$327,$A31,Artikelstamm!$U$3:$U$327)</f>
        <v/>
      </c>
    </row>
    <row r="32">
      <c r="A32" s="26" t="inlineStr">
        <is>
          <t>C</t>
        </is>
      </c>
      <c r="B32" s="33">
        <f>COUNTIF(Artikelstamm!$I$3:$I$327,$A32)</f>
        <v/>
      </c>
      <c r="C32" s="34">
        <f>SUMPRODUCT((Artikelstamm!$I$3:$I$327=$A32)*Artikelstamm!$K$3:$K$327*Artikelstamm!$AE$3:$AE$327)</f>
        <v/>
      </c>
      <c r="D32" s="34">
        <f>SUMIF(Artikelstamm!$I$3:$I$327,$A32,Artikelstamm!$U$3:$U$327)</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COUNTIF(Artikelstamm!$G$3:$G$327,$A37)</f>
        <v/>
      </c>
      <c r="C37" s="34">
        <f>SUMPRODUCT((Artikelstamm!$G$3:$G$327=$A37)*Artikelstamm!$K$3:$K$327*Artikelstamm!$AE$3:$AE$327)</f>
        <v/>
      </c>
      <c r="D37" s="34">
        <f>SUMIF(Artikelstamm!$G$3:$G$327,$A37,Artikelstamm!$U$3:$U$327)</f>
        <v/>
      </c>
    </row>
    <row r="38">
      <c r="A38" s="26" t="inlineStr">
        <is>
          <t>Deko</t>
        </is>
      </c>
      <c r="B38" s="33">
        <f>COUNTIF(Artikelstamm!$G$3:$G$327,$A38)</f>
        <v/>
      </c>
      <c r="C38" s="34">
        <f>SUMPRODUCT((Artikelstamm!$G$3:$G$327=$A38)*Artikelstamm!$K$3:$K$327*Artikelstamm!$AE$3:$AE$327)</f>
        <v/>
      </c>
      <c r="D38" s="34">
        <f>SUMIF(Artikelstamm!$G$3:$G$327,$A38,Artikelstamm!$U$3:$U$327)</f>
        <v/>
      </c>
    </row>
    <row r="39">
      <c r="A39" s="26" t="inlineStr">
        <is>
          <t>Designmöbel</t>
        </is>
      </c>
      <c r="B39" s="33">
        <f>COUNTIF(Artikelstamm!$G$3:$G$327,$A39)</f>
        <v/>
      </c>
      <c r="C39" s="34">
        <f>SUMPRODUCT((Artikelstamm!$G$3:$G$327=$A39)*Artikelstamm!$K$3:$K$327*Artikelstamm!$AE$3:$AE$327)</f>
        <v/>
      </c>
      <c r="D39" s="34">
        <f>SUMIF(Artikelstamm!$G$3:$G$327,$A39,Artikelstamm!$U$3:$U$327)</f>
        <v/>
      </c>
    </row>
    <row r="40">
      <c r="A40" s="26" t="inlineStr">
        <is>
          <t>Garten</t>
        </is>
      </c>
      <c r="B40" s="33">
        <f>COUNTIF(Artikelstamm!$G$3:$G$327,$A40)</f>
        <v/>
      </c>
      <c r="C40" s="34">
        <f>SUMPRODUCT((Artikelstamm!$G$3:$G$327=$A40)*Artikelstamm!$K$3:$K$327*Artikelstamm!$AE$3:$AE$327)</f>
        <v/>
      </c>
      <c r="D40" s="34">
        <f>SUMIF(Artikelstamm!$G$3:$G$327,$A40,Artikelstamm!$U$3:$U$327)</f>
        <v/>
      </c>
    </row>
    <row r="41">
      <c r="A41" s="26" t="inlineStr">
        <is>
          <t>Kita-Ausstattung</t>
        </is>
      </c>
      <c r="B41" s="33">
        <f>COUNTIF(Artikelstamm!$G$3:$G$327,$A41)</f>
        <v/>
      </c>
      <c r="C41" s="34">
        <f>SUMPRODUCT((Artikelstamm!$G$3:$G$327=$A41)*Artikelstamm!$K$3:$K$327*Artikelstamm!$AE$3:$AE$327)</f>
        <v/>
      </c>
      <c r="D41" s="34">
        <f>SUMIF(Artikelstamm!$G$3:$G$327,$A41,Artikelstamm!$U$3:$U$327)</f>
        <v/>
      </c>
    </row>
    <row r="42">
      <c r="A42" s="26" t="inlineStr">
        <is>
          <t>Kunst</t>
        </is>
      </c>
      <c r="B42" s="33">
        <f>COUNTIF(Artikelstamm!$G$3:$G$327,$A42)</f>
        <v/>
      </c>
      <c r="C42" s="34">
        <f>SUMPRODUCT((Artikelstamm!$G$3:$G$327=$A42)*Artikelstamm!$K$3:$K$327*Artikelstamm!$AE$3:$AE$327)</f>
        <v/>
      </c>
      <c r="D42" s="34">
        <f>SUMIF(Artikelstamm!$G$3:$G$327,$A42,Artikelstamm!$U$3:$U$327)</f>
        <v/>
      </c>
    </row>
    <row r="43">
      <c r="A43" s="26" t="inlineStr">
        <is>
          <t>Leuchten</t>
        </is>
      </c>
      <c r="B43" s="33">
        <f>COUNTIF(Artikelstamm!$G$3:$G$327,$A43)</f>
        <v/>
      </c>
      <c r="C43" s="34">
        <f>SUMPRODUCT((Artikelstamm!$G$3:$G$327=$A43)*Artikelstamm!$K$3:$K$327*Artikelstamm!$AE$3:$AE$327)</f>
        <v/>
      </c>
      <c r="D43" s="34">
        <f>SUMIF(Artikelstamm!$G$3:$G$327,$A43,Artikelstamm!$U$3:$U$327)</f>
        <v/>
      </c>
    </row>
    <row r="44">
      <c r="A44" s="26" t="inlineStr">
        <is>
          <t>Möbel</t>
        </is>
      </c>
      <c r="B44" s="33">
        <f>COUNTIF(Artikelstamm!$G$3:$G$327,$A44)</f>
        <v/>
      </c>
      <c r="C44" s="34">
        <f>SUMPRODUCT((Artikelstamm!$G$3:$G$327=$A44)*Artikelstamm!$K$3:$K$327*Artikelstamm!$AE$3:$AE$327)</f>
        <v/>
      </c>
      <c r="D44" s="34">
        <f>SUMIF(Artikelstamm!$G$3:$G$327,$A44,Artikelstamm!$U$3:$U$327)</f>
        <v/>
      </c>
    </row>
    <row r="45">
      <c r="A45" s="26" t="inlineStr">
        <is>
          <t>Pflanzen</t>
        </is>
      </c>
      <c r="B45" s="33">
        <f>COUNTIF(Artikelstamm!$G$3:$G$327,$A45)</f>
        <v/>
      </c>
      <c r="C45" s="34">
        <f>SUMPRODUCT((Artikelstamm!$G$3:$G$327=$A45)*Artikelstamm!$K$3:$K$327*Artikelstamm!$AE$3:$AE$327)</f>
        <v/>
      </c>
      <c r="D45" s="34">
        <f>SUMIF(Artikelstamm!$G$3:$G$327,$A45,Artikelstamm!$U$3:$U$327)</f>
        <v/>
      </c>
    </row>
    <row r="46">
      <c r="A46" s="26" t="inlineStr">
        <is>
          <t>Sonstiges</t>
        </is>
      </c>
      <c r="B46" s="33">
        <f>COUNTIF(Artikelstamm!$G$3:$G$327,$A46)</f>
        <v/>
      </c>
      <c r="C46" s="34">
        <f>SUMPRODUCT((Artikelstamm!$G$3:$G$327=$A46)*Artikelstamm!$K$3:$K$327*Artikelstamm!$AE$3:$AE$327)</f>
        <v/>
      </c>
      <c r="D46" s="34">
        <f>SUMIF(Artikelstamm!$G$3:$G$327,$A46,Artikelstamm!$U$3:$U$327)</f>
        <v/>
      </c>
    </row>
    <row r="47">
      <c r="A47" s="26" t="inlineStr">
        <is>
          <t>Technik</t>
        </is>
      </c>
      <c r="B47" s="33">
        <f>COUNTIF(Artikelstamm!$G$3:$G$327,$A47)</f>
        <v/>
      </c>
      <c r="C47" s="34">
        <f>SUMPRODUCT((Artikelstamm!$G$3:$G$327=$A47)*Artikelstamm!$K$3:$K$327*Artikelstamm!$AE$3:$AE$327)</f>
        <v/>
      </c>
      <c r="D47" s="34">
        <f>SUMIF(Artikelstamm!$G$3:$G$327,$A47,Artikelstamm!$U$3:$U$327)</f>
        <v/>
      </c>
    </row>
    <row r="48">
      <c r="A48" s="26" t="inlineStr">
        <is>
          <t>Textilien</t>
        </is>
      </c>
      <c r="B48" s="33">
        <f>COUNTIF(Artikelstamm!$G$3:$G$327,$A48)</f>
        <v/>
      </c>
      <c r="C48" s="34">
        <f>SUMPRODUCT((Artikelstamm!$G$3:$G$327=$A48)*Artikelstamm!$K$3:$K$327*Artikelstamm!$AE$3:$AE$327)</f>
        <v/>
      </c>
      <c r="D48" s="34">
        <f>SUMIF(Artikelstamm!$G$3:$G$327,$A48,Artikelstamm!$U$3:$U$327)</f>
        <v/>
      </c>
    </row>
    <row r="49">
      <c r="A49" s="26" t="inlineStr">
        <is>
          <t>Uhren</t>
        </is>
      </c>
      <c r="B49" s="33">
        <f>COUNTIF(Artikelstamm!$G$3:$G$327,$A49)</f>
        <v/>
      </c>
      <c r="C49" s="34">
        <f>SUMPRODUCT((Artikelstamm!$G$3:$G$327=$A49)*Artikelstamm!$K$3:$K$327*Artikelstamm!$AE$3:$AE$327)</f>
        <v/>
      </c>
      <c r="D49" s="34">
        <f>SUMIF(Artikelstamm!$G$3:$G$327,$A49,Artikelstamm!$U$3:$U$327)</f>
        <v/>
      </c>
    </row>
    <row r="50">
      <c r="A50" s="26" t="inlineStr">
        <is>
          <t>Verbrauchsmaterial</t>
        </is>
      </c>
      <c r="B50" s="33">
        <f>COUNTIF(Artikelstamm!$G$3:$G$327,$A50)</f>
        <v/>
      </c>
      <c r="C50" s="34">
        <f>SUMPRODUCT((Artikelstamm!$G$3:$G$327=$A50)*Artikelstamm!$K$3:$K$327*Artikelstamm!$AE$3:$AE$327)</f>
        <v/>
      </c>
      <c r="D50" s="34">
        <f>SUMIF(Artikelstamm!$G$3:$G$327,$A50,Artikelstamm!$U$3:$U$327)</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COUNTIF(Artikelstamm!$H$3:$H$327,$A55)</f>
        <v/>
      </c>
      <c r="C55" s="34">
        <f>SUMPRODUCT((Artikelstamm!$H$3:$H$327=$A55)*Artikelstamm!$K$3:$K$327*Artikelstamm!$AE$3:$AE$327)</f>
        <v/>
      </c>
      <c r="D55" s="34">
        <f>SUMIF(Artikelstamm!$H$3:$H$327,$A55,Artikelstamm!$U$3:$U$327)</f>
        <v/>
      </c>
    </row>
    <row r="56">
      <c r="A56" s="26" t="inlineStr">
        <is>
          <t>Büro</t>
        </is>
      </c>
      <c r="B56" s="33">
        <f>COUNTIF(Artikelstamm!$H$3:$H$327,$A56)</f>
        <v/>
      </c>
      <c r="C56" s="34">
        <f>SUMPRODUCT((Artikelstamm!$H$3:$H$327=$A56)*Artikelstamm!$K$3:$K$327*Artikelstamm!$AE$3:$AE$327)</f>
        <v/>
      </c>
      <c r="D56" s="34">
        <f>SUMIF(Artikelstamm!$H$3:$H$327,$A56,Artikelstamm!$U$3:$U$327)</f>
        <v/>
      </c>
    </row>
    <row r="57">
      <c r="A57" s="26" t="inlineStr">
        <is>
          <t>Büro / Besprechung</t>
        </is>
      </c>
      <c r="B57" s="33">
        <f>COUNTIF(Artikelstamm!$H$3:$H$327,$A57)</f>
        <v/>
      </c>
      <c r="C57" s="34">
        <f>SUMPRODUCT((Artikelstamm!$H$3:$H$327=$A57)*Artikelstamm!$K$3:$K$327*Artikelstamm!$AE$3:$AE$327)</f>
        <v/>
      </c>
      <c r="D57" s="34">
        <f>SUMIF(Artikelstamm!$H$3:$H$327,$A57,Artikelstamm!$U$3:$U$327)</f>
        <v/>
      </c>
    </row>
    <row r="58">
      <c r="A58" s="26" t="inlineStr">
        <is>
          <t>Dachterrasse</t>
        </is>
      </c>
      <c r="B58" s="33">
        <f>COUNTIF(Artikelstamm!$H$3:$H$327,$A58)</f>
        <v/>
      </c>
      <c r="C58" s="34">
        <f>SUMPRODUCT((Artikelstamm!$H$3:$H$327=$A58)*Artikelstamm!$K$3:$K$327*Artikelstamm!$AE$3:$AE$327)</f>
        <v/>
      </c>
      <c r="D58" s="34">
        <f>SUMIF(Artikelstamm!$H$3:$H$327,$A58,Artikelstamm!$U$3:$U$327)</f>
        <v/>
      </c>
    </row>
    <row r="59">
      <c r="A59" s="26" t="inlineStr">
        <is>
          <t>Flur</t>
        </is>
      </c>
      <c r="B59" s="33">
        <f>COUNTIF(Artikelstamm!$H$3:$H$327,$A59)</f>
        <v/>
      </c>
      <c r="C59" s="34">
        <f>SUMPRODUCT((Artikelstamm!$H$3:$H$327=$A59)*Artikelstamm!$K$3:$K$327*Artikelstamm!$AE$3:$AE$327)</f>
        <v/>
      </c>
      <c r="D59" s="34">
        <f>SUMIF(Artikelstamm!$H$3:$H$327,$A59,Artikelstamm!$U$3:$U$327)</f>
        <v/>
      </c>
    </row>
    <row r="60">
      <c r="A60" s="26" t="inlineStr">
        <is>
          <t>Flur 1</t>
        </is>
      </c>
      <c r="B60" s="33">
        <f>COUNTIF(Artikelstamm!$H$3:$H$327,$A60)</f>
        <v/>
      </c>
      <c r="C60" s="34">
        <f>SUMPRODUCT((Artikelstamm!$H$3:$H$327=$A60)*Artikelstamm!$K$3:$K$327*Artikelstamm!$AE$3:$AE$327)</f>
        <v/>
      </c>
      <c r="D60" s="34">
        <f>SUMIF(Artikelstamm!$H$3:$H$327,$A60,Artikelstamm!$U$3:$U$327)</f>
        <v/>
      </c>
    </row>
    <row r="61">
      <c r="A61" s="26" t="inlineStr">
        <is>
          <t>Flur 2</t>
        </is>
      </c>
      <c r="B61" s="33">
        <f>COUNTIF(Artikelstamm!$H$3:$H$327,$A61)</f>
        <v/>
      </c>
      <c r="C61" s="34">
        <f>SUMPRODUCT((Artikelstamm!$H$3:$H$327=$A61)*Artikelstamm!$K$3:$K$327*Artikelstamm!$AE$3:$AE$327)</f>
        <v/>
      </c>
      <c r="D61" s="34">
        <f>SUMIF(Artikelstamm!$H$3:$H$327,$A61,Artikelstamm!$U$3:$U$327)</f>
        <v/>
      </c>
    </row>
    <row r="62">
      <c r="A62" s="26" t="inlineStr">
        <is>
          <t>Flur 3</t>
        </is>
      </c>
      <c r="B62" s="33">
        <f>COUNTIF(Artikelstamm!$H$3:$H$327,$A62)</f>
        <v/>
      </c>
      <c r="C62" s="34">
        <f>SUMPRODUCT((Artikelstamm!$H$3:$H$327=$A62)*Artikelstamm!$K$3:$K$327*Artikelstamm!$AE$3:$AE$327)</f>
        <v/>
      </c>
      <c r="D62" s="34">
        <f>SUMIF(Artikelstamm!$H$3:$H$327,$A62,Artikelstamm!$U$3:$U$327)</f>
        <v/>
      </c>
    </row>
    <row r="63">
      <c r="A63" s="26" t="inlineStr">
        <is>
          <t>Galerie</t>
        </is>
      </c>
      <c r="B63" s="33">
        <f>COUNTIF(Artikelstamm!$H$3:$H$327,$A63)</f>
        <v/>
      </c>
      <c r="C63" s="34">
        <f>SUMPRODUCT((Artikelstamm!$H$3:$H$327=$A63)*Artikelstamm!$K$3:$K$327*Artikelstamm!$AE$3:$AE$327)</f>
        <v/>
      </c>
      <c r="D63" s="34">
        <f>SUMIF(Artikelstamm!$H$3:$H$327,$A63,Artikelstamm!$U$3:$U$327)</f>
        <v/>
      </c>
    </row>
    <row r="64">
      <c r="A64" s="26" t="inlineStr">
        <is>
          <t>Garage</t>
        </is>
      </c>
      <c r="B64" s="33">
        <f>COUNTIF(Artikelstamm!$H$3:$H$327,$A64)</f>
        <v/>
      </c>
      <c r="C64" s="34">
        <f>SUMPRODUCT((Artikelstamm!$H$3:$H$327=$A64)*Artikelstamm!$K$3:$K$327*Artikelstamm!$AE$3:$AE$327)</f>
        <v/>
      </c>
      <c r="D64" s="34">
        <f>SUMIF(Artikelstamm!$H$3:$H$327,$A64,Artikelstamm!$U$3:$U$327)</f>
        <v/>
      </c>
    </row>
    <row r="65">
      <c r="A65" s="26" t="inlineStr">
        <is>
          <t>Gartenanlage</t>
        </is>
      </c>
      <c r="B65" s="33">
        <f>COUNTIF(Artikelstamm!$H$3:$H$327,$A65)</f>
        <v/>
      </c>
      <c r="C65" s="34">
        <f>SUMPRODUCT((Artikelstamm!$H$3:$H$327=$A65)*Artikelstamm!$K$3:$K$327*Artikelstamm!$AE$3:$AE$327)</f>
        <v/>
      </c>
      <c r="D65" s="34">
        <f>SUMIF(Artikelstamm!$H$3:$H$327,$A65,Artikelstamm!$U$3:$U$327)</f>
        <v/>
      </c>
    </row>
    <row r="66">
      <c r="A66" s="26" t="inlineStr">
        <is>
          <t>Gruppenraum</t>
        </is>
      </c>
      <c r="B66" s="33">
        <f>COUNTIF(Artikelstamm!$H$3:$H$327,$A66)</f>
        <v/>
      </c>
      <c r="C66" s="34">
        <f>SUMPRODUCT((Artikelstamm!$H$3:$H$327=$A66)*Artikelstamm!$K$3:$K$327*Artikelstamm!$AE$3:$AE$327)</f>
        <v/>
      </c>
      <c r="D66" s="34">
        <f>SUMIF(Artikelstamm!$H$3:$H$327,$A66,Artikelstamm!$U$3:$U$327)</f>
        <v/>
      </c>
    </row>
    <row r="67">
      <c r="A67" s="26" t="inlineStr">
        <is>
          <t>Gruppenraum 2</t>
        </is>
      </c>
      <c r="B67" s="33">
        <f>COUNTIF(Artikelstamm!$H$3:$H$327,$A67)</f>
        <v/>
      </c>
      <c r="C67" s="34">
        <f>SUMPRODUCT((Artikelstamm!$H$3:$H$327=$A67)*Artikelstamm!$K$3:$K$327*Artikelstamm!$AE$3:$AE$327)</f>
        <v/>
      </c>
      <c r="D67" s="34">
        <f>SUMIF(Artikelstamm!$H$3:$H$327,$A67,Artikelstamm!$U$3:$U$327)</f>
        <v/>
      </c>
    </row>
    <row r="68">
      <c r="A68" s="26" t="inlineStr">
        <is>
          <t>Gruppenraum 4</t>
        </is>
      </c>
      <c r="B68" s="33">
        <f>COUNTIF(Artikelstamm!$H$3:$H$327,$A68)</f>
        <v/>
      </c>
      <c r="C68" s="34">
        <f>SUMPRODUCT((Artikelstamm!$H$3:$H$327=$A68)*Artikelstamm!$K$3:$K$327*Artikelstamm!$AE$3:$AE$327)</f>
        <v/>
      </c>
      <c r="D68" s="34">
        <f>SUMIF(Artikelstamm!$H$3:$H$327,$A68,Artikelstamm!$U$3:$U$327)</f>
        <v/>
      </c>
    </row>
    <row r="69">
      <c r="A69" s="26" t="inlineStr">
        <is>
          <t>Gruppenraum 5</t>
        </is>
      </c>
      <c r="B69" s="33">
        <f>COUNTIF(Artikelstamm!$H$3:$H$327,$A69)</f>
        <v/>
      </c>
      <c r="C69" s="34">
        <f>SUMPRODUCT((Artikelstamm!$H$3:$H$327=$A69)*Artikelstamm!$K$3:$K$327*Artikelstamm!$AE$3:$AE$327)</f>
        <v/>
      </c>
      <c r="D69" s="34">
        <f>SUMIF(Artikelstamm!$H$3:$H$327,$A69,Artikelstamm!$U$3:$U$327)</f>
        <v/>
      </c>
    </row>
    <row r="70">
      <c r="A70" s="26" t="inlineStr">
        <is>
          <t>Klassenzimmer</t>
        </is>
      </c>
      <c r="B70" s="33">
        <f>COUNTIF(Artikelstamm!$H$3:$H$327,$A70)</f>
        <v/>
      </c>
      <c r="C70" s="34">
        <f>SUMPRODUCT((Artikelstamm!$H$3:$H$327=$A70)*Artikelstamm!$K$3:$K$327*Artikelstamm!$AE$3:$AE$327)</f>
        <v/>
      </c>
      <c r="D70" s="34">
        <f>SUMIF(Artikelstamm!$H$3:$H$327,$A70,Artikelstamm!$U$3:$U$327)</f>
        <v/>
      </c>
    </row>
    <row r="71">
      <c r="A71" s="26" t="inlineStr">
        <is>
          <t>Küche</t>
        </is>
      </c>
      <c r="B71" s="33">
        <f>COUNTIF(Artikelstamm!$H$3:$H$327,$A71)</f>
        <v/>
      </c>
      <c r="C71" s="34">
        <f>SUMPRODUCT((Artikelstamm!$H$3:$H$327=$A71)*Artikelstamm!$K$3:$K$327*Artikelstamm!$AE$3:$AE$327)</f>
        <v/>
      </c>
      <c r="D71" s="34">
        <f>SUMIF(Artikelstamm!$H$3:$H$327,$A71,Artikelstamm!$U$3:$U$327)</f>
        <v/>
      </c>
    </row>
    <row r="72">
      <c r="A72" s="26" t="inlineStr">
        <is>
          <t>Material / Turnraum</t>
        </is>
      </c>
      <c r="B72" s="33">
        <f>COUNTIF(Artikelstamm!$H$3:$H$327,$A72)</f>
        <v/>
      </c>
      <c r="C72" s="34">
        <f>SUMPRODUCT((Artikelstamm!$H$3:$H$327=$A72)*Artikelstamm!$K$3:$K$327*Artikelstamm!$AE$3:$AE$327)</f>
        <v/>
      </c>
      <c r="D72" s="34">
        <f>SUMIF(Artikelstamm!$H$3:$H$327,$A72,Artikelstamm!$U$3:$U$327)</f>
        <v/>
      </c>
    </row>
    <row r="73">
      <c r="A73" s="26" t="inlineStr">
        <is>
          <t>Personal</t>
        </is>
      </c>
      <c r="B73" s="33">
        <f>COUNTIF(Artikelstamm!$H$3:$H$327,$A73)</f>
        <v/>
      </c>
      <c r="C73" s="34">
        <f>SUMPRODUCT((Artikelstamm!$H$3:$H$327=$A73)*Artikelstamm!$K$3:$K$327*Artikelstamm!$AE$3:$AE$327)</f>
        <v/>
      </c>
      <c r="D73" s="34">
        <f>SUMIF(Artikelstamm!$H$3:$H$327,$A73,Artikelstamm!$U$3:$U$327)</f>
        <v/>
      </c>
    </row>
    <row r="74">
      <c r="A74" s="26" t="inlineStr">
        <is>
          <t>Ruhe- / Schlafraum</t>
        </is>
      </c>
      <c r="B74" s="33">
        <f>COUNTIF(Artikelstamm!$H$3:$H$327,$A74)</f>
        <v/>
      </c>
      <c r="C74" s="34">
        <f>SUMPRODUCT((Artikelstamm!$H$3:$H$327=$A74)*Artikelstamm!$K$3:$K$327*Artikelstamm!$AE$3:$AE$327)</f>
        <v/>
      </c>
      <c r="D74" s="34">
        <f>SUMIF(Artikelstamm!$H$3:$H$327,$A74,Artikelstamm!$U$3:$U$327)</f>
        <v/>
      </c>
    </row>
    <row r="75">
      <c r="A75" s="26" t="inlineStr">
        <is>
          <t>Schlafraum 4</t>
        </is>
      </c>
      <c r="B75" s="33">
        <f>COUNTIF(Artikelstamm!$H$3:$H$327,$A75)</f>
        <v/>
      </c>
      <c r="C75" s="34">
        <f>SUMPRODUCT((Artikelstamm!$H$3:$H$327=$A75)*Artikelstamm!$K$3:$K$327*Artikelstamm!$AE$3:$AE$327)</f>
        <v/>
      </c>
      <c r="D75" s="34">
        <f>SUMIF(Artikelstamm!$H$3:$H$327,$A75,Artikelstamm!$U$3:$U$327)</f>
        <v/>
      </c>
    </row>
    <row r="76">
      <c r="A76" s="26" t="inlineStr">
        <is>
          <t>Schlafraum 5</t>
        </is>
      </c>
      <c r="B76" s="33">
        <f>COUNTIF(Artikelstamm!$H$3:$H$327,$A76)</f>
        <v/>
      </c>
      <c r="C76" s="34">
        <f>SUMPRODUCT((Artikelstamm!$H$3:$H$327=$A76)*Artikelstamm!$K$3:$K$327*Artikelstamm!$AE$3:$AE$327)</f>
        <v/>
      </c>
      <c r="D76" s="34">
        <f>SUMIF(Artikelstamm!$H$3:$H$327,$A76,Artikelstamm!$U$3:$U$327)</f>
        <v/>
      </c>
    </row>
    <row r="77">
      <c r="A77" s="26" t="inlineStr">
        <is>
          <t>Speisesaal</t>
        </is>
      </c>
      <c r="B77" s="33">
        <f>COUNTIF(Artikelstamm!$H$3:$H$327,$A77)</f>
        <v/>
      </c>
      <c r="C77" s="34">
        <f>SUMPRODUCT((Artikelstamm!$H$3:$H$327=$A77)*Artikelstamm!$K$3:$K$327*Artikelstamm!$AE$3:$AE$327)</f>
        <v/>
      </c>
      <c r="D77" s="34">
        <f>SUMIF(Artikelstamm!$H$3:$H$327,$A77,Artikelstamm!$U$3:$U$327)</f>
        <v/>
      </c>
    </row>
    <row r="78">
      <c r="A78" s="26" t="inlineStr">
        <is>
          <t>Terrasse</t>
        </is>
      </c>
      <c r="B78" s="33">
        <f>COUNTIF(Artikelstamm!$H$3:$H$327,$A78)</f>
        <v/>
      </c>
      <c r="C78" s="34">
        <f>SUMPRODUCT((Artikelstamm!$H$3:$H$327=$A78)*Artikelstamm!$K$3:$K$327*Artikelstamm!$AE$3:$AE$327)</f>
        <v/>
      </c>
      <c r="D78" s="34">
        <f>SUMIF(Artikelstamm!$H$3:$H$327,$A78,Artikelstamm!$U$3:$U$327)</f>
        <v/>
      </c>
    </row>
    <row r="79">
      <c r="A79" s="26" t="inlineStr">
        <is>
          <t>Treppenraum 1</t>
        </is>
      </c>
      <c r="B79" s="33">
        <f>COUNTIF(Artikelstamm!$H$3:$H$327,$A79)</f>
        <v/>
      </c>
      <c r="C79" s="34">
        <f>SUMPRODUCT((Artikelstamm!$H$3:$H$327=$A79)*Artikelstamm!$K$3:$K$327*Artikelstamm!$AE$3:$AE$327)</f>
        <v/>
      </c>
      <c r="D79" s="34">
        <f>SUMIF(Artikelstamm!$H$3:$H$327,$A79,Artikelstamm!$U$3:$U$327)</f>
        <v/>
      </c>
    </row>
    <row r="80">
      <c r="A80" s="26" t="inlineStr">
        <is>
          <t>Turnraum</t>
        </is>
      </c>
      <c r="B80" s="33">
        <f>COUNTIF(Artikelstamm!$H$3:$H$327,$A80)</f>
        <v/>
      </c>
      <c r="C80" s="34">
        <f>SUMPRODUCT((Artikelstamm!$H$3:$H$327=$A80)*Artikelstamm!$K$3:$K$327*Artikelstamm!$AE$3:$AE$327)</f>
        <v/>
      </c>
      <c r="D80" s="34">
        <f>SUMIF(Artikelstamm!$H$3:$H$327,$A80,Artikelstamm!$U$3:$U$327)</f>
        <v/>
      </c>
    </row>
    <row r="81">
      <c r="A81" s="26" t="inlineStr">
        <is>
          <t>WC</t>
        </is>
      </c>
      <c r="B81" s="33">
        <f>COUNTIF(Artikelstamm!$H$3:$H$327,$A81)</f>
        <v/>
      </c>
      <c r="C81" s="34">
        <f>SUMPRODUCT((Artikelstamm!$H$3:$H$327=$A81)*Artikelstamm!$K$3:$K$327*Artikelstamm!$AE$3:$AE$327)</f>
        <v/>
      </c>
      <c r="D81" s="34">
        <f>SUMIF(Artikelstamm!$H$3:$H$327,$A81,Artikelstamm!$U$3:$U$327)</f>
        <v/>
      </c>
    </row>
    <row r="82">
      <c r="A82" s="26" t="inlineStr">
        <is>
          <t>WC Personal</t>
        </is>
      </c>
      <c r="B82" s="33">
        <f>COUNTIF(Artikelstamm!$H$3:$H$327,$A82)</f>
        <v/>
      </c>
      <c r="C82" s="34">
        <f>SUMPRODUCT((Artikelstamm!$H$3:$H$327=$A82)*Artikelstamm!$K$3:$K$327*Artikelstamm!$AE$3:$AE$327)</f>
        <v/>
      </c>
      <c r="D82" s="34">
        <f>SUMIF(Artikelstamm!$H$3:$H$327,$A82,Artikelstamm!$U$3:$U$327)</f>
        <v/>
      </c>
    </row>
    <row r="83">
      <c r="A83" s="26" t="inlineStr">
        <is>
          <t>Werkraum</t>
        </is>
      </c>
      <c r="B83" s="33">
        <f>COUNTIF(Artikelstamm!$H$3:$H$327,$A83)</f>
        <v/>
      </c>
      <c r="C83" s="34">
        <f>SUMPRODUCT((Artikelstamm!$H$3:$H$327=$A83)*Artikelstamm!$K$3:$K$327*Artikelstamm!$AE$3:$AE$327)</f>
        <v/>
      </c>
      <c r="D83" s="34">
        <f>SUMIF(Artikelstamm!$H$3:$H$327,$A83,Artikelstamm!$U$3:$U$327)</f>
        <v/>
      </c>
    </row>
    <row r="84">
      <c r="A84" s="28" t="inlineStr">
        <is>
          <t>Summe</t>
        </is>
      </c>
      <c r="B84" s="35">
        <f>SUM(B55:B83)</f>
        <v/>
      </c>
      <c r="C84" s="36">
        <f>SUM(C55:C83)</f>
        <v/>
      </c>
      <c r="D84" s="36">
        <f>SUM(D55:D83)</f>
        <v/>
      </c>
    </row>
    <row r="86">
      <c r="A86" s="25" t="inlineStr">
        <is>
          <t>Nach Verkaufskanal</t>
        </is>
      </c>
    </row>
    <row r="87">
      <c r="A87" s="32" t="inlineStr">
        <is>
          <t>Verkaufskanal</t>
        </is>
      </c>
      <c r="B87" s="32" t="inlineStr">
        <is>
          <t>Positionen</t>
        </is>
      </c>
      <c r="C87" s="32" t="inlineStr">
        <is>
          <t>Umsatz netto</t>
        </is>
      </c>
    </row>
    <row r="88">
      <c r="A88" s="26" t="inlineStr">
        <is>
          <t>Klinik</t>
        </is>
      </c>
      <c r="B88" s="33">
        <f>COUNTIF(Artikelstamm!$AC$3:$AC$327,$A88)</f>
        <v/>
      </c>
      <c r="C88" s="34">
        <f>SUMPRODUCT((Artikelstamm!$AC$3:$AC$327=$A88)*Artikelstamm!$K$3:$K$327*Artikelstamm!$AE$3:$AE$327)</f>
        <v/>
      </c>
    </row>
    <row r="89">
      <c r="A89" s="26" t="inlineStr">
        <is>
          <t>Kleinanzeigen</t>
        </is>
      </c>
      <c r="B89" s="33">
        <f>COUNTIF(Artikelstamm!$AC$3:$AC$327,$A89)</f>
        <v/>
      </c>
      <c r="C89" s="34">
        <f>SUMPRODUCT((Artikelstamm!$AC$3:$AC$327=$A89)*Artikelstamm!$K$3:$K$327*Artikelstamm!$AE$3:$AE$327)</f>
        <v/>
      </c>
    </row>
    <row r="90">
      <c r="A90" s="26" t="inlineStr">
        <is>
          <t>eBay</t>
        </is>
      </c>
      <c r="B90" s="33">
        <f>COUNTIF(Artikelstamm!$AC$3:$AC$327,$A90)</f>
        <v/>
      </c>
      <c r="C90" s="34">
        <f>SUMPRODUCT((Artikelstamm!$AC$3:$AC$327=$A90)*Artikelstamm!$K$3:$K$327*Artikelstamm!$AE$3:$AE$327)</f>
        <v/>
      </c>
    </row>
    <row r="91">
      <c r="A91" s="26" t="inlineStr">
        <is>
          <t>Direkt</t>
        </is>
      </c>
      <c r="B91" s="33">
        <f>COUNTIF(Artikelstamm!$AC$3:$AC$327,$A91)</f>
        <v/>
      </c>
      <c r="C91" s="34">
        <f>SUMPRODUCT((Artikelstamm!$AC$3:$AC$327=$A91)*Artikelstamm!$K$3:$K$327*Artikelstamm!$AE$3:$AE$327)</f>
        <v/>
      </c>
    </row>
    <row r="92">
      <c r="A92" s="26" t="inlineStr">
        <is>
          <t>Händler</t>
        </is>
      </c>
      <c r="B92" s="33">
        <f>COUNTIF(Artikelstamm!$AC$3:$AC$327,$A92)</f>
        <v/>
      </c>
      <c r="C92" s="34">
        <f>SUMPRODUCT((Artikelstamm!$AC$3:$AC$327=$A92)*Artikelstamm!$K$3:$K$327*Artikelstamm!$AE$3:$AE$327)</f>
        <v/>
      </c>
    </row>
    <row r="93">
      <c r="A93" s="26" t="inlineStr">
        <is>
          <t>Verkaufstag</t>
        </is>
      </c>
      <c r="B93" s="33">
        <f>COUNTIF(Artikelstamm!$AC$3:$AC$327,$A93)</f>
        <v/>
      </c>
      <c r="C93" s="34">
        <f>SUMPRODUCT((Artikelstamm!$AC$3:$AC$327=$A93)*Artikelstamm!$K$3:$K$327*Artikelstamm!$AE$3:$AE$327)</f>
        <v/>
      </c>
    </row>
    <row r="94">
      <c r="A94" s="28" t="inlineStr">
        <is>
          <t>Summe</t>
        </is>
      </c>
      <c r="B94" s="35">
        <f>SUM(B88:B93)</f>
        <v/>
      </c>
      <c r="C94" s="36">
        <f>SUM(C88:C93)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2026-09-23T12:58:36Z</dcterms:created>
  <dcterms:modified xmlns:dcterms="http://purl.org/dc/terms/" xmlns:xsi="http://www.w3.org/2001/XMLSchema-instance" xsi:type="dcterms:W3CDTF">2026-09-23T12:58:37Z</dcterms:modified>
</cp:coreProperties>
</file>