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'Artikelstamm'!$A$2:$AN$419</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41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Würfel. Sie stehen inzwischen im Atelier (BA08) – die Nummer BE01-03 bleibt.</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mehrere beleuchtete Ringe in unterschiedlichen Größen an dünnen Seilen, an einem gemeinsamen Deckenbaldachin.</t>
        </is>
      </c>
      <c r="G28" s="15" t="inlineStr">
        <is>
          <t>Leuchten</t>
        </is>
      </c>
      <c r="H28" s="15" t="inlineStr">
        <is>
          <t>Büro / Besprechung</t>
        </is>
      </c>
      <c r="I28" s="15" t="inlineStr">
        <is>
          <t>A</t>
        </is>
      </c>
      <c r="J28" s="17" t="n">
        <v>4</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4 Leuchten. Auf dem Foto ist eine davon zu sehen.</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inlineStr">
        <is>
          <t>Von der Nutzerin am 24.09.2026 geprueft: kommt nicht in den Katalog. Die Zeile bleibt nur zur Nachvollziehbarkeit der alten K-Nummer stehen.</t>
        </is>
      </c>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inlineStr">
        <is>
          <t>Von der Nutzerin am 24.09.2026 geprueft: kommt nicht in den Katalog. Die Zeile bleibt nur zur Nachvollziehbarkeit der alten K-Nummer stehen.</t>
        </is>
      </c>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inlineStr">
        <is>
          <t>Von der Nutzerin am 24.09.2026 geprueft: kommt nicht in den Katalog. Die Zeile bleibt nur zur Nachvollziehbarkeit der alten K-Nummer stehen.</t>
        </is>
      </c>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inlineStr">
        <is>
          <t>Von der Nutzerin am 24.09.2026 geprueft: kommt nicht in den Katalog. Die Zeile bleibt nur zur Nachvollziehbarkeit der alten K-Nummer stehen.</t>
        </is>
      </c>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inlineStr">
        <is>
          <t>Von der Nutzerin am 24.09.2026 geprueft: kommt nicht in den Katalog. Die Zeile bleibt nur zur Nachvollziehbarkeit der alten K-Nummer stehen.</t>
        </is>
      </c>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inlineStr">
        <is>
          <t>Von der Nutzerin am 24.09.2026 geprueft: kommt nicht in den Katalog. Die Zeile bleibt nur zur Nachvollziehbarkeit der alten K-Nummer stehen.</t>
        </is>
      </c>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inlineStr">
        <is>
          <t>Von der Nutzerin am 24.09.2026 geprueft: kommt nicht in den Katalog. Die Zeile bleibt nur zur Nachvollziehbarkeit der alten K-Nummer stehen.</t>
        </is>
      </c>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inlineStr">
        <is>
          <t>Von der Nutzerin am 24.09.2026 geprueft: kommt nicht in den Katalog. Die Zeile bleibt nur zur Nachvollziehbarkeit der alten K-Nummer stehen.</t>
        </is>
      </c>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inlineStr">
        <is>
          <t>Von der Nutzerin am 24.09.2026 geprueft: kommt nicht in den Katalog. Die Zeile bleibt nur zur Nachvollziehbarkeit der alten K-Nummer stehen.</t>
        </is>
      </c>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inlineStr">
        <is>
          <t>Von der Nutzerin am 24.09.2026 geprueft: kommt nicht in den Katalog. Die Zeile bleibt nur zur Nachvollziehbarkeit der alten K-Nummer stehen.</t>
        </is>
      </c>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inlineStr">
        <is>
          <t>Von der Nutzerin am 24.09.2026 geprueft: kommt nicht in den Katalog. Die Zeile bleibt nur zur Nachvollziehbarkeit der alten K-Nummer stehen.</t>
        </is>
      </c>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inlineStr">
        <is>
          <t>Doppelung - dieselbe Ware steht unter NE05-04 und NE05-05. Von der Nutzerin am 24.09.2026 bestaetigt.</t>
        </is>
      </c>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inlineStr">
        <is>
          <t>Doppelung - dieselbe Ware steht unter NE05-10 beziehungsweise NE05-12. Von der Nutzerin am 24.09.2026 bestaetigt.</t>
        </is>
      </c>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inlineStr">
        <is>
          <t>Doppelung - dieselbe Ware steht unter NE05-09. Von der Nutzerin am 24.09.2026 bestaetigt.</t>
        </is>
      </c>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inlineStr">
        <is>
          <t>Doppelung - dieselbe Ware steht unter NE05-14. Von der Nutzerin am 24.09.2026 bestaetigt.</t>
        </is>
      </c>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inlineStr">
        <is>
          <t>Von der Nutzerin am 24.09.2026 geprueft: kommt nicht in den Katalog. Die Zeile bleibt nur zur Nachvollziehbarkeit der alten K-Nummer stehen.</t>
        </is>
      </c>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inlineStr">
        <is>
          <t>Von der Nutzerin am 24.09.2026 geprueft: kommt nicht in den Katalog. Die Zeile bleibt nur zur Nachvollziehbarkeit der alten K-Nummer stehen.</t>
        </is>
      </c>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inlineStr">
        <is>
          <t>Von der Nutzerin am 24.09.2026 geprueft: kommt nicht in den Katalog. Die Zeile bleibt nur zur Nachvollziehbarkeit der alten K-Nummer stehen.</t>
        </is>
      </c>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BE10-09</t>
        </is>
      </c>
      <c r="B61" s="15" t="inlineStr">
        <is>
          <t>K-038</t>
        </is>
      </c>
      <c r="C61" s="15" t="n"/>
      <c r="D61" s="15" t="inlineStr">
        <is>
          <t>BE10</t>
        </is>
      </c>
      <c r="E61" s="15" t="inlineStr">
        <is>
          <t>Konsolentisch schwarz mit Glasablagen</t>
        </is>
      </c>
      <c r="F61" s="16" t="inlineStr">
        <is>
          <t>Schmaler Konsolentisch mit schwarzem Metallrahmen und zwei Ablagen aus Glas.</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ja</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Tisch. Auf Foto F-024 steht er im Raum.</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inlineStr">
        <is>
          <t>Von der Nutzerin am 24.09.2026 geprueft: kommt nicht in den Katalog. Die Zeile bleibt nur zur Nachvollziehbarkeit der alten K-Nummer stehen.</t>
        </is>
      </c>
    </row>
    <row r="63" ht="30" customHeight="1">
      <c r="A63" s="15" t="inlineStr">
        <is>
          <t>BE10-10</t>
        </is>
      </c>
      <c r="B63" s="15" t="inlineStr">
        <is>
          <t>K-041</t>
        </is>
      </c>
      <c r="C63" s="15" t="n"/>
      <c r="D63" s="15" t="inlineStr">
        <is>
          <t>BE10</t>
        </is>
      </c>
      <c r="E63" s="15" t="inlineStr">
        <is>
          <t>Kommode Holz, antik</t>
        </is>
      </c>
      <c r="F63" s="16" t="inlineStr">
        <is>
          <t>Alte Holzkommode beziehungsweise Sekretär in dunklem Holz. Die linke Tür schließt nicht mehr; der übrige Zustand ist gut.</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ja</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Kommode. Auf Foto F-025 steht sie im Raum.</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inlineStr">
        <is>
          <t>Ersetzt durch BE10-05. Die Zeile bleibt nur zur Nachvollziehbarkeit der alten K-Nummer stehen.</t>
        </is>
      </c>
    </row>
    <row r="65" ht="30" customHeight="1">
      <c r="A65" s="15" t="inlineStr">
        <is>
          <t>BE10-11</t>
        </is>
      </c>
      <c r="B65" s="15" t="inlineStr">
        <is>
          <t>K-045</t>
        </is>
      </c>
      <c r="C65" s="15" t="n"/>
      <c r="D65" s="15" t="inlineStr">
        <is>
          <t>BE10</t>
        </is>
      </c>
      <c r="E65" s="15" t="inlineStr">
        <is>
          <t>Bürodrehstuhl weiß</t>
        </is>
      </c>
      <c r="F65" s="16" t="inlineStr">
        <is>
          <t>Bürodrehstuhl in Weiß auf fünf Rollen, Sitzhöhe verstellbar.</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ja</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Stuhl. Auf Foto F-027 steht er im Raum.</t>
        </is>
      </c>
      <c r="AN65" s="22" t="n"/>
    </row>
    <row r="66" ht="30" customHeight="1">
      <c r="A66" s="15" t="inlineStr">
        <is>
          <t>BE10-12</t>
        </is>
      </c>
      <c r="B66" s="15" t="inlineStr">
        <is>
          <t>K-046</t>
        </is>
      </c>
      <c r="C66" s="15" t="n"/>
      <c r="D66" s="15" t="inlineStr">
        <is>
          <t>BE10</t>
        </is>
      </c>
      <c r="E66" s="15" t="inlineStr">
        <is>
          <t>Aktenschrank weiß</t>
        </is>
      </c>
      <c r="F66" s="16" t="inlineStr">
        <is>
          <t>Büroschrank in Weiß mit Türen und Einlegeböden.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ja</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Auf Foto F-027 stehen sie im Raum.</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inlineStr">
        <is>
          <t>Von der Nutzerin am 24.09.2026 geprueft: kommt nicht in den Katalog. Die Zeile bleibt nur zur Nachvollziehbarkeit der alten K-Nummer stehen.</t>
        </is>
      </c>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inlineStr">
        <is>
          <t>Von der Nutzerin am 24.09.2026 geprueft: kommt nicht in den Katalog. Die Zeile bleibt nur zur Nachvollziehbarkeit der alten K-Nummer stehen.</t>
        </is>
      </c>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inlineStr">
        <is>
          <t>Von der Nutzerin am 24.09.2026 geprueft: kommt nicht in den Katalog. Die Zeile bleibt nur zur Nachvollziehbarkeit der alten K-Nummer stehen.</t>
        </is>
      </c>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inlineStr">
        <is>
          <t>Von der Nutzerin am 24.09.2026 geprueft: kommt nicht in den Katalog. Die Zeile bleibt nur zur Nachvollziehbarkeit der alten K-Nummer stehen.</t>
        </is>
      </c>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inlineStr">
        <is>
          <t>Von der Nutzerin am 24.09.2026 geprueft: kommt nicht in den Katalog. Die Zeile bleibt nur zur Nachvollziehbarkeit der alten K-Nummer stehen.</t>
        </is>
      </c>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inlineStr">
        <is>
          <t>Von der Nutzerin am 24.09.2026 geprueft: kommt nicht in den Katalog. Die Zeile bleibt nur zur Nachvollziehbarkeit der alten K-Nummer stehen.</t>
        </is>
      </c>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inlineStr">
        <is>
          <t>Von der Nutzerin am 24.09.2026 geprueft: kommt nicht in den Katalog. Die Zeile bleibt nur zur Nachvollziehbarkeit der alten K-Nummer stehen.</t>
        </is>
      </c>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inlineStr">
        <is>
          <t>Von der Nutzerin am 24.09.2026 geprueft: kommt nicht in den Katalog. Die Zeile bleibt nur zur Nachvollziehbarkeit der alten K-Nummer stehen.</t>
        </is>
      </c>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inlineStr">
        <is>
          <t>Von der Nutzerin am 24.09.2026 geprueft: kommt nicht in den Katalog. Die Zeile bleibt nur zur Nachvollziehbarkeit der alten K-Nummer stehen.</t>
        </is>
      </c>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inlineStr">
        <is>
          <t>Ersetzt durch BA04-05. Die Zeile bleibt nur zur Nachvollziehbarkeit der alten K-Nummer stehen.</t>
        </is>
      </c>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inlineStr">
        <is>
          <t>Von der Nutzerin am 24.09.2026 geprueft: kommt nicht in den Katalog. Die Zeile bleibt nur zur Nachvollziehbarkeit der alten K-Nummer stehen.</t>
        </is>
      </c>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inlineStr">
        <is>
          <t>Von der Nutzerin am 24.09.2026 geprueft: kommt nicht in den Katalog. Die Zeile bleibt nur zur Nachvollziehbarkeit der alten K-Nummer stehen.</t>
        </is>
      </c>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inlineStr">
        <is>
          <t>Von der Nutzerin am 24.09.2026 geprueft: kommt nicht in den Katalog. Die Zeile bleibt nur zur Nachvollziehbarkeit der alten K-Nummer stehen.</t>
        </is>
      </c>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inlineStr">
        <is>
          <t>Von der Nutzerin am 24.09.2026 geprueft: kommt nicht in den Katalog. Die Zeile bleibt nur zur Nachvollziehbarkeit der alten K-Nummer stehen.</t>
        </is>
      </c>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inlineStr">
        <is>
          <t>Von der Nutzerin am 24.09.2026 geprueft: kommt nicht in den Katalog. Die Zeile bleibt nur zur Nachvollziehbarkeit der alten K-Nummer stehen.</t>
        </is>
      </c>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inlineStr">
        <is>
          <t>Von der Nutzerin am 24.09.2026 geprueft: kommt nicht in den Katalog. Die Zeile bleibt nur zur Nachvollziehbarkeit der alten K-Nummer stehen.</t>
        </is>
      </c>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inlineStr">
        <is>
          <t>Ersetzt durch TE01-01. Die Zeile bleibt nur zur Nachvollziehbarkeit der alten K-Nummer stehen.</t>
        </is>
      </c>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inlineStr">
        <is>
          <t>Ersetzt durch TE01-02. Die Zeile bleibt nur zur Nachvollziehbarkeit der alten K-Nummer stehen.</t>
        </is>
      </c>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inlineStr">
        <is>
          <t>Von der Nutzerin am 24.09.2026 geprueft: kommt nicht in den Katalog. Die Zeile bleibt nur zur Nachvollziehbarkeit der alten K-Nummer stehen.</t>
        </is>
      </c>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inlineStr">
        <is>
          <t>Ersetzt durch TE02-02. Die Zeile bleibt nur zur Nachvollziehbarkeit der alten K-Nummer stehen.</t>
        </is>
      </c>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inlineStr">
        <is>
          <t>Ersetzt durch TE02-08. Die Zeile bleibt nur zur Nachvollziehbarkeit der alten K-Nummer stehen.</t>
        </is>
      </c>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inlineStr">
        <is>
          <t>Von der Nutzerin am 24.09.2026 geprueft: kommt nicht in den Katalog. Die Zeile bleibt nur zur Nachvollziehbarkeit der alten K-Nummer stehen.</t>
        </is>
      </c>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inlineStr">
        <is>
          <t>Ersetzt durch TE02-09. Die Zeile bleibt nur zur Nachvollziehbarkeit der alten K-Nummer stehen.</t>
        </is>
      </c>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inlineStr">
        <is>
          <t>Von der Nutzerin am 24.09.2026 geprueft: kommt nicht in den Katalog. Die Zeile bleibt nur zur Nachvollziehbarkeit der alten K-Nummer stehen.</t>
        </is>
      </c>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inlineStr">
        <is>
          <t>Von der Nutzerin am 24.09.2026 geprueft: kommt nicht in den Katalog. Die Zeile bleibt nur zur Nachvollziehbarkeit der alten K-Nummer stehen.</t>
        </is>
      </c>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nein</t>
        </is>
      </c>
      <c r="Q104" s="19" t="n"/>
      <c r="R104" s="20" t="n"/>
      <c r="S104" s="20" t="n">
        <v>35</v>
      </c>
      <c r="T104" s="19" t="inlineStr">
        <is>
          <t>VHB</t>
        </is>
      </c>
      <c r="U104" s="21">
        <f>L104*S104</f>
        <v/>
      </c>
      <c r="V104" s="15" t="inlineStr">
        <is>
          <t>Versand möglich</t>
        </is>
      </c>
      <c r="W104" s="15" t="inlineStr">
        <is>
          <t>F-034</t>
        </is>
      </c>
      <c r="X104" s="19" t="inlineStr">
        <is>
          <t>nein</t>
        </is>
      </c>
      <c r="Y104" s="19" t="n"/>
      <c r="Z104" s="19" t="inlineStr">
        <is>
          <t>entfällt</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inlineStr">
        <is>
          <t>Nicht mehr vorhanden – von der Nutzerin am 24.09.2026 bestaetigt.</t>
        </is>
      </c>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8</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8 Tische, im Raum nachgezählt.</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9</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9 Bänke, im Raum nachgezählt.</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inlineStr">
        <is>
          <t>BE01-08</t>
        </is>
      </c>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Es trägt zusätzlich den Post-it BE01-08 aus dem Flur 1 des Bestandsgebäudes – es ist nur ein Bild, nicht zwei. Eine Nahaufnahme steht auf Foto F-493.</t>
        </is>
      </c>
      <c r="AN118" s="22" t="inlineStr">
        <is>
          <t>Dasselbe Bild wurde zweimal beschriftet: NU01-04 und BE01-08. Menge bleibt 1.</t>
        </is>
      </c>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2</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2 Boxen: eine auf der Terrasse und eine auf der Dachterrasse. Die Box auf der Dachterrasse ist auf Foto F-108 zu sehen.</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 NE05-10</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40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40 Stühle insgesamt: 10 im Gruppenraum 5 und im Nachbarraum NU03, 6 im Schlafraum 5 (NU04-12), 15 im Flur 2 im Untergeschoss (BU02-04) und 9 im Speisesaal (NE05-10). Die 15 Stühle aus dem Flur 2 sind stark gebraucht. Ein Stuhl aus dem Speisesaal ist auf Foto F-477 zu sehen.</t>
        </is>
      </c>
      <c r="AN156" s="22" t="inlineStr">
        <is>
          <t>Zusammengefasste Position ueber fuenf Raeume. Post-it-Nummern: NU04-12, BU02-04, NE05-10.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3 Stühle: zwei in Rosa und einer in Grün. Insgesamt stehen 68 Mammut-Kinderstühle zum Verkauf: 20 rot (TE02-09), 20 weiß (TE02-13 und GA01-06), 16 grün (TE02-10 und NU02-14), 6 rosa (TE02-14, GA01-08 und NU02-14) und 6 blau (GA01-07). Sie stehen als eigene Positionen, weil Zustand und Standort sich unterscheiden.</t>
        </is>
      </c>
      <c r="AN166" s="22" t="n"/>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Vitra Eames Elephant, große Ausführung</t>
        </is>
      </c>
      <c r="F170" s="16"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G170" s="15" t="inlineStr">
        <is>
          <t>Deko</t>
        </is>
      </c>
      <c r="H170" s="15" t="inlineStr">
        <is>
          <t>Gruppenraum 5</t>
        </is>
      </c>
      <c r="I170" s="15" t="inlineStr">
        <is>
          <t>A</t>
        </is>
      </c>
      <c r="J170" s="17" t="n">
        <v>3</v>
      </c>
      <c r="K170" s="17" t="n"/>
      <c r="L170" s="18">
        <f>J170-IF(K170="",0,K170)</f>
        <v/>
      </c>
      <c r="M170" s="15" t="inlineStr">
        <is>
          <t>Stück</t>
        </is>
      </c>
      <c r="N170" s="15" t="inlineStr">
        <is>
          <t>gebraucht</t>
        </is>
      </c>
      <c r="O170" s="19" t="n"/>
      <c r="P170" s="19" t="inlineStr">
        <is>
          <t>ja</t>
        </is>
      </c>
      <c r="Q170" s="19" t="n"/>
      <c r="R170" s="20" t="n"/>
      <c r="S170" s="20" t="n">
        <v>220</v>
      </c>
      <c r="T170" s="19" t="inlineStr">
        <is>
          <t>VHB</t>
        </is>
      </c>
      <c r="U170" s="21">
        <f>L170*S170</f>
        <v/>
      </c>
      <c r="V170" s="15" t="inlineStr">
        <is>
          <t>nur Abholung</t>
        </is>
      </c>
      <c r="W170" s="15" t="inlineStr">
        <is>
          <t>F-163</t>
        </is>
      </c>
      <c r="X170" s="19" t="inlineStr">
        <is>
          <t>ja</t>
        </is>
      </c>
      <c r="Y170" s="19" t="n"/>
      <c r="Z170" s="19" t="inlineStr">
        <is>
          <t>verfügbar</t>
        </is>
      </c>
      <c r="AA170" s="19" t="inlineStr">
        <is>
          <t>Vitra</t>
        </is>
      </c>
      <c r="AB170" s="19" t="n"/>
      <c r="AC170" s="19" t="n"/>
      <c r="AD170" s="19" t="n"/>
      <c r="AE170" s="20" t="n"/>
      <c r="AF170" s="21">
        <f>IF(K170="","",K170*AE170)</f>
        <v/>
      </c>
      <c r="AG170" s="19" t="n"/>
      <c r="AH170" s="19" t="n"/>
      <c r="AI170" s="19" t="n"/>
      <c r="AJ170" s="19" t="n"/>
      <c r="AK170" s="19" t="n"/>
      <c r="AL170" s="19" t="n"/>
      <c r="AM170" s="16" t="inlineStr">
        <is>
          <t>3 Elefanten in der großen Ausführung: 1 in Weiß und 2 in Schwarz. Das Plättchen am schwarzen Exemplar ist auf Foto F-486 zu sehen, das am weißen auf Foto F-488. Die kleine Ausführung steht unter NU02-25.</t>
        </is>
      </c>
      <c r="AN170" s="22" t="n"/>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Zusammengefasste Position über zwei Räume – Post-it-Nummer: BU04-05. Die Nutzerin hat am 24.09.2026 bestaetigt, dass keine weiteren Hochstuehle aus anderen Raeumen dazukommen.</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inlineStr">
        <is>
          <t>NE05-11</t>
        </is>
      </c>
      <c r="D191" s="15" t="inlineStr">
        <is>
          <t>NU04</t>
        </is>
      </c>
      <c r="E191" s="15" t="inlineStr">
        <is>
          <t>Kindertisch rund weiß mit Holzbeinen</t>
        </is>
      </c>
      <c r="F191" s="16" t="inlineStr">
        <is>
          <t>Runder Kindertisch, weiße Platte auf konischen Beinen aus massivem Holz.</t>
        </is>
      </c>
      <c r="G191" s="15" t="inlineStr">
        <is>
          <t>Kita-Ausstattung</t>
        </is>
      </c>
      <c r="H191" s="15" t="inlineStr">
        <is>
          <t>Schlafraum 5</t>
        </is>
      </c>
      <c r="I191" s="15" t="inlineStr">
        <is>
          <t>B</t>
        </is>
      </c>
      <c r="J191" s="17" t="n">
        <v>5</v>
      </c>
      <c r="K191" s="17" t="n"/>
      <c r="L191" s="18">
        <f>J191-IF(K191="",0,K191)</f>
        <v/>
      </c>
      <c r="M191" s="15" t="inlineStr">
        <is>
          <t>Stück</t>
        </is>
      </c>
      <c r="N191" s="15" t="inlineStr">
        <is>
          <t>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5 Tische: 1 im Schlafraum 5 (NU04-13) und 4 im Speisesaal (NE05-11). Bei dem Tisch im Schlafraum 5 ist die Plattenkante an einer Stelle beschädigt und dunkel abgestoßen; ein Tisch aus dem Speisesaal ist auf Foto F-478 zu sehen.</t>
        </is>
      </c>
      <c r="AN191" s="22" t="inlineStr">
        <is>
          <t>Zusammengefasste Position über zwei Räume – Post-it-Nummer: NE05-11.</t>
        </is>
      </c>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Vitra Panton Chair schwarz, Erwachsenengröße</t>
        </is>
      </c>
      <c r="F198" s="16" t="inlineStr">
        <is>
          <t>Panton Chair von Vitra, Entwurf Verner Panton: 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220</v>
      </c>
      <c r="T198" s="19" t="inlineStr">
        <is>
          <t>VHB</t>
        </is>
      </c>
      <c r="U198" s="21">
        <f>L198*S198</f>
        <v/>
      </c>
      <c r="V198" s="15" t="inlineStr">
        <is>
          <t>nur Abholung</t>
        </is>
      </c>
      <c r="W198" s="15" t="inlineStr">
        <is>
          <t>F-208</t>
        </is>
      </c>
      <c r="X198" s="19" t="inlineStr">
        <is>
          <t>ja</t>
        </is>
      </c>
      <c r="Y198" s="19" t="n"/>
      <c r="Z198" s="19" t="inlineStr">
        <is>
          <t>verfügbar</t>
        </is>
      </c>
      <c r="AA198" s="19" t="inlineStr">
        <is>
          <t>Vitra</t>
        </is>
      </c>
      <c r="AB198" s="19" t="n"/>
      <c r="AC198" s="19" t="n"/>
      <c r="AD198" s="19" t="n"/>
      <c r="AE198" s="20" t="n"/>
      <c r="AF198" s="21">
        <f>IF(K198="","",K198*AE198)</f>
        <v/>
      </c>
      <c r="AG198" s="19" t="n"/>
      <c r="AH198" s="19" t="n"/>
      <c r="AI198" s="19" t="n"/>
      <c r="AJ198" s="19" t="n"/>
      <c r="AK198" s="19" t="n"/>
      <c r="AL198" s="19" t="n"/>
      <c r="AM198" s="16" t="inlineStr">
        <is>
          <t>1 Stuhl. Weitere Panton Chairs stehen unter NE05-04 (rot, Erwachsenengröße) sowie NE05-05 und NE05-12 (Kindergröße).</t>
        </is>
      </c>
      <c r="AN198" s="22" t="n"/>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Stokke Steps Treppenhochstuhl, weiß mit Buchengestell</t>
        </is>
      </c>
      <c r="F201" s="16" t="inlineStr">
        <is>
          <t>Stokke Steps: mitwachsender Treppenhochstuhl, Seitenwangen aus Buche natur, Sitz- und Fußbrett sowie Rückenlehne mit Bügel in Weiß, in der Höhe verstellbar.</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130</v>
      </c>
      <c r="T201" s="19" t="inlineStr">
        <is>
          <t>VHB</t>
        </is>
      </c>
      <c r="U201" s="21">
        <f>L201*S201</f>
        <v/>
      </c>
      <c r="V201" s="15" t="inlineStr">
        <is>
          <t>nur Abholung</t>
        </is>
      </c>
      <c r="W201" s="15" t="inlineStr">
        <is>
          <t>F-213</t>
        </is>
      </c>
      <c r="X201" s="19" t="inlineStr">
        <is>
          <t>ja</t>
        </is>
      </c>
      <c r="Y201" s="19" t="n"/>
      <c r="Z201" s="19" t="inlineStr">
        <is>
          <t>verfügbar</t>
        </is>
      </c>
      <c r="AA201" s="19" t="inlineStr">
        <is>
          <t>Stokke</t>
        </is>
      </c>
      <c r="AB201" s="19" t="n"/>
      <c r="AC201" s="19" t="n"/>
      <c r="AD201" s="19" t="n"/>
      <c r="AE201" s="20" t="n"/>
      <c r="AF201" s="21">
        <f>IF(K201="","",K201*AE201)</f>
        <v/>
      </c>
      <c r="AG201" s="19" t="n"/>
      <c r="AH201" s="19" t="n"/>
      <c r="AI201" s="19" t="n"/>
      <c r="AJ201" s="19" t="n"/>
      <c r="AK201" s="19" t="n"/>
      <c r="AL201" s="19" t="n"/>
      <c r="AM201" s="16" t="inlineStr">
        <is>
          <t>6 Stühle – abgebildet ist einer davon. Dieselbe Reihe in anderen Farben steht unter NE05-06, NE05-07 und NE05-08.</t>
        </is>
      </c>
      <c r="AN201" s="22" t="n"/>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IKEA Urban Stapelstuhl weiß, Erwachsenengröße</t>
        </is>
      </c>
      <c r="F261" s="16" t="inlineStr">
        <is>
          <t>Stuhl Urban von IKEA, Entwurf Carl Öjerstam: weißer Kunststoff in einem Stück, runde Rückenlehne, konische Beine mit Querstrebe, stapelbar. Erwachsenengröße. Aufdruck an der Unterseite: Urban, designed by Carl Öjerstam, manufactured in Italy.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inlineStr">
        <is>
          <t>IKEA</t>
        </is>
      </c>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n"/>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gut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gut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gut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gut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row r="374" ht="30" customHeight="1">
      <c r="A374" s="15" t="inlineStr">
        <is>
          <t>NE05-04</t>
        </is>
      </c>
      <c r="B374" s="15" t="n"/>
      <c r="C374" s="15" t="n"/>
      <c r="D374" s="15" t="inlineStr">
        <is>
          <t>NE05</t>
        </is>
      </c>
      <c r="E374" s="15" t="inlineStr">
        <is>
          <t>Vitra Panton Chair rot, Erwachsenengröße</t>
        </is>
      </c>
      <c r="F374" s="16" t="inlineStr">
        <is>
          <t>Panton Chair von Vitra, Entwurf Verner Panton: Freischwinger aus einem Stück Kunststoff, rot matt, S-förmig geschwungen. Erwachsenengröße. Aufkleber an der Unterseite: 44003000, 26.03.2019.</t>
        </is>
      </c>
      <c r="G374" s="15" t="inlineStr">
        <is>
          <t>Möbel</t>
        </is>
      </c>
      <c r="H374" s="15" t="inlineStr">
        <is>
          <t>Speisesaal</t>
        </is>
      </c>
      <c r="I374" s="15" t="inlineStr">
        <is>
          <t>A</t>
        </is>
      </c>
      <c r="J374" s="17" t="n">
        <v>1</v>
      </c>
      <c r="K374" s="17" t="n"/>
      <c r="L374" s="18">
        <f>J374-IF(K374="",0,K374)</f>
        <v/>
      </c>
      <c r="M374" s="15" t="inlineStr">
        <is>
          <t>Stück</t>
        </is>
      </c>
      <c r="N374" s="15" t="inlineStr">
        <is>
          <t>gebraucht</t>
        </is>
      </c>
      <c r="O374" s="19" t="n"/>
      <c r="P374" s="19" t="inlineStr">
        <is>
          <t>ja</t>
        </is>
      </c>
      <c r="Q374" s="19" t="n"/>
      <c r="R374" s="20" t="n"/>
      <c r="S374" s="20" t="n">
        <v>220</v>
      </c>
      <c r="T374" s="19" t="inlineStr">
        <is>
          <t>VHB</t>
        </is>
      </c>
      <c r="U374" s="21">
        <f>L374*S374</f>
        <v/>
      </c>
      <c r="V374" s="15" t="inlineStr">
        <is>
          <t>nur Abholung</t>
        </is>
      </c>
      <c r="W374" s="15" t="inlineStr">
        <is>
          <t>F-469</t>
        </is>
      </c>
      <c r="X374" s="19" t="inlineStr">
        <is>
          <t>ja</t>
        </is>
      </c>
      <c r="Y374" s="19" t="n"/>
      <c r="Z374" s="19" t="inlineStr">
        <is>
          <t>verfügbar</t>
        </is>
      </c>
      <c r="AA374" s="19" t="inlineStr">
        <is>
          <t>Vitra</t>
        </is>
      </c>
      <c r="AB374" s="19" t="n"/>
      <c r="AC374" s="19" t="n"/>
      <c r="AD374" s="19" t="n"/>
      <c r="AE374" s="20" t="n"/>
      <c r="AF374" s="21">
        <f>IF(K374="","",K374*AE374)</f>
        <v/>
      </c>
      <c r="AG374" s="19" t="n"/>
      <c r="AH374" s="19" t="n"/>
      <c r="AI374" s="19" t="n"/>
      <c r="AJ374" s="19" t="n"/>
      <c r="AK374" s="19" t="n"/>
      <c r="AL374" s="19" t="n"/>
      <c r="AM374" s="16" t="inlineStr">
        <is>
          <t>1 Stuhl. Die Seitenansicht ist auf Foto F-470 zu sehen. Panton Chairs in Kindergröße stehen unter NE05-05 (rot) und NE05-12 (weiß).</t>
        </is>
      </c>
      <c r="AN374" s="22" t="n"/>
    </row>
    <row r="375" ht="30" customHeight="1">
      <c r="A375" s="15" t="inlineStr">
        <is>
          <t>NE05-05</t>
        </is>
      </c>
      <c r="B375" s="15" t="n"/>
      <c r="C375" s="15" t="n"/>
      <c r="D375" s="15" t="inlineStr">
        <is>
          <t>NE05</t>
        </is>
      </c>
      <c r="E375" s="15" t="inlineStr">
        <is>
          <t>Vitra Panton Chair Junior rot, Kindergröße</t>
        </is>
      </c>
      <c r="F375" s="16"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G375" s="15" t="inlineStr">
        <is>
          <t>Kita-Ausstattung</t>
        </is>
      </c>
      <c r="H375" s="15" t="inlineStr">
        <is>
          <t>Speisesaal</t>
        </is>
      </c>
      <c r="I375" s="15" t="inlineStr">
        <is>
          <t>A</t>
        </is>
      </c>
      <c r="J375" s="17" t="n">
        <v>5</v>
      </c>
      <c r="K375" s="17" t="n"/>
      <c r="L375" s="18">
        <f>J375-IF(K375="",0,K375)</f>
        <v/>
      </c>
      <c r="M375" s="15" t="inlineStr">
        <is>
          <t>Stück</t>
        </is>
      </c>
      <c r="N375" s="15" t="inlineStr">
        <is>
          <t>gebraucht</t>
        </is>
      </c>
      <c r="O375" s="19" t="n"/>
      <c r="P375" s="19" t="inlineStr">
        <is>
          <t>ja</t>
        </is>
      </c>
      <c r="Q375" s="19" t="n"/>
      <c r="R375" s="20" t="n"/>
      <c r="S375" s="20" t="n">
        <v>150</v>
      </c>
      <c r="T375" s="19" t="inlineStr">
        <is>
          <t>VHB</t>
        </is>
      </c>
      <c r="U375" s="21">
        <f>L375*S375</f>
        <v/>
      </c>
      <c r="V375" s="15" t="inlineStr">
        <is>
          <t>nur Abholung</t>
        </is>
      </c>
      <c r="W375" s="15" t="inlineStr">
        <is>
          <t>F-471</t>
        </is>
      </c>
      <c r="X375" s="19" t="inlineStr">
        <is>
          <t>ja</t>
        </is>
      </c>
      <c r="Y375" s="19" t="n"/>
      <c r="Z375" s="19" t="inlineStr">
        <is>
          <t>verfügbar</t>
        </is>
      </c>
      <c r="AA375" s="19" t="inlineStr">
        <is>
          <t>Vitra</t>
        </is>
      </c>
      <c r="AB375" s="19" t="n"/>
      <c r="AC375" s="19" t="n"/>
      <c r="AD375" s="19" t="n"/>
      <c r="AE375" s="20" t="n"/>
      <c r="AF375" s="21">
        <f>IF(K375="","",K375*AE375)</f>
        <v/>
      </c>
      <c r="AG375" s="19" t="n"/>
      <c r="AH375" s="19" t="n"/>
      <c r="AI375" s="19" t="n"/>
      <c r="AJ375" s="19" t="n"/>
      <c r="AK375" s="19" t="n"/>
      <c r="AL375" s="19" t="n"/>
      <c r="AM375" s="16" t="inlineStr">
        <is>
          <t>5 Stühle – abgebildet ist einer davon.</t>
        </is>
      </c>
      <c r="AN375" s="22" t="n"/>
    </row>
    <row r="376" ht="30" customHeight="1">
      <c r="A376" s="15" t="inlineStr">
        <is>
          <t>NE05-06</t>
        </is>
      </c>
      <c r="B376" s="15" t="n"/>
      <c r="C376" s="15" t="n"/>
      <c r="D376" s="15" t="inlineStr">
        <is>
          <t>NE05</t>
        </is>
      </c>
      <c r="E376" s="15" t="inlineStr">
        <is>
          <t>Stokke Steps Treppenhochstuhl, schwarz</t>
        </is>
      </c>
      <c r="F376" s="16" t="inlineStr">
        <is>
          <t>Stokke Steps: mitwachsender Treppenhochstuhl, Seitenwangen und Platten schwarz, Sitz- und Fußbrett in der Höhe verstellbar, Rückenlehne mit umlaufendem Bügel. Artikelnummer 460002.</t>
        </is>
      </c>
      <c r="G376" s="15" t="inlineStr">
        <is>
          <t>Kita-Ausstattung</t>
        </is>
      </c>
      <c r="H376" s="15" t="inlineStr">
        <is>
          <t>Speisesaal</t>
        </is>
      </c>
      <c r="I376" s="15" t="inlineStr">
        <is>
          <t>B</t>
        </is>
      </c>
      <c r="J376" s="17" t="n">
        <v>7</v>
      </c>
      <c r="K376" s="17" t="n"/>
      <c r="L376" s="18">
        <f>J376-IF(K376="",0,K376)</f>
        <v/>
      </c>
      <c r="M376" s="15" t="inlineStr">
        <is>
          <t>Stück</t>
        </is>
      </c>
      <c r="N376" s="15" t="inlineStr">
        <is>
          <t>gebraucht</t>
        </is>
      </c>
      <c r="O376" s="19" t="n"/>
      <c r="P376" s="19" t="inlineStr">
        <is>
          <t>ja</t>
        </is>
      </c>
      <c r="Q376" s="19" t="n"/>
      <c r="R376" s="20" t="n"/>
      <c r="S376" s="20" t="n">
        <v>130</v>
      </c>
      <c r="T376" s="19" t="inlineStr">
        <is>
          <t>VHB</t>
        </is>
      </c>
      <c r="U376" s="21">
        <f>L376*S376</f>
        <v/>
      </c>
      <c r="V376" s="15" t="inlineStr">
        <is>
          <t>nur Abholung</t>
        </is>
      </c>
      <c r="W376" s="15" t="inlineStr">
        <is>
          <t>F-472</t>
        </is>
      </c>
      <c r="X376" s="19" t="inlineStr">
        <is>
          <t>ja</t>
        </is>
      </c>
      <c r="Y376" s="19" t="n"/>
      <c r="Z376" s="19" t="inlineStr">
        <is>
          <t>verfügbar</t>
        </is>
      </c>
      <c r="AA376" s="19" t="inlineStr">
        <is>
          <t>Stokke</t>
        </is>
      </c>
      <c r="AB376" s="19" t="n"/>
      <c r="AC376" s="19" t="n"/>
      <c r="AD376" s="19" t="n"/>
      <c r="AE376" s="20" t="n"/>
      <c r="AF376" s="21">
        <f>IF(K376="","",K376*AE376)</f>
        <v/>
      </c>
      <c r="AG376" s="19" t="n"/>
      <c r="AH376" s="19" t="n"/>
      <c r="AI376" s="19" t="n"/>
      <c r="AJ376" s="19" t="n"/>
      <c r="AK376" s="19" t="n"/>
      <c r="AL376" s="19" t="n"/>
      <c r="AM376" s="16" t="inlineStr">
        <is>
          <t>7 Stühle – abgebildet ist einer davon. Dieselbe Reihe in anderen Farben steht unter NE05-07, NE05-08 und NU05-01.</t>
        </is>
      </c>
      <c r="AN376" s="22" t="n"/>
    </row>
    <row r="377" ht="30" customHeight="1">
      <c r="A377" s="15" t="inlineStr">
        <is>
          <t>NE05-07</t>
        </is>
      </c>
      <c r="B377" s="15" t="n"/>
      <c r="C377" s="15" t="n"/>
      <c r="D377" s="15" t="inlineStr">
        <is>
          <t>NE05</t>
        </is>
      </c>
      <c r="E377" s="15" t="inlineStr">
        <is>
          <t>Stokke Steps Treppenhochstuhl, weiß mit schwarzem Gestell</t>
        </is>
      </c>
      <c r="F377" s="16" t="inlineStr">
        <is>
          <t>Stokke Steps: mitwachsender Treppenhochstuhl, Seitenwangen schwarz, Sitz- und Fußbrett sowie Rückenlehne mit Bügel in Weiß, in der Höhe verstellbar. Artikelnummer 460001.</t>
        </is>
      </c>
      <c r="G377" s="15" t="inlineStr">
        <is>
          <t>Kita-Ausstattung</t>
        </is>
      </c>
      <c r="H377" s="15" t="inlineStr">
        <is>
          <t>Speisesaal</t>
        </is>
      </c>
      <c r="I377" s="15" t="inlineStr">
        <is>
          <t>B</t>
        </is>
      </c>
      <c r="J377" s="17" t="n">
        <v>4</v>
      </c>
      <c r="K377" s="17" t="n"/>
      <c r="L377" s="18">
        <f>J377-IF(K377="",0,K377)</f>
        <v/>
      </c>
      <c r="M377" s="15" t="inlineStr">
        <is>
          <t>Stück</t>
        </is>
      </c>
      <c r="N377" s="15" t="inlineStr">
        <is>
          <t>gebraucht</t>
        </is>
      </c>
      <c r="O377" s="19" t="n"/>
      <c r="P377" s="19" t="inlineStr">
        <is>
          <t>ja</t>
        </is>
      </c>
      <c r="Q377" s="19" t="n"/>
      <c r="R377" s="20" t="n"/>
      <c r="S377" s="20" t="n">
        <v>130</v>
      </c>
      <c r="T377" s="19" t="inlineStr">
        <is>
          <t>VHB</t>
        </is>
      </c>
      <c r="U377" s="21">
        <f>L377*S377</f>
        <v/>
      </c>
      <c r="V377" s="15" t="inlineStr">
        <is>
          <t>nur Abholung</t>
        </is>
      </c>
      <c r="W377" s="15" t="inlineStr">
        <is>
          <t>F-473</t>
        </is>
      </c>
      <c r="X377" s="19" t="inlineStr">
        <is>
          <t>ja</t>
        </is>
      </c>
      <c r="Y377" s="19" t="n"/>
      <c r="Z377" s="19" t="inlineStr">
        <is>
          <t>verfügbar</t>
        </is>
      </c>
      <c r="AA377" s="19" t="inlineStr">
        <is>
          <t>Stokke</t>
        </is>
      </c>
      <c r="AB377" s="19" t="n"/>
      <c r="AC377" s="19" t="n"/>
      <c r="AD377" s="19" t="n"/>
      <c r="AE377" s="20" t="n"/>
      <c r="AF377" s="21">
        <f>IF(K377="","",K377*AE377)</f>
        <v/>
      </c>
      <c r="AG377" s="19" t="n"/>
      <c r="AH377" s="19" t="n"/>
      <c r="AI377" s="19" t="n"/>
      <c r="AJ377" s="19" t="n"/>
      <c r="AK377" s="19" t="n"/>
      <c r="AL377" s="19" t="n"/>
      <c r="AM377" s="16" t="inlineStr">
        <is>
          <t>4 Stühle – abgebildet ist einer davon. Dieselbe Reihe in anderen Farben steht unter NE05-06, NE05-08 und NU05-01.</t>
        </is>
      </c>
      <c r="AN377" s="22" t="n"/>
    </row>
    <row r="378" ht="30" customHeight="1">
      <c r="A378" s="15" t="inlineStr">
        <is>
          <t>NE05-08</t>
        </is>
      </c>
      <c r="B378" s="15" t="n"/>
      <c r="C378" s="15" t="n"/>
      <c r="D378" s="15" t="inlineStr">
        <is>
          <t>NE05</t>
        </is>
      </c>
      <c r="E378" s="15" t="inlineStr">
        <is>
          <t>Stokke Steps Treppenhochstuhl, grau mit Buchengestell</t>
        </is>
      </c>
      <c r="F378" s="16" t="inlineStr">
        <is>
          <t>Stokke Steps: mitwachsender Treppenhochstuhl, Seitenwangen aus Buche natur, Sitz- und Fußbrett sowie Rückenlehne mit Bügel in Grau, in der Höhe verstellbar. Artikelnummer 460003.</t>
        </is>
      </c>
      <c r="G378" s="15" t="inlineStr">
        <is>
          <t>Kita-Ausstattung</t>
        </is>
      </c>
      <c r="H378" s="15" t="inlineStr">
        <is>
          <t>Speisesaal</t>
        </is>
      </c>
      <c r="I378" s="15" t="inlineStr">
        <is>
          <t>B</t>
        </is>
      </c>
      <c r="J378" s="17" t="n">
        <v>4</v>
      </c>
      <c r="K378" s="17" t="n"/>
      <c r="L378" s="18">
        <f>J378-IF(K378="",0,K378)</f>
        <v/>
      </c>
      <c r="M378" s="15" t="inlineStr">
        <is>
          <t>Stück</t>
        </is>
      </c>
      <c r="N378" s="15" t="inlineStr">
        <is>
          <t>gebraucht</t>
        </is>
      </c>
      <c r="O378" s="19" t="n"/>
      <c r="P378" s="19" t="inlineStr">
        <is>
          <t>ja</t>
        </is>
      </c>
      <c r="Q378" s="19" t="n"/>
      <c r="R378" s="20" t="n"/>
      <c r="S378" s="20" t="n">
        <v>130</v>
      </c>
      <c r="T378" s="19" t="inlineStr">
        <is>
          <t>VHB</t>
        </is>
      </c>
      <c r="U378" s="21">
        <f>L378*S378</f>
        <v/>
      </c>
      <c r="V378" s="15" t="inlineStr">
        <is>
          <t>nur Abholung</t>
        </is>
      </c>
      <c r="W378" s="15" t="inlineStr">
        <is>
          <t>F-474</t>
        </is>
      </c>
      <c r="X378" s="19" t="inlineStr">
        <is>
          <t>ja</t>
        </is>
      </c>
      <c r="Y378" s="19" t="n"/>
      <c r="Z378" s="19" t="inlineStr">
        <is>
          <t>verfügbar</t>
        </is>
      </c>
      <c r="AA378" s="19" t="inlineStr">
        <is>
          <t>Stokke</t>
        </is>
      </c>
      <c r="AB378" s="19" t="n"/>
      <c r="AC378" s="19" t="n"/>
      <c r="AD378" s="19" t="n"/>
      <c r="AE378" s="20" t="n"/>
      <c r="AF378" s="21">
        <f>IF(K378="","",K378*AE378)</f>
        <v/>
      </c>
      <c r="AG378" s="19" t="n"/>
      <c r="AH378" s="19" t="n"/>
      <c r="AI378" s="19" t="n"/>
      <c r="AJ378" s="19" t="n"/>
      <c r="AK378" s="19" t="n"/>
      <c r="AL378" s="19" t="n"/>
      <c r="AM378" s="16" t="inlineStr">
        <is>
          <t>4 Stühle – abgebildet ist einer davon. Dieselbe Reihe in anderen Farben steht unter NE05-06, NE05-07 und NU05-01.</t>
        </is>
      </c>
      <c r="AN378" s="22" t="n"/>
    </row>
    <row r="379" ht="30" customHeight="1">
      <c r="A379" s="15" t="inlineStr">
        <is>
          <t>NE05-09</t>
        </is>
      </c>
      <c r="B379" s="15" t="n"/>
      <c r="C379" s="15" t="n"/>
      <c r="D379" s="15" t="inlineStr">
        <is>
          <t>NE05</t>
        </is>
      </c>
      <c r="E379" s="15" t="inlineStr">
        <is>
          <t>IKEA Ingolf Kinderhochstuhl weiß</t>
        </is>
      </c>
      <c r="F379" s="16" t="inlineStr">
        <is>
          <t>Hoher Kinderstuhl von IKEA aus Massivholz, weiß lackiert, mit Kreuzstrebe in der Lehne und Fußstütze. Etikett an der Unterseite: Ingolf, 20948, IKEA of Sweden. Die Sitzfläche ist stark verkratzt und die Farbe an den Kanten abgeplatzt.</t>
        </is>
      </c>
      <c r="G379" s="15" t="inlineStr">
        <is>
          <t>Kita-Ausstattung</t>
        </is>
      </c>
      <c r="H379" s="15" t="inlineStr">
        <is>
          <t>Speisesaal</t>
        </is>
      </c>
      <c r="I379" s="15" t="inlineStr">
        <is>
          <t>C</t>
        </is>
      </c>
      <c r="J379" s="17" t="n">
        <v>2</v>
      </c>
      <c r="K379" s="17" t="n"/>
      <c r="L379" s="18">
        <f>J379-IF(K379="",0,K379)</f>
        <v/>
      </c>
      <c r="M379" s="15" t="inlineStr">
        <is>
          <t>Stück</t>
        </is>
      </c>
      <c r="N379" s="15" t="inlineStr">
        <is>
          <t>stark gebraucht</t>
        </is>
      </c>
      <c r="O379" s="19" t="n"/>
      <c r="P379" s="19" t="inlineStr">
        <is>
          <t>ja</t>
        </is>
      </c>
      <c r="Q379" s="19" t="n"/>
      <c r="R379" s="20" t="n"/>
      <c r="S379" s="20" t="n">
        <v>35</v>
      </c>
      <c r="T379" s="19" t="inlineStr">
        <is>
          <t>VHB</t>
        </is>
      </c>
      <c r="U379" s="21">
        <f>L379*S379</f>
        <v/>
      </c>
      <c r="V379" s="15" t="inlineStr">
        <is>
          <t>nur Abholung</t>
        </is>
      </c>
      <c r="W379" s="15" t="inlineStr">
        <is>
          <t>F-475</t>
        </is>
      </c>
      <c r="X379" s="19" t="inlineStr">
        <is>
          <t>ja</t>
        </is>
      </c>
      <c r="Y379" s="19" t="n"/>
      <c r="Z379" s="19" t="inlineStr">
        <is>
          <t>verfügbar</t>
        </is>
      </c>
      <c r="AA379" s="19" t="inlineStr">
        <is>
          <t>IKEA</t>
        </is>
      </c>
      <c r="AB379" s="19" t="n"/>
      <c r="AC379" s="19" t="n"/>
      <c r="AD379" s="19" t="n"/>
      <c r="AE379" s="20" t="n"/>
      <c r="AF379" s="21">
        <f>IF(K379="","",K379*AE379)</f>
        <v/>
      </c>
      <c r="AG379" s="19" t="n"/>
      <c r="AH379" s="19" t="n"/>
      <c r="AI379" s="19" t="n"/>
      <c r="AJ379" s="19" t="n"/>
      <c r="AK379" s="19" t="n"/>
      <c r="AL379" s="19" t="n"/>
      <c r="AM379" s="16" t="inlineStr">
        <is>
          <t>2 Stühle – abgebildet ist einer davon. Das Etikett ist auf Foto F-476 zu sehen.</t>
        </is>
      </c>
      <c r="AN379" s="22" t="n"/>
    </row>
    <row r="380" ht="30" customHeight="1">
      <c r="A380" s="15" t="inlineStr">
        <is>
          <t>NE05-13</t>
        </is>
      </c>
      <c r="B380" s="15" t="n"/>
      <c r="C380" s="15" t="n"/>
      <c r="D380" s="15" t="inlineStr">
        <is>
          <t>NE05</t>
        </is>
      </c>
      <c r="E380" s="15" t="inlineStr">
        <is>
          <t>Rollwagen schwarz mit Holzplatte</t>
        </is>
      </c>
      <c r="F380" s="16" t="inlineStr">
        <is>
          <t>Rollwagen mit schwarzem Metallgestell, oberer Platte aus Multiplex und zwei schwarzen Ablageböden, auf vier Lenkrollen.</t>
        </is>
      </c>
      <c r="G380" s="15" t="inlineStr">
        <is>
          <t>Möbel</t>
        </is>
      </c>
      <c r="H380" s="15" t="inlineStr">
        <is>
          <t>Speisesaal</t>
        </is>
      </c>
      <c r="I380" s="15" t="inlineStr">
        <is>
          <t>B</t>
        </is>
      </c>
      <c r="J380" s="17" t="n">
        <v>3</v>
      </c>
      <c r="K380" s="17" t="n"/>
      <c r="L380" s="18">
        <f>J380-IF(K380="",0,K380)</f>
        <v/>
      </c>
      <c r="M380" s="15" t="inlineStr">
        <is>
          <t>Stück</t>
        </is>
      </c>
      <c r="N380" s="15" t="inlineStr">
        <is>
          <t>gebraucht</t>
        </is>
      </c>
      <c r="O380" s="19" t="n"/>
      <c r="P380" s="19" t="inlineStr">
        <is>
          <t>ja</t>
        </is>
      </c>
      <c r="Q380" s="19" t="n"/>
      <c r="R380" s="20" t="n"/>
      <c r="S380" s="20" t="n">
        <v>70</v>
      </c>
      <c r="T380" s="19" t="inlineStr">
        <is>
          <t>VHB</t>
        </is>
      </c>
      <c r="U380" s="21">
        <f>L380*S380</f>
        <v/>
      </c>
      <c r="V380" s="15" t="inlineStr">
        <is>
          <t>nur Abholung</t>
        </is>
      </c>
      <c r="W380" s="15" t="inlineStr">
        <is>
          <t>F-481</t>
        </is>
      </c>
      <c r="X380" s="19" t="inlineStr">
        <is>
          <t>ja</t>
        </is>
      </c>
      <c r="Y380" s="19" t="n"/>
      <c r="Z380" s="19" t="inlineStr">
        <is>
          <t>verfügbar</t>
        </is>
      </c>
      <c r="AA380" s="19" t="n"/>
      <c r="AB380" s="19" t="n"/>
      <c r="AC380" s="19" t="n"/>
      <c r="AD380" s="19" t="n"/>
      <c r="AE380" s="20" t="n"/>
      <c r="AF380" s="21">
        <f>IF(K380="","",K380*AE380)</f>
        <v/>
      </c>
      <c r="AG380" s="19" t="n"/>
      <c r="AH380" s="19" t="n"/>
      <c r="AI380" s="19" t="n"/>
      <c r="AJ380" s="19" t="n"/>
      <c r="AK380" s="19" t="n"/>
      <c r="AL380" s="19" t="n"/>
      <c r="AM380" s="16" t="inlineStr">
        <is>
          <t>3 Wagen – abgebildet ist einer davon. Der Inhalt gehört nicht dazu.</t>
        </is>
      </c>
      <c r="AN380" s="22" t="n"/>
    </row>
    <row r="381" ht="30" customHeight="1">
      <c r="A381" s="15" t="inlineStr">
        <is>
          <t>NE05-14</t>
        </is>
      </c>
      <c r="B381" s="15" t="n"/>
      <c r="C381" s="15" t="n"/>
      <c r="D381" s="15" t="inlineStr">
        <is>
          <t>NE05</t>
        </is>
      </c>
      <c r="E381" s="15" t="inlineStr">
        <is>
          <t>Glas-Magnettafel weiß, großformatig</t>
        </is>
      </c>
      <c r="F381" s="16" t="inlineStr">
        <is>
          <t>Große Schreib- und Magnettafel aus weiß lackiertem Glas, beschreibbar mit Whiteboard-Markern, einschließlich Magneten.</t>
        </is>
      </c>
      <c r="G381" s="15" t="inlineStr">
        <is>
          <t>Büro</t>
        </is>
      </c>
      <c r="H381" s="15" t="inlineStr">
        <is>
          <t>Speisesaal</t>
        </is>
      </c>
      <c r="I381" s="15" t="inlineStr">
        <is>
          <t>B</t>
        </is>
      </c>
      <c r="J381" s="17" t="n">
        <v>1</v>
      </c>
      <c r="K381" s="17" t="n"/>
      <c r="L381" s="18">
        <f>J381-IF(K381="",0,K381)</f>
        <v/>
      </c>
      <c r="M381" s="15" t="inlineStr">
        <is>
          <t>Stück</t>
        </is>
      </c>
      <c r="N381" s="15" t="inlineStr">
        <is>
          <t>gut</t>
        </is>
      </c>
      <c r="O381" s="19" t="n"/>
      <c r="P381" s="19" t="inlineStr">
        <is>
          <t>ja</t>
        </is>
      </c>
      <c r="Q381" s="19" t="n"/>
      <c r="R381" s="20" t="n"/>
      <c r="S381" s="20" t="n">
        <v>120</v>
      </c>
      <c r="T381" s="19" t="inlineStr">
        <is>
          <t>VHB</t>
        </is>
      </c>
      <c r="U381" s="21">
        <f>L381*S381</f>
        <v/>
      </c>
      <c r="V381" s="15" t="inlineStr">
        <is>
          <t>nur Abholung</t>
        </is>
      </c>
      <c r="W381" s="15" t="inlineStr">
        <is>
          <t>F-482</t>
        </is>
      </c>
      <c r="X381" s="19" t="inlineStr">
        <is>
          <t>ja</t>
        </is>
      </c>
      <c r="Y381" s="19" t="n"/>
      <c r="Z381" s="19" t="inlineStr">
        <is>
          <t>verfügbar</t>
        </is>
      </c>
      <c r="AA381" s="19" t="n"/>
      <c r="AB381" s="19" t="n"/>
      <c r="AC381" s="19" t="n"/>
      <c r="AD381" s="19" t="n"/>
      <c r="AE381" s="20" t="n"/>
      <c r="AF381" s="21">
        <f>IF(K381="","",K381*AE381)</f>
        <v/>
      </c>
      <c r="AG381" s="19" t="n"/>
      <c r="AH381" s="19" t="n"/>
      <c r="AI381" s="19" t="n"/>
      <c r="AJ381" s="19" t="n"/>
      <c r="AK381" s="19" t="n"/>
      <c r="AL381" s="19" t="n"/>
      <c r="AM381" s="16" t="inlineStr">
        <is>
          <t>1 Tafel einschließlich der Magnete.</t>
        </is>
      </c>
      <c r="AN381" s="22" t="n"/>
    </row>
    <row r="382" ht="30" customHeight="1">
      <c r="A382" s="15" t="inlineStr">
        <is>
          <t>NE05-15</t>
        </is>
      </c>
      <c r="B382" s="15" t="n"/>
      <c r="C382" s="15" t="n"/>
      <c r="D382" s="15" t="inlineStr">
        <is>
          <t>NE05</t>
        </is>
      </c>
      <c r="E382" s="15" t="inlineStr">
        <is>
          <t>Wandleuchte Rehkitz schwarz</t>
        </is>
      </c>
      <c r="F382" s="16" t="inlineStr">
        <is>
          <t>Wandleuchte in Form eines Rehkitzes aus schwarz lackiertem Holz, mit Kabel und Schnurschalter.</t>
        </is>
      </c>
      <c r="G382" s="15" t="inlineStr">
        <is>
          <t>Leuchten</t>
        </is>
      </c>
      <c r="H382" s="15" t="inlineStr">
        <is>
          <t>Speisesaal</t>
        </is>
      </c>
      <c r="I382" s="15" t="inlineStr">
        <is>
          <t>C</t>
        </is>
      </c>
      <c r="J382" s="17" t="n">
        <v>2</v>
      </c>
      <c r="K382" s="17" t="n"/>
      <c r="L382" s="18">
        <f>J382-IF(K382="",0,K382)</f>
        <v/>
      </c>
      <c r="M382" s="15" t="inlineStr">
        <is>
          <t>Stück</t>
        </is>
      </c>
      <c r="N382" s="15" t="inlineStr">
        <is>
          <t>gut</t>
        </is>
      </c>
      <c r="O382" s="19" t="n"/>
      <c r="P382" s="19" t="inlineStr">
        <is>
          <t>ja</t>
        </is>
      </c>
      <c r="Q382" s="19" t="n"/>
      <c r="R382" s="20" t="n"/>
      <c r="S382" s="20" t="n">
        <v>35</v>
      </c>
      <c r="T382" s="19" t="inlineStr">
        <is>
          <t>VHB</t>
        </is>
      </c>
      <c r="U382" s="21">
        <f>L382*S382</f>
        <v/>
      </c>
      <c r="V382" s="15" t="inlineStr">
        <is>
          <t>Versand möglich</t>
        </is>
      </c>
      <c r="W382" s="15" t="inlineStr">
        <is>
          <t>F-483</t>
        </is>
      </c>
      <c r="X382" s="19" t="inlineStr">
        <is>
          <t>ja</t>
        </is>
      </c>
      <c r="Y382" s="19" t="n"/>
      <c r="Z382" s="19" t="inlineStr">
        <is>
          <t>verfügbar</t>
        </is>
      </c>
      <c r="AA382" s="19" t="n"/>
      <c r="AB382" s="19" t="n"/>
      <c r="AC382" s="19" t="n"/>
      <c r="AD382" s="19" t="n"/>
      <c r="AE382" s="20" t="n"/>
      <c r="AF382" s="21">
        <f>IF(K382="","",K382*AE382)</f>
        <v/>
      </c>
      <c r="AG382" s="19" t="n"/>
      <c r="AH382" s="19" t="n"/>
      <c r="AI382" s="19" t="n"/>
      <c r="AJ382" s="19" t="n"/>
      <c r="AK382" s="19" t="n"/>
      <c r="AL382" s="19" t="n"/>
      <c r="AM382" s="16" t="inlineStr">
        <is>
          <t>2 Leuchten – abgebildet ist eine davon. Ohne Leuchtmittel.</t>
        </is>
      </c>
      <c r="AN382" s="22" t="n"/>
    </row>
    <row r="383" ht="30" customHeight="1">
      <c r="A383" s="15" t="inlineStr">
        <is>
          <t>NE05-16</t>
        </is>
      </c>
      <c r="B383" s="15" t="n"/>
      <c r="C383" s="15" t="n"/>
      <c r="D383" s="15" t="inlineStr">
        <is>
          <t>NE05</t>
        </is>
      </c>
      <c r="E383" s="15" t="inlineStr">
        <is>
          <t>Deko-Stern Holz</t>
        </is>
      </c>
      <c r="F383" s="16" t="inlineStr">
        <is>
          <t>Fünfzackiger Stern aus massivem Holz, natur, zum Stellen oder Aufhängen.</t>
        </is>
      </c>
      <c r="G383" s="15" t="inlineStr">
        <is>
          <t>Deko</t>
        </is>
      </c>
      <c r="H383" s="15" t="inlineStr">
        <is>
          <t>Speisesaal</t>
        </is>
      </c>
      <c r="I383" s="15" t="inlineStr">
        <is>
          <t>C</t>
        </is>
      </c>
      <c r="J383" s="17" t="n">
        <v>6</v>
      </c>
      <c r="K383" s="17" t="n"/>
      <c r="L383" s="18">
        <f>J383-IF(K383="",0,K383)</f>
        <v/>
      </c>
      <c r="M383" s="15" t="inlineStr">
        <is>
          <t>Stück</t>
        </is>
      </c>
      <c r="N383" s="15" t="inlineStr">
        <is>
          <t>gut</t>
        </is>
      </c>
      <c r="O383" s="19" t="n"/>
      <c r="P383" s="19" t="inlineStr">
        <is>
          <t>ja</t>
        </is>
      </c>
      <c r="Q383" s="19" t="n"/>
      <c r="R383" s="20" t="n"/>
      <c r="S383" s="20" t="n">
        <v>15</v>
      </c>
      <c r="T383" s="19" t="inlineStr">
        <is>
          <t>VHB</t>
        </is>
      </c>
      <c r="U383" s="21">
        <f>L383*S383</f>
        <v/>
      </c>
      <c r="V383" s="15" t="inlineStr">
        <is>
          <t>Versand möglich</t>
        </is>
      </c>
      <c r="W383" s="15" t="inlineStr">
        <is>
          <t>F-484</t>
        </is>
      </c>
      <c r="X383" s="19" t="inlineStr">
        <is>
          <t>ja</t>
        </is>
      </c>
      <c r="Y383" s="19" t="n"/>
      <c r="Z383" s="19" t="inlineStr">
        <is>
          <t>verfügbar</t>
        </is>
      </c>
      <c r="AA383" s="19" t="n"/>
      <c r="AB383" s="19" t="n"/>
      <c r="AC383" s="19" t="n"/>
      <c r="AD383" s="19" t="n"/>
      <c r="AE383" s="20" t="n"/>
      <c r="AF383" s="21">
        <f>IF(K383="","",K383*AE383)</f>
        <v/>
      </c>
      <c r="AG383" s="19" t="n"/>
      <c r="AH383" s="19" t="n"/>
      <c r="AI383" s="19" t="n"/>
      <c r="AJ383" s="19" t="n"/>
      <c r="AK383" s="19" t="n"/>
      <c r="AL383" s="19" t="n"/>
      <c r="AM383" s="16" t="inlineStr">
        <is>
          <t>6 Sterne – abgebildet ist einer davon.</t>
        </is>
      </c>
      <c r="AN383" s="22" t="n"/>
    </row>
    <row r="384" ht="30" customHeight="1">
      <c r="A384" s="15" t="inlineStr">
        <is>
          <t>NE05-17</t>
        </is>
      </c>
      <c r="B384" s="15" t="n"/>
      <c r="C384" s="15" t="n"/>
      <c r="D384" s="15" t="inlineStr">
        <is>
          <t>NE05</t>
        </is>
      </c>
      <c r="E384" s="15" t="inlineStr">
        <is>
          <t>Wandhaken in Stuhlform, schwarz</t>
        </is>
      </c>
      <c r="F384" s="16" t="inlineStr">
        <is>
          <t>Kleine Wandhaken in Form von Stühlen aus schwarz lackiertem Holz, in zwei verschiedenen Ausführungen.</t>
        </is>
      </c>
      <c r="G384" s="15" t="inlineStr">
        <is>
          <t>Deko</t>
        </is>
      </c>
      <c r="H384" s="15" t="inlineStr">
        <is>
          <t>Speisesaal</t>
        </is>
      </c>
      <c r="I384" s="15" t="inlineStr">
        <is>
          <t>C</t>
        </is>
      </c>
      <c r="J384" s="17" t="n">
        <v>4</v>
      </c>
      <c r="K384" s="17" t="n"/>
      <c r="L384" s="18">
        <f>J384-IF(K384="",0,K384)</f>
        <v/>
      </c>
      <c r="M384" s="15" t="inlineStr">
        <is>
          <t>Stück</t>
        </is>
      </c>
      <c r="N384" s="15" t="inlineStr">
        <is>
          <t>gut</t>
        </is>
      </c>
      <c r="O384" s="19" t="n"/>
      <c r="P384" s="19" t="inlineStr">
        <is>
          <t>ja</t>
        </is>
      </c>
      <c r="Q384" s="19" t="n"/>
      <c r="R384" s="20" t="n"/>
      <c r="S384" s="20" t="n">
        <v>20</v>
      </c>
      <c r="T384" s="19" t="inlineStr">
        <is>
          <t>VHB</t>
        </is>
      </c>
      <c r="U384" s="21">
        <f>L384*S384</f>
        <v/>
      </c>
      <c r="V384" s="15" t="inlineStr">
        <is>
          <t>Versand möglich</t>
        </is>
      </c>
      <c r="W384" s="15" t="inlineStr">
        <is>
          <t>F-485</t>
        </is>
      </c>
      <c r="X384" s="19" t="inlineStr">
        <is>
          <t>ja</t>
        </is>
      </c>
      <c r="Y384" s="19" t="n"/>
      <c r="Z384" s="19" t="inlineStr">
        <is>
          <t>verfügbar</t>
        </is>
      </c>
      <c r="AA384" s="19" t="n"/>
      <c r="AB384" s="19" t="n"/>
      <c r="AC384" s="19" t="n"/>
      <c r="AD384" s="19" t="n"/>
      <c r="AE384" s="20" t="n"/>
      <c r="AF384" s="21">
        <f>IF(K384="","",K384*AE384)</f>
        <v/>
      </c>
      <c r="AG384" s="19" t="n"/>
      <c r="AH384" s="19" t="n"/>
      <c r="AI384" s="19" t="n"/>
      <c r="AJ384" s="19" t="n"/>
      <c r="AK384" s="19" t="n"/>
      <c r="AL384" s="19" t="n"/>
      <c r="AM384" s="16" t="inlineStr">
        <is>
          <t>4 Haken, alle abgebildet.</t>
        </is>
      </c>
      <c r="AN384" s="22" t="n"/>
    </row>
    <row r="385" ht="30" customHeight="1">
      <c r="A385" s="15" t="inlineStr">
        <is>
          <t>NE05-12</t>
        </is>
      </c>
      <c r="B385" s="15" t="n"/>
      <c r="C385" s="15" t="n"/>
      <c r="D385" s="15" t="inlineStr">
        <is>
          <t>NE05</t>
        </is>
      </c>
      <c r="E385" s="15" t="inlineStr">
        <is>
          <t>Vitra Panton Chair Junior weiß, Kindergröße</t>
        </is>
      </c>
      <c r="F385" s="16"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G385" s="15" t="inlineStr">
        <is>
          <t>Kita-Ausstattung</t>
        </is>
      </c>
      <c r="H385" s="15" t="inlineStr">
        <is>
          <t>Speisesaal</t>
        </is>
      </c>
      <c r="I385" s="15" t="inlineStr">
        <is>
          <t>A</t>
        </is>
      </c>
      <c r="J385" s="17" t="n">
        <v>5</v>
      </c>
      <c r="K385" s="17" t="n"/>
      <c r="L385" s="18">
        <f>J385-IF(K385="",0,K385)</f>
        <v/>
      </c>
      <c r="M385" s="15" t="inlineStr">
        <is>
          <t>Stück</t>
        </is>
      </c>
      <c r="N385" s="15" t="inlineStr">
        <is>
          <t>gebraucht</t>
        </is>
      </c>
      <c r="O385" s="19" t="n"/>
      <c r="P385" s="19" t="inlineStr">
        <is>
          <t>ja</t>
        </is>
      </c>
      <c r="Q385" s="19" t="n"/>
      <c r="R385" s="20" t="n"/>
      <c r="S385" s="20" t="n">
        <v>150</v>
      </c>
      <c r="T385" s="19" t="inlineStr">
        <is>
          <t>VHB</t>
        </is>
      </c>
      <c r="U385" s="21">
        <f>L385*S385</f>
        <v/>
      </c>
      <c r="V385" s="15" t="inlineStr">
        <is>
          <t>nur Abholung</t>
        </is>
      </c>
      <c r="W385" s="15" t="inlineStr">
        <is>
          <t>F-479</t>
        </is>
      </c>
      <c r="X385" s="19" t="inlineStr">
        <is>
          <t>ja</t>
        </is>
      </c>
      <c r="Y385" s="19" t="n"/>
      <c r="Z385" s="19" t="inlineStr">
        <is>
          <t>verfügbar</t>
        </is>
      </c>
      <c r="AA385" s="19" t="inlineStr">
        <is>
          <t>Vitra</t>
        </is>
      </c>
      <c r="AB385" s="19" t="n"/>
      <c r="AC385" s="19" t="n"/>
      <c r="AD385" s="19" t="n"/>
      <c r="AE385" s="20" t="n"/>
      <c r="AF385" s="21">
        <f>IF(K385="","",K385*AE385)</f>
        <v/>
      </c>
      <c r="AG385" s="19" t="n"/>
      <c r="AH385" s="19" t="n"/>
      <c r="AI385" s="19" t="n"/>
      <c r="AJ385" s="19" t="n"/>
      <c r="AK385" s="19" t="n"/>
      <c r="AL385" s="19" t="n"/>
      <c r="AM385" s="16" t="inlineStr">
        <is>
          <t>5 Stühle – abgebildet ist einer davon, die Seitenansicht auf Foto F-480.</t>
        </is>
      </c>
      <c r="AN385" s="22" t="n"/>
    </row>
    <row r="386" ht="30" customHeight="1">
      <c r="A386" s="15" t="inlineStr">
        <is>
          <t>NU02-25</t>
        </is>
      </c>
      <c r="B386" s="15" t="n"/>
      <c r="C386" s="15" t="n"/>
      <c r="D386" s="15" t="inlineStr">
        <is>
          <t>NU02</t>
        </is>
      </c>
      <c r="E386" s="15" t="inlineStr">
        <is>
          <t>Vitra Eames Elephant, kleine Ausführung, schwarz</t>
        </is>
      </c>
      <c r="F386" s="16" t="inlineStr">
        <is>
          <t>Eames Elephant Small von Vitra, Entwurf Charles und Ray Eames 1945: Sitz- und Spieltier in Elefantenform aus Kunststoff, kleine Ausführung, schwarz. An der Flanke das runde Vitra-Metallplättchen.</t>
        </is>
      </c>
      <c r="G386" s="15" t="inlineStr">
        <is>
          <t>Deko</t>
        </is>
      </c>
      <c r="H386" s="15" t="inlineStr">
        <is>
          <t>Gruppenraum 5</t>
        </is>
      </c>
      <c r="I386" s="15" t="inlineStr">
        <is>
          <t>A</t>
        </is>
      </c>
      <c r="J386" s="17" t="n">
        <v>1</v>
      </c>
      <c r="K386" s="17" t="n"/>
      <c r="L386" s="18">
        <f>J386-IF(K386="",0,K386)</f>
        <v/>
      </c>
      <c r="M386" s="15" t="inlineStr">
        <is>
          <t>Stück</t>
        </is>
      </c>
      <c r="N386" s="15" t="inlineStr">
        <is>
          <t>gebraucht</t>
        </is>
      </c>
      <c r="O386" s="19" t="n"/>
      <c r="P386" s="19" t="inlineStr">
        <is>
          <t>ja</t>
        </is>
      </c>
      <c r="Q386" s="19" t="n"/>
      <c r="R386" s="20" t="n"/>
      <c r="S386" s="20" t="n">
        <v>110</v>
      </c>
      <c r="T386" s="19" t="inlineStr">
        <is>
          <t>VHB</t>
        </is>
      </c>
      <c r="U386" s="21">
        <f>L386*S386</f>
        <v/>
      </c>
      <c r="V386" s="15" t="inlineStr">
        <is>
          <t>Versand möglich</t>
        </is>
      </c>
      <c r="W386" s="15" t="inlineStr">
        <is>
          <t>F-487</t>
        </is>
      </c>
      <c r="X386" s="19" t="inlineStr">
        <is>
          <t>ja</t>
        </is>
      </c>
      <c r="Y386" s="19" t="n"/>
      <c r="Z386" s="19" t="inlineStr">
        <is>
          <t>verfügbar</t>
        </is>
      </c>
      <c r="AA386" s="19" t="inlineStr">
        <is>
          <t>Vitra</t>
        </is>
      </c>
      <c r="AB386" s="19" t="n"/>
      <c r="AC386" s="19" t="n"/>
      <c r="AD386" s="19" t="n"/>
      <c r="AE386" s="20" t="n"/>
      <c r="AF386" s="21">
        <f>IF(K386="","",K386*AE386)</f>
        <v/>
      </c>
      <c r="AG386" s="19" t="n"/>
      <c r="AH386" s="19" t="n"/>
      <c r="AI386" s="19" t="n"/>
      <c r="AJ386" s="19" t="n"/>
      <c r="AK386" s="19" t="n"/>
      <c r="AL386" s="19" t="n"/>
      <c r="AM386" s="16" t="inlineStr">
        <is>
          <t>1 Elefant. Auf dem Foto steht er neben einem Exemplar der großen Ausführung (NU02-18), sodass der Größenunterschied zu sehen ist.</t>
        </is>
      </c>
      <c r="AN386" s="22" t="n"/>
    </row>
    <row r="387" ht="30" customHeight="1">
      <c r="A387" s="15" t="inlineStr">
        <is>
          <t>BE01-04</t>
        </is>
      </c>
      <c r="B387" s="15" t="n"/>
      <c r="C387" s="15" t="n"/>
      <c r="D387" s="15" t="inlineStr">
        <is>
          <t>BE01</t>
        </is>
      </c>
      <c r="E387" s="15" t="inlineStr">
        <is>
          <t>Beistelltisch rund, Drahtgestell schwarz</t>
        </is>
      </c>
      <c r="F387" s="16" t="inlineStr">
        <is>
          <t>Runder Beistelltisch mit taillentem Gestell aus schwarzen Rundstäben und aufgelegter Holzplatte in Nussbaumton.</t>
        </is>
      </c>
      <c r="G387" s="15" t="inlineStr">
        <is>
          <t>Möbel</t>
        </is>
      </c>
      <c r="H387" s="15" t="inlineStr">
        <is>
          <t>Flur 1</t>
        </is>
      </c>
      <c r="I387" s="15" t="inlineStr">
        <is>
          <t>C</t>
        </is>
      </c>
      <c r="J387" s="17" t="n">
        <v>1</v>
      </c>
      <c r="K387" s="17" t="n"/>
      <c r="L387" s="18">
        <f>J387-IF(K387="",0,K387)</f>
        <v/>
      </c>
      <c r="M387" s="15" t="inlineStr">
        <is>
          <t>Stück</t>
        </is>
      </c>
      <c r="N387" s="15" t="inlineStr">
        <is>
          <t>gut</t>
        </is>
      </c>
      <c r="O387" s="19" t="n"/>
      <c r="P387" s="19" t="inlineStr">
        <is>
          <t>ja</t>
        </is>
      </c>
      <c r="Q387" s="19" t="n"/>
      <c r="R387" s="20" t="n"/>
      <c r="S387" s="20" t="n">
        <v>45</v>
      </c>
      <c r="T387" s="19" t="inlineStr">
        <is>
          <t>VHB</t>
        </is>
      </c>
      <c r="U387" s="21">
        <f>L387*S387</f>
        <v/>
      </c>
      <c r="V387" s="15" t="inlineStr">
        <is>
          <t>nur Abholung</t>
        </is>
      </c>
      <c r="W387" s="15" t="inlineStr">
        <is>
          <t>F-489</t>
        </is>
      </c>
      <c r="X387" s="19" t="inlineStr">
        <is>
          <t>ja</t>
        </is>
      </c>
      <c r="Y387" s="19" t="n"/>
      <c r="Z387" s="19" t="inlineStr">
        <is>
          <t>verfügbar</t>
        </is>
      </c>
      <c r="AA387" s="19" t="n"/>
      <c r="AB387" s="19" t="n"/>
      <c r="AC387" s="19" t="n"/>
      <c r="AD387" s="19" t="n"/>
      <c r="AE387" s="20" t="n"/>
      <c r="AF387" s="21">
        <f>IF(K387="","",K387*AE387)</f>
        <v/>
      </c>
      <c r="AG387" s="19" t="n"/>
      <c r="AH387" s="19" t="n"/>
      <c r="AI387" s="19" t="n"/>
      <c r="AJ387" s="19" t="n"/>
      <c r="AK387" s="19" t="n"/>
      <c r="AL387" s="19" t="n"/>
      <c r="AM387" s="16" t="inlineStr">
        <is>
          <t>1 Tisch.</t>
        </is>
      </c>
      <c r="AN387" s="22" t="n"/>
    </row>
    <row r="388" ht="30" customHeight="1">
      <c r="A388" s="15" t="inlineStr">
        <is>
          <t>BE01-05</t>
        </is>
      </c>
      <c r="B388" s="15" t="n"/>
      <c r="C388" s="15" t="n"/>
      <c r="D388" s="15" t="inlineStr">
        <is>
          <t>BE01</t>
        </is>
      </c>
      <c r="E388" s="15" t="inlineStr">
        <is>
          <t>Wandhängeregal weiß, drei Fächer</t>
        </is>
      </c>
      <c r="F388" s="16" t="inlineStr">
        <is>
          <t>Weißes Wandregal mit drei offenen Fächern und seitlichen Aufhängungen, zum Einhängen an eine Schiene.</t>
        </is>
      </c>
      <c r="G388" s="15" t="inlineStr">
        <is>
          <t>Möbel</t>
        </is>
      </c>
      <c r="H388" s="15" t="inlineStr">
        <is>
          <t>Flur 1</t>
        </is>
      </c>
      <c r="I388" s="15" t="inlineStr">
        <is>
          <t>C</t>
        </is>
      </c>
      <c r="J388" s="17" t="n">
        <v>2</v>
      </c>
      <c r="K388" s="17" t="n"/>
      <c r="L388" s="18">
        <f>J388-IF(K388="",0,K388)</f>
        <v/>
      </c>
      <c r="M388" s="15" t="inlineStr">
        <is>
          <t>Stück</t>
        </is>
      </c>
      <c r="N388" s="15" t="inlineStr">
        <is>
          <t>gebraucht</t>
        </is>
      </c>
      <c r="O388" s="19" t="n"/>
      <c r="P388" s="19" t="inlineStr">
        <is>
          <t>ja</t>
        </is>
      </c>
      <c r="Q388" s="19" t="n"/>
      <c r="R388" s="20" t="n"/>
      <c r="S388" s="20" t="n">
        <v>35</v>
      </c>
      <c r="T388" s="19" t="inlineStr">
        <is>
          <t>VHB</t>
        </is>
      </c>
      <c r="U388" s="21">
        <f>L388*S388</f>
        <v/>
      </c>
      <c r="V388" s="15" t="inlineStr">
        <is>
          <t>nur Abholung</t>
        </is>
      </c>
      <c r="W388" s="15" t="inlineStr">
        <is>
          <t>F-490</t>
        </is>
      </c>
      <c r="X388" s="19" t="inlineStr">
        <is>
          <t>ja</t>
        </is>
      </c>
      <c r="Y388" s="19" t="n"/>
      <c r="Z388" s="19" t="inlineStr">
        <is>
          <t>verfügbar</t>
        </is>
      </c>
      <c r="AA388" s="19" t="n"/>
      <c r="AB388" s="19" t="n"/>
      <c r="AC388" s="19" t="n"/>
      <c r="AD388" s="19" t="n"/>
      <c r="AE388" s="20" t="n"/>
      <c r="AF388" s="21">
        <f>IF(K388="","",K388*AE388)</f>
        <v/>
      </c>
      <c r="AG388" s="19" t="n"/>
      <c r="AH388" s="19" t="n"/>
      <c r="AI388" s="19" t="n"/>
      <c r="AJ388" s="19" t="n"/>
      <c r="AK388" s="19" t="n"/>
      <c r="AL388" s="19" t="n"/>
      <c r="AM388" s="16" t="inlineStr">
        <is>
          <t>2 Regale – abgebildet ist eines davon. Die Dekoration gehört nicht dazu.</t>
        </is>
      </c>
      <c r="AN388" s="22" t="n"/>
    </row>
    <row r="389" ht="30" customHeight="1">
      <c r="A389" s="15" t="inlineStr">
        <is>
          <t>BE01-06</t>
        </is>
      </c>
      <c r="B389" s="15" t="n"/>
      <c r="C389" s="15" t="n"/>
      <c r="D389" s="15" t="inlineStr">
        <is>
          <t>BE01</t>
        </is>
      </c>
      <c r="E389" s="15" t="inlineStr">
        <is>
          <t>Wandregal in Hausform, Holz</t>
        </is>
      </c>
      <c r="F389" s="16" t="inlineStr">
        <is>
          <t>Wandelement in Hausform aus hellem Holz mit offener Front, als Bilder- oder Dekoablage.</t>
        </is>
      </c>
      <c r="G389" s="15" t="inlineStr">
        <is>
          <t>Deko</t>
        </is>
      </c>
      <c r="H389" s="15" t="inlineStr">
        <is>
          <t>Flur 1</t>
        </is>
      </c>
      <c r="I389" s="15" t="inlineStr">
        <is>
          <t>C</t>
        </is>
      </c>
      <c r="J389" s="17" t="n">
        <v>2</v>
      </c>
      <c r="K389" s="17" t="n"/>
      <c r="L389" s="18">
        <f>J389-IF(K389="",0,K389)</f>
        <v/>
      </c>
      <c r="M389" s="15" t="inlineStr">
        <is>
          <t>Stück</t>
        </is>
      </c>
      <c r="N389" s="15" t="inlineStr">
        <is>
          <t>gut</t>
        </is>
      </c>
      <c r="O389" s="19" t="n"/>
      <c r="P389" s="19" t="inlineStr">
        <is>
          <t>ja</t>
        </is>
      </c>
      <c r="Q389" s="19" t="n"/>
      <c r="R389" s="20" t="n"/>
      <c r="S389" s="20" t="n">
        <v>20</v>
      </c>
      <c r="T389" s="19" t="inlineStr">
        <is>
          <t>VHB</t>
        </is>
      </c>
      <c r="U389" s="21">
        <f>L389*S389</f>
        <v/>
      </c>
      <c r="V389" s="15" t="inlineStr">
        <is>
          <t>Versand möglich</t>
        </is>
      </c>
      <c r="W389" s="15" t="inlineStr">
        <is>
          <t>F-491</t>
        </is>
      </c>
      <c r="X389" s="19" t="inlineStr">
        <is>
          <t>ja</t>
        </is>
      </c>
      <c r="Y389" s="19" t="n"/>
      <c r="Z389" s="19" t="inlineStr">
        <is>
          <t>verfügbar</t>
        </is>
      </c>
      <c r="AA389" s="19" t="n"/>
      <c r="AB389" s="19" t="n"/>
      <c r="AC389" s="19" t="n"/>
      <c r="AD389" s="19" t="n"/>
      <c r="AE389" s="20" t="n"/>
      <c r="AF389" s="21">
        <f>IF(K389="","",K389*AE389)</f>
        <v/>
      </c>
      <c r="AG389" s="19" t="n"/>
      <c r="AH389" s="19" t="n"/>
      <c r="AI389" s="19" t="n"/>
      <c r="AJ389" s="19" t="n"/>
      <c r="AK389" s="19" t="n"/>
      <c r="AL389" s="19" t="n"/>
      <c r="AM389" s="16" t="inlineStr">
        <is>
          <t>2 Häuser in zwei Größen, beide abgebildet.</t>
        </is>
      </c>
      <c r="AN389" s="22" t="n"/>
    </row>
    <row r="390" ht="30" customHeight="1">
      <c r="A390" s="15" t="inlineStr">
        <is>
          <t>BE01-07</t>
        </is>
      </c>
      <c r="B390" s="15" t="n"/>
      <c r="C390" s="15" t="n"/>
      <c r="D390" s="15" t="inlineStr">
        <is>
          <t>BE01</t>
        </is>
      </c>
      <c r="E390" s="15" t="inlineStr">
        <is>
          <t>Wanddeko Hirschkopf mit Holzgeweih</t>
        </is>
      </c>
      <c r="F390" s="16" t="inlineStr">
        <is>
          <t>Hirschkopf als Wanddekoration: facettierter Kopf in Braun-Grau mit aufgestecktem Geweih aus hellem Holz.</t>
        </is>
      </c>
      <c r="G390" s="15" t="inlineStr">
        <is>
          <t>Deko</t>
        </is>
      </c>
      <c r="H390" s="15" t="inlineStr">
        <is>
          <t>Flur 1</t>
        </is>
      </c>
      <c r="I390" s="15" t="inlineStr">
        <is>
          <t>C</t>
        </is>
      </c>
      <c r="J390" s="17" t="n">
        <v>1</v>
      </c>
      <c r="K390" s="17" t="n"/>
      <c r="L390" s="18">
        <f>J390-IF(K390="",0,K390)</f>
        <v/>
      </c>
      <c r="M390" s="15" t="inlineStr">
        <is>
          <t>Stück</t>
        </is>
      </c>
      <c r="N390" s="15" t="inlineStr">
        <is>
          <t>gut</t>
        </is>
      </c>
      <c r="O390" s="19" t="n"/>
      <c r="P390" s="19" t="inlineStr">
        <is>
          <t>ja</t>
        </is>
      </c>
      <c r="Q390" s="19" t="n"/>
      <c r="R390" s="20" t="n"/>
      <c r="S390" s="20" t="n">
        <v>35</v>
      </c>
      <c r="T390" s="19" t="inlineStr">
        <is>
          <t>VHB</t>
        </is>
      </c>
      <c r="U390" s="21">
        <f>L390*S390</f>
        <v/>
      </c>
      <c r="V390" s="15" t="inlineStr">
        <is>
          <t>Versand möglich</t>
        </is>
      </c>
      <c r="W390" s="15" t="inlineStr">
        <is>
          <t>F-492</t>
        </is>
      </c>
      <c r="X390" s="19" t="inlineStr">
        <is>
          <t>ja</t>
        </is>
      </c>
      <c r="Y390" s="19" t="n"/>
      <c r="Z390" s="19" t="inlineStr">
        <is>
          <t>verfügbar</t>
        </is>
      </c>
      <c r="AA390" s="19" t="n"/>
      <c r="AB390" s="19" t="n"/>
      <c r="AC390" s="19" t="n"/>
      <c r="AD390" s="19" t="n"/>
      <c r="AE390" s="20" t="n"/>
      <c r="AF390" s="21">
        <f>IF(K390="","",K390*AE390)</f>
        <v/>
      </c>
      <c r="AG390" s="19" t="n"/>
      <c r="AH390" s="19" t="n"/>
      <c r="AI390" s="19" t="n"/>
      <c r="AJ390" s="19" t="n"/>
      <c r="AK390" s="19" t="n"/>
      <c r="AL390" s="19" t="n"/>
      <c r="AM390" s="16" t="inlineStr">
        <is>
          <t>1 Stück. Flache Hirschköpfe aus Sperrholz stehen unter NU04-01.</t>
        </is>
      </c>
      <c r="AN390" s="22" t="n"/>
    </row>
    <row r="391" ht="30" customHeight="1">
      <c r="A391" s="15" t="inlineStr">
        <is>
          <t>BE10-05</t>
        </is>
      </c>
      <c r="B391" s="15" t="n"/>
      <c r="C391" s="15" t="n"/>
      <c r="D391" s="15" t="inlineStr">
        <is>
          <t>BE10</t>
        </is>
      </c>
      <c r="E391" s="15" t="inlineStr">
        <is>
          <t>Schalenstuhl weiß mit Holzbeinen</t>
        </is>
      </c>
      <c r="F391" s="16" t="inlineStr">
        <is>
          <t>Stuhl mit weißer Kunststoff-Sitzschale auf konischen Beinen aus hellem Holz mit schwarzer Drahtstrebe. Kein Original: Das Etikett an der Unterseite nennt P and N Homewares Ltd, Leicester, Item No. EC101.</t>
        </is>
      </c>
      <c r="G391" s="15" t="inlineStr">
        <is>
          <t>Möbel</t>
        </is>
      </c>
      <c r="H391" s="15" t="inlineStr">
        <is>
          <t>Büro / Besprechung</t>
        </is>
      </c>
      <c r="I391" s="15" t="inlineStr">
        <is>
          <t>B</t>
        </is>
      </c>
      <c r="J391" s="17" t="n">
        <v>9</v>
      </c>
      <c r="K391" s="17" t="n"/>
      <c r="L391" s="18">
        <f>J391-IF(K391="",0,K391)</f>
        <v/>
      </c>
      <c r="M391" s="15" t="inlineStr">
        <is>
          <t>Stück</t>
        </is>
      </c>
      <c r="N391" s="15" t="inlineStr">
        <is>
          <t>gut</t>
        </is>
      </c>
      <c r="O391" s="19" t="n"/>
      <c r="P391" s="19" t="inlineStr">
        <is>
          <t>ja</t>
        </is>
      </c>
      <c r="Q391" s="19" t="n"/>
      <c r="R391" s="20" t="n"/>
      <c r="S391" s="20" t="n">
        <v>30</v>
      </c>
      <c r="T391" s="19" t="inlineStr">
        <is>
          <t>VHB</t>
        </is>
      </c>
      <c r="U391" s="21">
        <f>L391*S391</f>
        <v/>
      </c>
      <c r="V391" s="15" t="inlineStr">
        <is>
          <t>Versand möglich</t>
        </is>
      </c>
      <c r="W391" s="15" t="inlineStr">
        <is>
          <t>F-495</t>
        </is>
      </c>
      <c r="X391" s="19" t="inlineStr">
        <is>
          <t>ja</t>
        </is>
      </c>
      <c r="Y391" s="19" t="n"/>
      <c r="Z391" s="19" t="inlineStr">
        <is>
          <t>verfügbar</t>
        </is>
      </c>
      <c r="AA391" s="19" t="n"/>
      <c r="AB391" s="19" t="n"/>
      <c r="AC391" s="19" t="n"/>
      <c r="AD391" s="19" t="n"/>
      <c r="AE391" s="20" t="n"/>
      <c r="AF391" s="21">
        <f>IF(K391="","",K391*AE391)</f>
        <v/>
      </c>
      <c r="AG391" s="19" t="n"/>
      <c r="AH391" s="19" t="n"/>
      <c r="AI391" s="19" t="n"/>
      <c r="AJ391" s="19" t="n"/>
      <c r="AK391" s="19" t="n"/>
      <c r="AL391" s="19" t="n"/>
      <c r="AM391" s="16" t="inlineStr">
        <is>
          <t>9 Stühle – abgebildet ist einer davon. Das Etikett ist auf Foto F-496 zu sehen.</t>
        </is>
      </c>
      <c r="AN391" s="22" t="n"/>
    </row>
    <row r="392" ht="30" customHeight="1">
      <c r="A392" s="15" t="inlineStr">
        <is>
          <t>BE10-06</t>
        </is>
      </c>
      <c r="B392" s="15" t="n"/>
      <c r="C392" s="15" t="n"/>
      <c r="D392" s="15" t="inlineStr">
        <is>
          <t>BE10</t>
        </is>
      </c>
      <c r="E392" s="15" t="inlineStr">
        <is>
          <t>Acrylbild abstrakt, schwarz-weiß-beige, großformatig</t>
        </is>
      </c>
      <c r="F392" s="16" t="inlineStr">
        <is>
          <t>Acryl auf Leinwand im Querformat: breite Pinselzüge und Spachtelflächen in Schwarz, Weiß, Grau und Beige. Eigenarbeit einer Privatperson, nicht signiert.</t>
        </is>
      </c>
      <c r="G392" s="15" t="inlineStr">
        <is>
          <t>Kunst</t>
        </is>
      </c>
      <c r="H392" s="15" t="inlineStr">
        <is>
          <t>Büro / Besprechung</t>
        </is>
      </c>
      <c r="I392" s="15" t="inlineStr">
        <is>
          <t>B</t>
        </is>
      </c>
      <c r="J392" s="17" t="n">
        <v>1</v>
      </c>
      <c r="K392" s="17" t="n"/>
      <c r="L392" s="18">
        <f>J392-IF(K392="",0,K392)</f>
        <v/>
      </c>
      <c r="M392" s="15" t="inlineStr">
        <is>
          <t>Stück</t>
        </is>
      </c>
      <c r="N392" s="15" t="inlineStr">
        <is>
          <t>gut</t>
        </is>
      </c>
      <c r="O392" s="19" t="n"/>
      <c r="P392" s="19" t="inlineStr">
        <is>
          <t>ja</t>
        </is>
      </c>
      <c r="Q392" s="19" t="n"/>
      <c r="R392" s="20" t="n"/>
      <c r="S392" s="20" t="n">
        <v>180</v>
      </c>
      <c r="T392" s="19" t="inlineStr">
        <is>
          <t>VHB</t>
        </is>
      </c>
      <c r="U392" s="21">
        <f>L392*S392</f>
        <v/>
      </c>
      <c r="V392" s="15" t="inlineStr">
        <is>
          <t>nur Abholung</t>
        </is>
      </c>
      <c r="W392" s="15" t="inlineStr">
        <is>
          <t>F-497</t>
        </is>
      </c>
      <c r="X392" s="19" t="inlineStr">
        <is>
          <t>ja</t>
        </is>
      </c>
      <c r="Y392" s="19" t="n"/>
      <c r="Z392" s="19" t="inlineStr">
        <is>
          <t>verfügbar</t>
        </is>
      </c>
      <c r="AA392" s="19" t="n"/>
      <c r="AB392" s="19" t="n"/>
      <c r="AC392" s="19" t="n"/>
      <c r="AD392" s="19" t="n"/>
      <c r="AE392" s="20" t="n"/>
      <c r="AF392" s="21">
        <f>IF(K392="","",K392*AE392)</f>
        <v/>
      </c>
      <c r="AG392" s="19" t="n"/>
      <c r="AH392" s="19" t="n"/>
      <c r="AI392" s="19" t="n"/>
      <c r="AJ392" s="19" t="n"/>
      <c r="AK392" s="19" t="n"/>
      <c r="AL392" s="19" t="n"/>
      <c r="AM392" s="16" t="inlineStr">
        <is>
          <t>1 Bild auf Keilrahmen, ungerahmt.</t>
        </is>
      </c>
      <c r="AN392" s="22" t="n"/>
    </row>
    <row r="393" ht="30" customHeight="1">
      <c r="A393" s="15" t="inlineStr">
        <is>
          <t>BE10-07</t>
        </is>
      </c>
      <c r="B393" s="15" t="n"/>
      <c r="C393" s="15" t="n"/>
      <c r="D393" s="15" t="inlineStr">
        <is>
          <t>BE10</t>
        </is>
      </c>
      <c r="E393" s="15" t="inlineStr">
        <is>
          <t>Flipchart fahrbar mit Papierrolle</t>
        </is>
      </c>
      <c r="F393" s="16" t="inlineStr">
        <is>
          <t>Flipchart auf einem Standfuß mit weißer Säule, mit eingehängter Papierrolle. Aufdruck am unteren Rand der Rolle: Staufen.</t>
        </is>
      </c>
      <c r="G393" s="15" t="inlineStr">
        <is>
          <t>Büro</t>
        </is>
      </c>
      <c r="H393" s="15" t="inlineStr">
        <is>
          <t>Büro / Besprechung</t>
        </is>
      </c>
      <c r="I393" s="15" t="inlineStr">
        <is>
          <t>C</t>
        </is>
      </c>
      <c r="J393" s="17" t="n">
        <v>1</v>
      </c>
      <c r="K393" s="17" t="n"/>
      <c r="L393" s="18">
        <f>J393-IF(K393="",0,K393)</f>
        <v/>
      </c>
      <c r="M393" s="15" t="inlineStr">
        <is>
          <t>Stück</t>
        </is>
      </c>
      <c r="N393" s="15" t="inlineStr">
        <is>
          <t>gut</t>
        </is>
      </c>
      <c r="O393" s="19" t="n"/>
      <c r="P393" s="19" t="inlineStr">
        <is>
          <t>ja</t>
        </is>
      </c>
      <c r="Q393" s="19" t="n"/>
      <c r="R393" s="20" t="n"/>
      <c r="S393" s="20" t="n">
        <v>90</v>
      </c>
      <c r="T393" s="19" t="inlineStr">
        <is>
          <t>VHB</t>
        </is>
      </c>
      <c r="U393" s="21">
        <f>L393*S393</f>
        <v/>
      </c>
      <c r="V393" s="15" t="inlineStr">
        <is>
          <t>nur Abholung</t>
        </is>
      </c>
      <c r="W393" s="15" t="inlineStr">
        <is>
          <t>F-499</t>
        </is>
      </c>
      <c r="X393" s="19" t="inlineStr">
        <is>
          <t>ja</t>
        </is>
      </c>
      <c r="Y393" s="19" t="n"/>
      <c r="Z393" s="19" t="inlineStr">
        <is>
          <t>verfügbar</t>
        </is>
      </c>
      <c r="AA393" s="19" t="n"/>
      <c r="AB393" s="19" t="n"/>
      <c r="AC393" s="19" t="n"/>
      <c r="AD393" s="19" t="n"/>
      <c r="AE393" s="20" t="n"/>
      <c r="AF393" s="21">
        <f>IF(K393="","",K393*AE393)</f>
        <v/>
      </c>
      <c r="AG393" s="19" t="n"/>
      <c r="AH393" s="19" t="n"/>
      <c r="AI393" s="19" t="n"/>
      <c r="AJ393" s="19" t="n"/>
      <c r="AK393" s="19" t="n"/>
      <c r="AL393" s="19" t="n"/>
      <c r="AM393" s="16" t="inlineStr">
        <is>
          <t>1 Flipchart einschließlich der angefangenen Papierrolle.</t>
        </is>
      </c>
      <c r="AN393" s="22" t="n"/>
    </row>
    <row r="394" ht="30" customHeight="1">
      <c r="A394" s="15" t="inlineStr">
        <is>
          <t>BE10-08</t>
        </is>
      </c>
      <c r="B394" s="15" t="n"/>
      <c r="C394" s="15" t="n"/>
      <c r="D394" s="15" t="inlineStr">
        <is>
          <t>BE10</t>
        </is>
      </c>
      <c r="E394" s="15" t="inlineStr">
        <is>
          <t>Eckschreibtisch weiß</t>
        </is>
      </c>
      <c r="F394" s="16" t="inlineStr">
        <is>
          <t>Eckschreibtisch mit weißer Platte und ausgeschnittener Vorderkante auf weißem Metallgestell mit Säulenfüßen.</t>
        </is>
      </c>
      <c r="G394" s="15" t="inlineStr">
        <is>
          <t>Büro</t>
        </is>
      </c>
      <c r="H394" s="15" t="inlineStr">
        <is>
          <t>Büro / Besprechung</t>
        </is>
      </c>
      <c r="I394" s="15" t="inlineStr">
        <is>
          <t>B</t>
        </is>
      </c>
      <c r="J394" s="17" t="n">
        <v>1</v>
      </c>
      <c r="K394" s="17" t="n"/>
      <c r="L394" s="18">
        <f>J394-IF(K394="",0,K394)</f>
        <v/>
      </c>
      <c r="M394" s="15" t="inlineStr">
        <is>
          <t>Stück</t>
        </is>
      </c>
      <c r="N394" s="15" t="inlineStr">
        <is>
          <t>gebraucht</t>
        </is>
      </c>
      <c r="O394" s="19" t="n"/>
      <c r="P394" s="19" t="inlineStr">
        <is>
          <t>ja</t>
        </is>
      </c>
      <c r="Q394" s="19" t="n"/>
      <c r="R394" s="20" t="n"/>
      <c r="S394" s="20" t="n">
        <v>150</v>
      </c>
      <c r="T394" s="19" t="inlineStr">
        <is>
          <t>VHB</t>
        </is>
      </c>
      <c r="U394" s="21">
        <f>L394*S394</f>
        <v/>
      </c>
      <c r="V394" s="15" t="inlineStr">
        <is>
          <t>nur Abholung</t>
        </is>
      </c>
      <c r="W394" s="15" t="inlineStr">
        <is>
          <t>F-500</t>
        </is>
      </c>
      <c r="X394" s="19" t="inlineStr">
        <is>
          <t>ja</t>
        </is>
      </c>
      <c r="Y394" s="19" t="n"/>
      <c r="Z394" s="19" t="inlineStr">
        <is>
          <t>verfügbar</t>
        </is>
      </c>
      <c r="AA394" s="19" t="n"/>
      <c r="AB394" s="19" t="n"/>
      <c r="AC394" s="19" t="n"/>
      <c r="AD394" s="19" t="n"/>
      <c r="AE394" s="20" t="n"/>
      <c r="AF394" s="21">
        <f>IF(K394="","",K394*AE394)</f>
        <v/>
      </c>
      <c r="AG394" s="19" t="n"/>
      <c r="AH394" s="19" t="n"/>
      <c r="AI394" s="19" t="n"/>
      <c r="AJ394" s="19" t="n"/>
      <c r="AK394" s="19" t="n"/>
      <c r="AL394" s="19" t="n"/>
      <c r="AM394" s="16" t="inlineStr">
        <is>
          <t>1 Tisch. Rechner, Bildschirm, Tastatur, Schreibunterlage und das übrige Zubehör gehören nicht dazu. Das Post-it ist auf Foto F-501 zu lesen.</t>
        </is>
      </c>
      <c r="AN394" s="22" t="n"/>
    </row>
    <row r="395" ht="30" customHeight="1">
      <c r="A395" s="15" t="inlineStr">
        <is>
          <t>TE02-07</t>
        </is>
      </c>
      <c r="B395" s="15" t="n"/>
      <c r="C395" s="15" t="n"/>
      <c r="D395" s="15" t="inlineStr">
        <is>
          <t>TE02</t>
        </is>
      </c>
      <c r="E395" s="15" t="inlineStr">
        <is>
          <t>KidKraft Kinder-Strandliege mit Sonnendach</t>
        </is>
      </c>
      <c r="F395" s="16" t="inlineStr">
        <is>
          <t>Liege für Kinder aus lasiertem Holz mit Lattenrost, hochgestellter Rückenlehne, Sonnendach aus grauem Stoff und einer Mittelkonsole mit zwei Bechereinsätzen. Das Holz ist wettergrau, der Stoff verschmutzt.</t>
        </is>
      </c>
      <c r="G395" s="15" t="inlineStr">
        <is>
          <t>Garten</t>
        </is>
      </c>
      <c r="H395" s="15" t="inlineStr">
        <is>
          <t>Dachterrasse</t>
        </is>
      </c>
      <c r="I395" s="15" t="inlineStr">
        <is>
          <t>C</t>
        </is>
      </c>
      <c r="J395" s="17" t="n">
        <v>1</v>
      </c>
      <c r="K395" s="17" t="n"/>
      <c r="L395" s="18">
        <f>J395-IF(K395="",0,K395)</f>
        <v/>
      </c>
      <c r="M395" s="15" t="inlineStr">
        <is>
          <t>Stück</t>
        </is>
      </c>
      <c r="N395" s="15" t="inlineStr">
        <is>
          <t>gebraucht</t>
        </is>
      </c>
      <c r="O395" s="19" t="n"/>
      <c r="P395" s="19" t="inlineStr">
        <is>
          <t>ja</t>
        </is>
      </c>
      <c r="Q395" s="19" t="n"/>
      <c r="R395" s="20" t="n"/>
      <c r="S395" s="20" t="n">
        <v>60</v>
      </c>
      <c r="T395" s="19" t="inlineStr">
        <is>
          <t>VHB</t>
        </is>
      </c>
      <c r="U395" s="21">
        <f>L395*S395</f>
        <v/>
      </c>
      <c r="V395" s="15" t="inlineStr">
        <is>
          <t>nur Abholung</t>
        </is>
      </c>
      <c r="W395" s="15" t="inlineStr">
        <is>
          <t>F-504</t>
        </is>
      </c>
      <c r="X395" s="19" t="inlineStr">
        <is>
          <t>ja</t>
        </is>
      </c>
      <c r="Y395" s="19" t="n"/>
      <c r="Z395" s="19" t="inlineStr">
        <is>
          <t>verfügbar</t>
        </is>
      </c>
      <c r="AA395" s="19" t="inlineStr">
        <is>
          <t>KidKraft</t>
        </is>
      </c>
      <c r="AB395" s="19" t="n"/>
      <c r="AC395" s="19" t="n"/>
      <c r="AD395" s="19" t="n"/>
      <c r="AE395" s="20" t="n"/>
      <c r="AF395" s="21">
        <f>IF(K395="","",K395*AE395)</f>
        <v/>
      </c>
      <c r="AG395" s="19" t="n"/>
      <c r="AH395" s="19" t="n"/>
      <c r="AI395" s="19" t="n"/>
      <c r="AJ395" s="19" t="n"/>
      <c r="AK395" s="19" t="n"/>
      <c r="AL395" s="19" t="n"/>
      <c r="AM395" s="16" t="inlineStr">
        <is>
          <t>1 Liege einschließlich Sonnendach und Mittelkonsole.</t>
        </is>
      </c>
      <c r="AN395" s="22" t="n"/>
    </row>
    <row r="396" ht="30" customHeight="1">
      <c r="A396" s="15" t="inlineStr">
        <is>
          <t>TE02-08</t>
        </is>
      </c>
      <c r="B396" s="15" t="n"/>
      <c r="C396" s="15" t="n"/>
      <c r="D396" s="15" t="inlineStr">
        <is>
          <t>TE02</t>
        </is>
      </c>
      <c r="E396" s="15" t="inlineStr">
        <is>
          <t>IKEA Skarpö Sessel weiß</t>
        </is>
      </c>
      <c r="F396" s="16" t="inlineStr">
        <is>
          <t>Gartensessel IKEA Skarpö, Entwurf Magnus Elebäck: weißer Kunststoff in einem Stück, stapelbar. Etikett an der Unterseite: Skarpö, 702.341.85, 18809. Sitzflächen verschmutzt und bewittert.</t>
        </is>
      </c>
      <c r="G396" s="15" t="inlineStr">
        <is>
          <t>Garten</t>
        </is>
      </c>
      <c r="H396" s="15" t="inlineStr">
        <is>
          <t>Dachterrasse</t>
        </is>
      </c>
      <c r="I396" s="15" t="inlineStr">
        <is>
          <t>C</t>
        </is>
      </c>
      <c r="J396" s="17" t="n">
        <v>4</v>
      </c>
      <c r="K396" s="17" t="n"/>
      <c r="L396" s="18">
        <f>J396-IF(K396="",0,K396)</f>
        <v/>
      </c>
      <c r="M396" s="15" t="inlineStr">
        <is>
          <t>Stück</t>
        </is>
      </c>
      <c r="N396" s="15" t="inlineStr">
        <is>
          <t>gebraucht</t>
        </is>
      </c>
      <c r="O396" s="19" t="n"/>
      <c r="P396" s="19" t="inlineStr">
        <is>
          <t>ja</t>
        </is>
      </c>
      <c r="Q396" s="19" t="n"/>
      <c r="R396" s="20" t="n"/>
      <c r="S396" s="20" t="n">
        <v>25</v>
      </c>
      <c r="T396" s="19" t="inlineStr">
        <is>
          <t>VHB</t>
        </is>
      </c>
      <c r="U396" s="21">
        <f>L396*S396</f>
        <v/>
      </c>
      <c r="V396" s="15" t="inlineStr">
        <is>
          <t>nur Abholung</t>
        </is>
      </c>
      <c r="W396" s="15" t="inlineStr">
        <is>
          <t>F-506</t>
        </is>
      </c>
      <c r="X396" s="19" t="inlineStr">
        <is>
          <t>ja</t>
        </is>
      </c>
      <c r="Y396" s="19" t="n"/>
      <c r="Z396" s="19" t="inlineStr">
        <is>
          <t>verfügbar</t>
        </is>
      </c>
      <c r="AA396" s="19" t="inlineStr">
        <is>
          <t>IKEA</t>
        </is>
      </c>
      <c r="AB396" s="19" t="n"/>
      <c r="AC396" s="19" t="n"/>
      <c r="AD396" s="19" t="n"/>
      <c r="AE396" s="20" t="n"/>
      <c r="AF396" s="21">
        <f>IF(K396="","",K396*AE396)</f>
        <v/>
      </c>
      <c r="AG396" s="19" t="n"/>
      <c r="AH396" s="19" t="n"/>
      <c r="AI396" s="19" t="n"/>
      <c r="AJ396" s="19" t="n"/>
      <c r="AK396" s="19" t="n"/>
      <c r="AL396" s="19" t="n"/>
      <c r="AM396" s="16" t="inlineStr">
        <is>
          <t>4 Sessel – abgebildet ist einer davon. Das Etikett ist auf Foto F-505 zu sehen.</t>
        </is>
      </c>
      <c r="AN396" s="22" t="n"/>
    </row>
    <row r="397" ht="30" customHeight="1">
      <c r="A397" s="15" t="inlineStr">
        <is>
          <t>TE02-09</t>
        </is>
      </c>
      <c r="B397" s="15" t="n"/>
      <c r="C397" s="15" t="inlineStr">
        <is>
          <t>TE02-16</t>
        </is>
      </c>
      <c r="D397" s="15" t="inlineStr">
        <is>
          <t>TE02</t>
        </is>
      </c>
      <c r="E397" s="15" t="inlineStr">
        <is>
          <t>IKEA Mammut Kinderstuhl rot</t>
        </is>
      </c>
      <c r="F397" s="16" t="inlineStr">
        <is>
          <t>Kinderstuhl IKEA Mammut aus rotem Kunststoff mit runden Beinen und breiter Rückenlehne, für drinnen und draußen.</t>
        </is>
      </c>
      <c r="G397" s="15" t="inlineStr">
        <is>
          <t>Garten</t>
        </is>
      </c>
      <c r="H397" s="15" t="inlineStr">
        <is>
          <t>Dachterrasse</t>
        </is>
      </c>
      <c r="I397" s="15" t="inlineStr">
        <is>
          <t>C</t>
        </is>
      </c>
      <c r="J397" s="17" t="n">
        <v>20</v>
      </c>
      <c r="K397" s="17" t="n"/>
      <c r="L397" s="18">
        <f>J397-IF(K397="",0,K397)</f>
        <v/>
      </c>
      <c r="M397" s="15" t="inlineStr">
        <is>
          <t>Stück</t>
        </is>
      </c>
      <c r="N397" s="15" t="inlineStr">
        <is>
          <t>gebraucht</t>
        </is>
      </c>
      <c r="O397" s="19" t="n"/>
      <c r="P397" s="19" t="inlineStr">
        <is>
          <t>ja</t>
        </is>
      </c>
      <c r="Q397" s="19" t="n"/>
      <c r="R397" s="20" t="n"/>
      <c r="S397" s="20" t="n">
        <v>12</v>
      </c>
      <c r="T397" s="19" t="inlineStr">
        <is>
          <t>VHB</t>
        </is>
      </c>
      <c r="U397" s="21">
        <f>L397*S397</f>
        <v/>
      </c>
      <c r="V397" s="15" t="inlineStr">
        <is>
          <t>nur Abholung</t>
        </is>
      </c>
      <c r="W397" s="15" t="inlineStr">
        <is>
          <t>F-507</t>
        </is>
      </c>
      <c r="X397" s="19" t="inlineStr">
        <is>
          <t>ja</t>
        </is>
      </c>
      <c r="Y397" s="19" t="n"/>
      <c r="Z397" s="19" t="inlineStr">
        <is>
          <t>verfügbar</t>
        </is>
      </c>
      <c r="AA397" s="19" t="inlineStr">
        <is>
          <t>IKEA</t>
        </is>
      </c>
      <c r="AB397" s="19" t="n"/>
      <c r="AC397" s="19" t="n"/>
      <c r="AD397" s="19" t="n"/>
      <c r="AE397" s="20" t="n"/>
      <c r="AF397" s="21">
        <f>IF(K397="","",K397*AE397)</f>
        <v/>
      </c>
      <c r="AG397" s="19" t="n"/>
      <c r="AH397" s="19" t="n"/>
      <c r="AI397" s="19" t="n"/>
      <c r="AJ397" s="19" t="n"/>
      <c r="AK397" s="19" t="n"/>
      <c r="AL397" s="19" t="n"/>
      <c r="AM397" s="16" t="inlineStr">
        <is>
          <t>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c r="AN397" s="22" t="inlineStr">
        <is>
          <t>Zusammengefasste Position aus zwei Nummern desselben Raums – Post-it-Nummer: TE02-16.</t>
        </is>
      </c>
    </row>
    <row r="398" ht="30" customHeight="1">
      <c r="A398" s="15" t="inlineStr">
        <is>
          <t>TE02-10</t>
        </is>
      </c>
      <c r="B398" s="15" t="n"/>
      <c r="C398" s="15" t="n"/>
      <c r="D398" s="15" t="inlineStr">
        <is>
          <t>TE02</t>
        </is>
      </c>
      <c r="E398" s="15" t="inlineStr">
        <is>
          <t>IKEA Mammut Kinderstuhl grün</t>
        </is>
      </c>
      <c r="F398" s="16" t="inlineStr">
        <is>
          <t>Kinderstuhl IKEA Mammut aus grünem Kunststoff. Die Stühle standen lange im Freien: Farbe ausgeblichen, Oberflächen stumpf und stark verkratzt.</t>
        </is>
      </c>
      <c r="G398" s="15" t="inlineStr">
        <is>
          <t>Garten</t>
        </is>
      </c>
      <c r="H398" s="15" t="inlineStr">
        <is>
          <t>Dachterrasse</t>
        </is>
      </c>
      <c r="I398" s="15" t="inlineStr">
        <is>
          <t>C</t>
        </is>
      </c>
      <c r="J398" s="17" t="n">
        <v>15</v>
      </c>
      <c r="K398" s="17" t="n"/>
      <c r="L398" s="18">
        <f>J398-IF(K398="",0,K398)</f>
        <v/>
      </c>
      <c r="M398" s="15" t="inlineStr">
        <is>
          <t>Stück</t>
        </is>
      </c>
      <c r="N398" s="15" t="inlineStr">
        <is>
          <t>stark gebraucht</t>
        </is>
      </c>
      <c r="O398" s="19" t="n"/>
      <c r="P398" s="19" t="inlineStr">
        <is>
          <t>ja</t>
        </is>
      </c>
      <c r="Q398" s="19" t="n"/>
      <c r="R398" s="20" t="n"/>
      <c r="S398" s="20" t="n">
        <v>5</v>
      </c>
      <c r="T398" s="19" t="inlineStr">
        <is>
          <t>VHB</t>
        </is>
      </c>
      <c r="U398" s="21">
        <f>L398*S398</f>
        <v/>
      </c>
      <c r="V398" s="15" t="inlineStr">
        <is>
          <t>nur Abholung</t>
        </is>
      </c>
      <c r="W398" s="15" t="inlineStr">
        <is>
          <t>F-508</t>
        </is>
      </c>
      <c r="X398" s="19" t="inlineStr">
        <is>
          <t>ja</t>
        </is>
      </c>
      <c r="Y398" s="19" t="n"/>
      <c r="Z398" s="19" t="inlineStr">
        <is>
          <t>verfügbar</t>
        </is>
      </c>
      <c r="AA398" s="19" t="inlineStr">
        <is>
          <t>IKEA</t>
        </is>
      </c>
      <c r="AB398" s="19" t="n"/>
      <c r="AC398" s="19" t="n"/>
      <c r="AD398" s="19" t="n"/>
      <c r="AE398" s="20" t="n"/>
      <c r="AF398" s="21">
        <f>IF(K398="","",K398*AE398)</f>
        <v/>
      </c>
      <c r="AG398" s="19" t="n"/>
      <c r="AH398" s="19" t="n"/>
      <c r="AI398" s="19" t="n"/>
      <c r="AJ398" s="19" t="n"/>
      <c r="AK398" s="19" t="n"/>
      <c r="AL398" s="19" t="n"/>
      <c r="AM398" s="16" t="inlineStr">
        <is>
          <t>15 Stühle – abgebildet ist einer davon. Auf dem Erfassungsblatt als stark verwittert vermerkt. Insgesamt stehen 68 Mammut-Kinderstühle zum Verkauf: 20 rot (TE02-09), 20 weiß (TE02-13 und GA01-06), 16 grün (TE02-10 und NU02-14), 6 rosa (TE02-14, GA01-08 und NU02-14) und 6 blau (GA01-07). Sie stehen als eigene Positionen, weil Zustand und Standort sich unterscheiden.</t>
        </is>
      </c>
      <c r="AN398" s="22" t="n"/>
    </row>
    <row r="399" ht="30" customHeight="1">
      <c r="A399" s="15" t="inlineStr">
        <is>
          <t>TE02-11</t>
        </is>
      </c>
      <c r="B399" s="15" t="n"/>
      <c r="C399" s="15" t="n"/>
      <c r="D399" s="15" t="inlineStr">
        <is>
          <t>TE02</t>
        </is>
      </c>
      <c r="E399" s="15" t="inlineStr">
        <is>
          <t>IKEA Mammut Kindertisch grün, rund</t>
        </is>
      </c>
      <c r="F399" s="16" t="inlineStr">
        <is>
          <t>Runder Kindertisch IKEA Mammut aus grünem Kunststoff auf drei konischen Beinen.</t>
        </is>
      </c>
      <c r="G399" s="15" t="inlineStr">
        <is>
          <t>Garten</t>
        </is>
      </c>
      <c r="H399" s="15" t="inlineStr">
        <is>
          <t>Dachterrasse</t>
        </is>
      </c>
      <c r="I399" s="15" t="inlineStr">
        <is>
          <t>C</t>
        </is>
      </c>
      <c r="J399" s="17" t="n">
        <v>2</v>
      </c>
      <c r="K399" s="17" t="n"/>
      <c r="L399" s="18">
        <f>J399-IF(K399="",0,K399)</f>
        <v/>
      </c>
      <c r="M399" s="15" t="inlineStr">
        <is>
          <t>Stück</t>
        </is>
      </c>
      <c r="N399" s="15" t="inlineStr">
        <is>
          <t>stark gebraucht</t>
        </is>
      </c>
      <c r="O399" s="19" t="n"/>
      <c r="P399" s="19" t="inlineStr">
        <is>
          <t>ja</t>
        </is>
      </c>
      <c r="Q399" s="19" t="n"/>
      <c r="R399" s="20" t="n"/>
      <c r="S399" s="20" t="n">
        <v>15</v>
      </c>
      <c r="T399" s="19" t="inlineStr">
        <is>
          <t>VHB</t>
        </is>
      </c>
      <c r="U399" s="21">
        <f>L399*S399</f>
        <v/>
      </c>
      <c r="V399" s="15" t="inlineStr">
        <is>
          <t>nur Abholung</t>
        </is>
      </c>
      <c r="W399" s="15" t="inlineStr">
        <is>
          <t>F-509</t>
        </is>
      </c>
      <c r="X399" s="19" t="inlineStr">
        <is>
          <t>ja</t>
        </is>
      </c>
      <c r="Y399" s="19" t="n"/>
      <c r="Z399" s="19" t="inlineStr">
        <is>
          <t>verfügbar</t>
        </is>
      </c>
      <c r="AA399" s="19" t="inlineStr">
        <is>
          <t>IKEA</t>
        </is>
      </c>
      <c r="AB399" s="19" t="n"/>
      <c r="AC399" s="19" t="n"/>
      <c r="AD399" s="19" t="n"/>
      <c r="AE399" s="20" t="n"/>
      <c r="AF399" s="21">
        <f>IF(K399="","",K399*AE399)</f>
        <v/>
      </c>
      <c r="AG399" s="19" t="n"/>
      <c r="AH399" s="19" t="n"/>
      <c r="AI399" s="19" t="n"/>
      <c r="AJ399" s="19" t="n"/>
      <c r="AK399" s="19" t="n"/>
      <c r="AL399" s="19" t="n"/>
      <c r="AM399" s="16" t="inlineStr">
        <is>
          <t>2 Tische – abgebildet ist einer davon.</t>
        </is>
      </c>
      <c r="AN399" s="22" t="n"/>
    </row>
    <row r="400" ht="30" customHeight="1">
      <c r="A400" s="15" t="inlineStr">
        <is>
          <t>TE02-12</t>
        </is>
      </c>
      <c r="B400" s="15" t="n"/>
      <c r="C400" s="15" t="n"/>
      <c r="D400" s="15" t="inlineStr">
        <is>
          <t>TE02</t>
        </is>
      </c>
      <c r="E400" s="15" t="inlineStr">
        <is>
          <t>IKEA Mammut Kindertisch grün, rund, stark verwittert</t>
        </is>
      </c>
      <c r="F400" s="16" t="inlineStr">
        <is>
          <t>Runder Kindertisch IKEA Mammut aus grünem Kunststoff. Die Platte ist vom Wetter ausgebleicht und großflächig grau verfärbt.</t>
        </is>
      </c>
      <c r="G400" s="15" t="inlineStr">
        <is>
          <t>Garten</t>
        </is>
      </c>
      <c r="H400" s="15" t="inlineStr">
        <is>
          <t>Dachterrasse</t>
        </is>
      </c>
      <c r="I400" s="15" t="inlineStr">
        <is>
          <t>C</t>
        </is>
      </c>
      <c r="J400" s="17" t="n">
        <v>2</v>
      </c>
      <c r="K400" s="17" t="n"/>
      <c r="L400" s="18">
        <f>J400-IF(K400="",0,K400)</f>
        <v/>
      </c>
      <c r="M400" s="15" t="inlineStr">
        <is>
          <t>Stück</t>
        </is>
      </c>
      <c r="N400" s="15" t="inlineStr">
        <is>
          <t>stark gebraucht</t>
        </is>
      </c>
      <c r="O400" s="19" t="n"/>
      <c r="P400" s="19" t="inlineStr">
        <is>
          <t>ja</t>
        </is>
      </c>
      <c r="Q400" s="19" t="n"/>
      <c r="R400" s="20" t="n"/>
      <c r="S400" s="20" t="n">
        <v>10</v>
      </c>
      <c r="T400" s="19" t="inlineStr">
        <is>
          <t>VHB</t>
        </is>
      </c>
      <c r="U400" s="21">
        <f>L400*S400</f>
        <v/>
      </c>
      <c r="V400" s="15" t="inlineStr">
        <is>
          <t>nur Abholung</t>
        </is>
      </c>
      <c r="W400" s="15" t="inlineStr">
        <is>
          <t>F-510</t>
        </is>
      </c>
      <c r="X400" s="19" t="inlineStr">
        <is>
          <t>ja</t>
        </is>
      </c>
      <c r="Y400" s="19" t="n"/>
      <c r="Z400" s="19" t="inlineStr">
        <is>
          <t>verfügbar</t>
        </is>
      </c>
      <c r="AA400" s="19" t="inlineStr">
        <is>
          <t>IKEA</t>
        </is>
      </c>
      <c r="AB400" s="19" t="n"/>
      <c r="AC400" s="19" t="n"/>
      <c r="AD400" s="19" t="n"/>
      <c r="AE400" s="20" t="n"/>
      <c r="AF400" s="21">
        <f>IF(K400="","",K400*AE400)</f>
        <v/>
      </c>
      <c r="AG400" s="19" t="n"/>
      <c r="AH400" s="19" t="n"/>
      <c r="AI400" s="19" t="n"/>
      <c r="AJ400" s="19" t="n"/>
      <c r="AK400" s="19" t="n"/>
      <c r="AL400" s="19" t="n"/>
      <c r="AM400" s="16" t="inlineStr">
        <is>
          <t>2 Tische – abgebildet ist einer davon. Weniger stark bewitterte Tische gleicher Bauart stehen unter TE02-11.</t>
        </is>
      </c>
      <c r="AN400" s="22" t="n"/>
    </row>
    <row r="401" ht="30" customHeight="1">
      <c r="A401" s="15" t="inlineStr">
        <is>
          <t>TE02-13</t>
        </is>
      </c>
      <c r="B401" s="15" t="n"/>
      <c r="C401" s="15" t="inlineStr">
        <is>
          <t>TE02-18</t>
        </is>
      </c>
      <c r="D401" s="15" t="inlineStr">
        <is>
          <t>TE02</t>
        </is>
      </c>
      <c r="E401" s="15" t="inlineStr">
        <is>
          <t>IKEA Mammut Kinderstuhl weiß</t>
        </is>
      </c>
      <c r="F401" s="16" t="inlineStr">
        <is>
          <t>Kinderstuhl IKEA Mammut aus weißem Kunststoff mit runden Beinen und breiter Rückenlehne.</t>
        </is>
      </c>
      <c r="G401" s="15" t="inlineStr">
        <is>
          <t>Garten</t>
        </is>
      </c>
      <c r="H401" s="15" t="inlineStr">
        <is>
          <t>Dachterrasse</t>
        </is>
      </c>
      <c r="I401" s="15" t="inlineStr">
        <is>
          <t>C</t>
        </is>
      </c>
      <c r="J401" s="17" t="n">
        <v>14</v>
      </c>
      <c r="K401" s="17" t="n"/>
      <c r="L401" s="18">
        <f>J401-IF(K401="",0,K401)</f>
        <v/>
      </c>
      <c r="M401" s="15" t="inlineStr">
        <is>
          <t>Stück</t>
        </is>
      </c>
      <c r="N401" s="15" t="inlineStr">
        <is>
          <t>gebraucht</t>
        </is>
      </c>
      <c r="O401" s="19" t="n"/>
      <c r="P401" s="19" t="inlineStr">
        <is>
          <t>ja</t>
        </is>
      </c>
      <c r="Q401" s="19" t="n"/>
      <c r="R401" s="20" t="n"/>
      <c r="S401" s="20" t="n">
        <v>10</v>
      </c>
      <c r="T401" s="19" t="inlineStr">
        <is>
          <t>VHB</t>
        </is>
      </c>
      <c r="U401" s="21">
        <f>L401*S401</f>
        <v/>
      </c>
      <c r="V401" s="15" t="inlineStr">
        <is>
          <t>nur Abholung</t>
        </is>
      </c>
      <c r="W401" s="15" t="inlineStr">
        <is>
          <t>F-511</t>
        </is>
      </c>
      <c r="X401" s="19" t="inlineStr">
        <is>
          <t>ja</t>
        </is>
      </c>
      <c r="Y401" s="19" t="n"/>
      <c r="Z401" s="19" t="inlineStr">
        <is>
          <t>verfügbar</t>
        </is>
      </c>
      <c r="AA401" s="19" t="inlineStr">
        <is>
          <t>IKEA</t>
        </is>
      </c>
      <c r="AB401" s="19" t="n"/>
      <c r="AC401" s="19" t="n"/>
      <c r="AD401" s="19" t="n"/>
      <c r="AE401" s="20" t="n"/>
      <c r="AF401" s="21">
        <f>IF(K401="","",K401*AE401)</f>
        <v/>
      </c>
      <c r="AG401" s="19" t="n"/>
      <c r="AH401" s="19" t="n"/>
      <c r="AI401" s="19" t="n"/>
      <c r="AJ401" s="19" t="n"/>
      <c r="AK401" s="19" t="n"/>
      <c r="AL401" s="19" t="n"/>
      <c r="AM401" s="16" t="inlineStr">
        <is>
          <t>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c r="AN401" s="22" t="inlineStr">
        <is>
          <t>Zusammengefasste Position aus zwei Nummern desselben Raums – Post-it-Nummer: TE02-18.</t>
        </is>
      </c>
    </row>
    <row r="402" ht="30" customHeight="1">
      <c r="A402" s="15" t="inlineStr">
        <is>
          <t>TE02-14</t>
        </is>
      </c>
      <c r="B402" s="15" t="n"/>
      <c r="C402" s="15" t="n"/>
      <c r="D402" s="15" t="inlineStr">
        <is>
          <t>TE02</t>
        </is>
      </c>
      <c r="E402" s="15" t="inlineStr">
        <is>
          <t>IKEA Mammut Kinderstuhl rosa</t>
        </is>
      </c>
      <c r="F402" s="16" t="inlineStr">
        <is>
          <t>Kinderstuhl IKEA Mammut aus rosa Kunststoff, Farbe an Sitz und Lehne ausgeblichen.</t>
        </is>
      </c>
      <c r="G402" s="15" t="inlineStr">
        <is>
          <t>Garten</t>
        </is>
      </c>
      <c r="H402" s="15" t="inlineStr">
        <is>
          <t>Dachterrasse</t>
        </is>
      </c>
      <c r="I402" s="15" t="inlineStr">
        <is>
          <t>C</t>
        </is>
      </c>
      <c r="J402" s="17" t="n">
        <v>1</v>
      </c>
      <c r="K402" s="17" t="n"/>
      <c r="L402" s="18">
        <f>J402-IF(K402="",0,K402)</f>
        <v/>
      </c>
      <c r="M402" s="15" t="inlineStr">
        <is>
          <t>Stück</t>
        </is>
      </c>
      <c r="N402" s="15" t="inlineStr">
        <is>
          <t>gebraucht</t>
        </is>
      </c>
      <c r="O402" s="19" t="n"/>
      <c r="P402" s="19" t="inlineStr">
        <is>
          <t>ja</t>
        </is>
      </c>
      <c r="Q402" s="19" t="n"/>
      <c r="R402" s="20" t="n"/>
      <c r="S402" s="20" t="n">
        <v>10</v>
      </c>
      <c r="T402" s="19" t="inlineStr">
        <is>
          <t>VHB</t>
        </is>
      </c>
      <c r="U402" s="21">
        <f>L402*S402</f>
        <v/>
      </c>
      <c r="V402" s="15" t="inlineStr">
        <is>
          <t>nur Abholung</t>
        </is>
      </c>
      <c r="W402" s="15" t="inlineStr">
        <is>
          <t>F-512</t>
        </is>
      </c>
      <c r="X402" s="19" t="inlineStr">
        <is>
          <t>ja</t>
        </is>
      </c>
      <c r="Y402" s="19" t="n"/>
      <c r="Z402" s="19" t="inlineStr">
        <is>
          <t>verfügbar</t>
        </is>
      </c>
      <c r="AA402" s="19" t="inlineStr">
        <is>
          <t>IKEA</t>
        </is>
      </c>
      <c r="AB402" s="19" t="n"/>
      <c r="AC402" s="19" t="n"/>
      <c r="AD402" s="19" t="n"/>
      <c r="AE402" s="20" t="n"/>
      <c r="AF402" s="21">
        <f>IF(K402="","",K402*AE402)</f>
        <v/>
      </c>
      <c r="AG402" s="19" t="n"/>
      <c r="AH402" s="19" t="n"/>
      <c r="AI402" s="19" t="n"/>
      <c r="AJ402" s="19" t="n"/>
      <c r="AK402" s="19" t="n"/>
      <c r="AL402" s="19" t="n"/>
      <c r="AM402" s="16" t="inlineStr">
        <is>
          <t>1 Stuhl. Insgesamt stehen 68 Mammut-Kinderstühle zum Verkauf: 20 rot (TE02-09), 20 weiß (TE02-13 und GA01-06), 16 grün (TE02-10 und NU02-14), 6 rosa (TE02-14, GA01-08 und NU02-14) und 6 blau (GA01-07). Sie stehen als eigene Positionen, weil Zustand und Standort sich unterscheiden.</t>
        </is>
      </c>
      <c r="AN402" s="22" t="n"/>
    </row>
    <row r="403" ht="30" customHeight="1">
      <c r="A403" s="15" t="inlineStr">
        <is>
          <t>TE02-15</t>
        </is>
      </c>
      <c r="B403" s="15" t="n"/>
      <c r="C403" s="15" t="n"/>
      <c r="D403" s="15" t="inlineStr">
        <is>
          <t>TE02</t>
        </is>
      </c>
      <c r="E403" s="15" t="inlineStr">
        <is>
          <t>IKEA Mammut Kindertisch rot</t>
        </is>
      </c>
      <c r="F403" s="16" t="inlineStr">
        <is>
          <t>Kindertisch IKEA Mammut aus rotem Kunststoff auf konischen Beinen.</t>
        </is>
      </c>
      <c r="G403" s="15" t="inlineStr">
        <is>
          <t>Garten</t>
        </is>
      </c>
      <c r="H403" s="15" t="inlineStr">
        <is>
          <t>Dachterrasse</t>
        </is>
      </c>
      <c r="I403" s="15" t="inlineStr">
        <is>
          <t>C</t>
        </is>
      </c>
      <c r="J403" s="17" t="n">
        <v>3</v>
      </c>
      <c r="K403" s="17" t="n"/>
      <c r="L403" s="18">
        <f>J403-IF(K403="",0,K403)</f>
        <v/>
      </c>
      <c r="M403" s="15" t="inlineStr">
        <is>
          <t>Stück</t>
        </is>
      </c>
      <c r="N403" s="15" t="inlineStr">
        <is>
          <t>gebraucht</t>
        </is>
      </c>
      <c r="O403" s="19" t="n"/>
      <c r="P403" s="19" t="inlineStr">
        <is>
          <t>ja</t>
        </is>
      </c>
      <c r="Q403" s="19" t="n"/>
      <c r="R403" s="20" t="n"/>
      <c r="S403" s="20" t="n">
        <v>20</v>
      </c>
      <c r="T403" s="19" t="inlineStr">
        <is>
          <t>VHB</t>
        </is>
      </c>
      <c r="U403" s="21">
        <f>L403*S403</f>
        <v/>
      </c>
      <c r="V403" s="15" t="inlineStr">
        <is>
          <t>nur Abholung</t>
        </is>
      </c>
      <c r="W403" s="15" t="inlineStr">
        <is>
          <t>F-514</t>
        </is>
      </c>
      <c r="X403" s="19" t="inlineStr">
        <is>
          <t>ja</t>
        </is>
      </c>
      <c r="Y403" s="19" t="n"/>
      <c r="Z403" s="19" t="inlineStr">
        <is>
          <t>verfügbar</t>
        </is>
      </c>
      <c r="AA403" s="19" t="inlineStr">
        <is>
          <t>IKEA</t>
        </is>
      </c>
      <c r="AB403" s="19" t="n"/>
      <c r="AC403" s="19" t="n"/>
      <c r="AD403" s="19" t="n"/>
      <c r="AE403" s="20" t="n"/>
      <c r="AF403" s="21">
        <f>IF(K403="","",K403*AE403)</f>
        <v/>
      </c>
      <c r="AG403" s="19" t="n"/>
      <c r="AH403" s="19" t="n"/>
      <c r="AI403" s="19" t="n"/>
      <c r="AJ403" s="19" t="n"/>
      <c r="AK403" s="19" t="n"/>
      <c r="AL403" s="19" t="n"/>
      <c r="AM403" s="16" t="inlineStr">
        <is>
          <t>3 Tische. Auf dem Foto sind sie mit den roten Stühlen aus TE02-09 aufeinandergestellt.</t>
        </is>
      </c>
      <c r="AN403" s="22" t="n"/>
    </row>
    <row r="404" ht="30" customHeight="1">
      <c r="A404" s="15" t="inlineStr">
        <is>
          <t>TE02-17</t>
        </is>
      </c>
      <c r="B404" s="15" t="n"/>
      <c r="C404" s="15" t="n"/>
      <c r="D404" s="15" t="inlineStr">
        <is>
          <t>TE02</t>
        </is>
      </c>
      <c r="E404" s="15" t="inlineStr">
        <is>
          <t>IKEA Mammut Kindertisch weiß</t>
        </is>
      </c>
      <c r="F404" s="16" t="inlineStr">
        <is>
          <t>Rechteckiger Kindertisch IKEA Mammut aus weißem Kunststoff auf konischen Beinen. Die Platte ist fleckig und vom Wetter gezeichnet.</t>
        </is>
      </c>
      <c r="G404" s="15" t="inlineStr">
        <is>
          <t>Garten</t>
        </is>
      </c>
      <c r="H404" s="15" t="inlineStr">
        <is>
          <t>Dachterrasse</t>
        </is>
      </c>
      <c r="I404" s="15" t="inlineStr">
        <is>
          <t>C</t>
        </is>
      </c>
      <c r="J404" s="17" t="n">
        <v>3</v>
      </c>
      <c r="K404" s="17" t="n"/>
      <c r="L404" s="18">
        <f>J404-IF(K404="",0,K404)</f>
        <v/>
      </c>
      <c r="M404" s="15" t="inlineStr">
        <is>
          <t>Stück</t>
        </is>
      </c>
      <c r="N404" s="15" t="inlineStr">
        <is>
          <t>gebraucht</t>
        </is>
      </c>
      <c r="O404" s="19" t="n"/>
      <c r="P404" s="19" t="inlineStr">
        <is>
          <t>ja</t>
        </is>
      </c>
      <c r="Q404" s="19" t="n"/>
      <c r="R404" s="20" t="n"/>
      <c r="S404" s="20" t="n">
        <v>20</v>
      </c>
      <c r="T404" s="19" t="inlineStr">
        <is>
          <t>VHB</t>
        </is>
      </c>
      <c r="U404" s="21">
        <f>L404*S404</f>
        <v/>
      </c>
      <c r="V404" s="15" t="inlineStr">
        <is>
          <t>nur Abholung</t>
        </is>
      </c>
      <c r="W404" s="15" t="inlineStr">
        <is>
          <t>F-513</t>
        </is>
      </c>
      <c r="X404" s="19" t="inlineStr">
        <is>
          <t>ja</t>
        </is>
      </c>
      <c r="Y404" s="19" t="n"/>
      <c r="Z404" s="19" t="inlineStr">
        <is>
          <t>verfügbar</t>
        </is>
      </c>
      <c r="AA404" s="19" t="inlineStr">
        <is>
          <t>IKEA</t>
        </is>
      </c>
      <c r="AB404" s="19" t="n"/>
      <c r="AC404" s="19" t="n"/>
      <c r="AD404" s="19" t="n"/>
      <c r="AE404" s="20" t="n"/>
      <c r="AF404" s="21">
        <f>IF(K404="","",K404*AE404)</f>
        <v/>
      </c>
      <c r="AG404" s="19" t="n"/>
      <c r="AH404" s="19" t="n"/>
      <c r="AI404" s="19" t="n"/>
      <c r="AJ404" s="19" t="n"/>
      <c r="AK404" s="19" t="n"/>
      <c r="AL404" s="19" t="n"/>
      <c r="AM404" s="16" t="inlineStr">
        <is>
          <t>3 Tische – abgebildet ist einer davon.</t>
        </is>
      </c>
      <c r="AN404" s="22" t="n"/>
    </row>
    <row r="405" ht="30" customHeight="1">
      <c r="A405" s="15" t="inlineStr">
        <is>
          <t>GA01-02</t>
        </is>
      </c>
      <c r="B405" s="15" t="n"/>
      <c r="C405" s="15" t="n"/>
      <c r="D405" s="15" t="inlineStr">
        <is>
          <t>GA01</t>
        </is>
      </c>
      <c r="E405" s="15" t="inlineStr">
        <is>
          <t>Smoby Kinderrutsche</t>
        </is>
      </c>
      <c r="F405" s="16" t="inlineStr">
        <is>
          <t>Freistehende Kinderrutsche von Smoby aus Kunststoff mit Leiter und Handläufen. Logo am Gestell eingeprägt: Smoby.</t>
        </is>
      </c>
      <c r="G405" s="15" t="inlineStr">
        <is>
          <t>Garten</t>
        </is>
      </c>
      <c r="H405" s="15" t="inlineStr">
        <is>
          <t>Gartenanlage</t>
        </is>
      </c>
      <c r="I405" s="15" t="inlineStr">
        <is>
          <t>C</t>
        </is>
      </c>
      <c r="J405" s="17" t="n">
        <v>2</v>
      </c>
      <c r="K405" s="17" t="n"/>
      <c r="L405" s="18">
        <f>J405-IF(K405="",0,K405)</f>
        <v/>
      </c>
      <c r="M405" s="15" t="inlineStr">
        <is>
          <t>Stück</t>
        </is>
      </c>
      <c r="N405" s="15" t="inlineStr">
        <is>
          <t>gebraucht</t>
        </is>
      </c>
      <c r="O405" s="19" t="n"/>
      <c r="P405" s="19" t="inlineStr">
        <is>
          <t>ja</t>
        </is>
      </c>
      <c r="Q405" s="19" t="n"/>
      <c r="R405" s="20" t="n"/>
      <c r="S405" s="20" t="n">
        <v>35</v>
      </c>
      <c r="T405" s="19" t="inlineStr">
        <is>
          <t>VHB</t>
        </is>
      </c>
      <c r="U405" s="21">
        <f>L405*S405</f>
        <v/>
      </c>
      <c r="V405" s="15" t="inlineStr">
        <is>
          <t>nur Abholung</t>
        </is>
      </c>
      <c r="W405" s="15" t="inlineStr">
        <is>
          <t>F-533</t>
        </is>
      </c>
      <c r="X405" s="19" t="inlineStr">
        <is>
          <t>ja</t>
        </is>
      </c>
      <c r="Y405" s="19" t="n"/>
      <c r="Z405" s="19" t="inlineStr">
        <is>
          <t>verfügbar</t>
        </is>
      </c>
      <c r="AA405" s="19" t="inlineStr">
        <is>
          <t>Smoby</t>
        </is>
      </c>
      <c r="AB405" s="19" t="n"/>
      <c r="AC405" s="19" t="n"/>
      <c r="AD405" s="19" t="n"/>
      <c r="AE405" s="20" t="n"/>
      <c r="AF405" s="21">
        <f>IF(K405="","",K405*AE405)</f>
        <v/>
      </c>
      <c r="AG405" s="19" t="n"/>
      <c r="AH405" s="19" t="n"/>
      <c r="AI405" s="19" t="n"/>
      <c r="AJ405" s="19" t="n"/>
      <c r="AK405" s="19" t="n"/>
      <c r="AL405" s="19" t="n"/>
      <c r="AM405" s="16" t="inlineStr">
        <is>
          <t>2 Rutschen in unterschiedlichen Farben: rot-grün auf dem Foto, rot-blau auf Foto F-539. Das Logo ist auf den Fotos F-534 und F-540 zu sehen.</t>
        </is>
      </c>
      <c r="AN405" s="22" t="n"/>
    </row>
    <row r="406" ht="30" customHeight="1">
      <c r="A406" s="15" t="inlineStr">
        <is>
          <t>GA01-03</t>
        </is>
      </c>
      <c r="B406" s="15" t="n"/>
      <c r="C406" s="15" t="n"/>
      <c r="D406" s="15" t="inlineStr">
        <is>
          <t>GA01</t>
        </is>
      </c>
      <c r="E406" s="15" t="inlineStr">
        <is>
          <t>Schaukelanlage Holz mit Leiter und Hängehöhle</t>
        </is>
      </c>
      <c r="F406" s="16" t="inlineStr">
        <is>
          <t>Schaukelgerüst aus massiven Holzbalken mit zwei Schaukelsitzen an Seilen, einer Stoff-Hängehöhle und einer angebauten Leiter. Das Holz ist wettergrau.</t>
        </is>
      </c>
      <c r="G406" s="15" t="inlineStr">
        <is>
          <t>Kita-Ausstattung</t>
        </is>
      </c>
      <c r="H406" s="15" t="inlineStr">
        <is>
          <t>Gartenanlage</t>
        </is>
      </c>
      <c r="I406" s="15" t="inlineStr">
        <is>
          <t>B</t>
        </is>
      </c>
      <c r="J406" s="17" t="n">
        <v>1</v>
      </c>
      <c r="K406" s="17" t="n"/>
      <c r="L406" s="18">
        <f>J406-IF(K406="",0,K406)</f>
        <v/>
      </c>
      <c r="M406" s="15" t="inlineStr">
        <is>
          <t>Stück</t>
        </is>
      </c>
      <c r="N406" s="15" t="inlineStr">
        <is>
          <t>gebraucht</t>
        </is>
      </c>
      <c r="O406" s="19" t="n"/>
      <c r="P406" s="19" t="inlineStr">
        <is>
          <t>ja</t>
        </is>
      </c>
      <c r="Q406" s="19" t="n"/>
      <c r="R406" s="20" t="n"/>
      <c r="S406" s="20" t="n">
        <v>200</v>
      </c>
      <c r="T406" s="19" t="inlineStr">
        <is>
          <t>VHB</t>
        </is>
      </c>
      <c r="U406" s="21">
        <f>L406*S406</f>
        <v/>
      </c>
      <c r="V406" s="15" t="inlineStr">
        <is>
          <t>nur Abholung</t>
        </is>
      </c>
      <c r="W406" s="15" t="inlineStr">
        <is>
          <t>F-536</t>
        </is>
      </c>
      <c r="X406" s="19" t="inlineStr">
        <is>
          <t>ja</t>
        </is>
      </c>
      <c r="Y406" s="19" t="n"/>
      <c r="Z406" s="19" t="inlineStr">
        <is>
          <t>verfügbar</t>
        </is>
      </c>
      <c r="AA406" s="19" t="n"/>
      <c r="AB406" s="19" t="n"/>
      <c r="AC406" s="19" t="n"/>
      <c r="AD406" s="19" t="n"/>
      <c r="AE406" s="20" t="n"/>
      <c r="AF406" s="21">
        <f>IF(K406="","",K406*AE406)</f>
        <v/>
      </c>
      <c r="AG406" s="19" t="n"/>
      <c r="AH406" s="19" t="n"/>
      <c r="AI406" s="19" t="n"/>
      <c r="AJ406" s="19" t="n"/>
      <c r="AK406" s="19" t="n"/>
      <c r="AL406" s="19" t="n"/>
      <c r="AM406" s="16" t="inlineStr">
        <is>
          <t>1 Anlage einschließlich Schaukelsitzen und Hängehöhle. Das Kissen in der Höhle gehört nicht dazu.</t>
        </is>
      </c>
      <c r="AN406" s="22" t="n"/>
    </row>
    <row r="407" ht="30" customHeight="1">
      <c r="A407" s="15" t="inlineStr">
        <is>
          <t>GA01-04</t>
        </is>
      </c>
      <c r="B407" s="15" t="n"/>
      <c r="C407" s="15" t="n"/>
      <c r="D407" s="15" t="inlineStr">
        <is>
          <t>GA01</t>
        </is>
      </c>
      <c r="E407" s="15" t="inlineStr">
        <is>
          <t>Schaukelanlage Holz mit Rutsche und Strickleiter</t>
        </is>
      </c>
      <c r="F407" s="16" t="inlineStr">
        <is>
          <t>Schaukelgerüst aus Rundhölzern mit Schaukelsitz, Tellerschaukel, Strickleiter, Aufstiegsleiter und angebauter blauer Wellenrutsche. Das Holz ist wettergrau.</t>
        </is>
      </c>
      <c r="G407" s="15" t="inlineStr">
        <is>
          <t>Kita-Ausstattung</t>
        </is>
      </c>
      <c r="H407" s="15" t="inlineStr">
        <is>
          <t>Gartenanlage</t>
        </is>
      </c>
      <c r="I407" s="15" t="inlineStr">
        <is>
          <t>B</t>
        </is>
      </c>
      <c r="J407" s="17" t="n">
        <v>1</v>
      </c>
      <c r="K407" s="17" t="n"/>
      <c r="L407" s="18">
        <f>J407-IF(K407="",0,K407)</f>
        <v/>
      </c>
      <c r="M407" s="15" t="inlineStr">
        <is>
          <t>Stück</t>
        </is>
      </c>
      <c r="N407" s="15" t="inlineStr">
        <is>
          <t>gebraucht</t>
        </is>
      </c>
      <c r="O407" s="19" t="n"/>
      <c r="P407" s="19" t="inlineStr">
        <is>
          <t>ja</t>
        </is>
      </c>
      <c r="Q407" s="19" t="n"/>
      <c r="R407" s="20" t="n"/>
      <c r="S407" s="20" t="n">
        <v>250</v>
      </c>
      <c r="T407" s="19" t="inlineStr">
        <is>
          <t>VHB</t>
        </is>
      </c>
      <c r="U407" s="21">
        <f>L407*S407</f>
        <v/>
      </c>
      <c r="V407" s="15" t="inlineStr">
        <is>
          <t>nur Abholung</t>
        </is>
      </c>
      <c r="W407" s="15" t="inlineStr">
        <is>
          <t>F-537</t>
        </is>
      </c>
      <c r="X407" s="19" t="inlineStr">
        <is>
          <t>ja</t>
        </is>
      </c>
      <c r="Y407" s="19" t="n"/>
      <c r="Z407" s="19" t="inlineStr">
        <is>
          <t>verfügbar</t>
        </is>
      </c>
      <c r="AA407" s="19" t="n"/>
      <c r="AB407" s="19" t="n"/>
      <c r="AC407" s="19" t="n"/>
      <c r="AD407" s="19" t="n"/>
      <c r="AE407" s="20" t="n"/>
      <c r="AF407" s="21">
        <f>IF(K407="","",K407*AE407)</f>
        <v/>
      </c>
      <c r="AG407" s="19" t="n"/>
      <c r="AH407" s="19" t="n"/>
      <c r="AI407" s="19" t="n"/>
      <c r="AJ407" s="19" t="n"/>
      <c r="AK407" s="19" t="n"/>
      <c r="AL407" s="19" t="n"/>
      <c r="AM407" s="16" t="inlineStr">
        <is>
          <t>1 Anlage einschließlich Schaukelsitzen, Strickleiter und Rutsche.</t>
        </is>
      </c>
      <c r="AN407" s="22" t="n"/>
    </row>
    <row r="408" ht="30" customHeight="1">
      <c r="A408" s="15" t="inlineStr">
        <is>
          <t>GA01-05</t>
        </is>
      </c>
      <c r="B408" s="15" t="n"/>
      <c r="C408" s="15" t="n"/>
      <c r="D408" s="15" t="inlineStr">
        <is>
          <t>GA01</t>
        </is>
      </c>
      <c r="E408" s="15" t="inlineStr">
        <is>
          <t>Smoby Kindertisch mit zwei Stühlen</t>
        </is>
      </c>
      <c r="F408" s="16" t="inlineStr">
        <is>
          <t>Kindersitzgruppe von Smoby aus Kunststoff: rechteckiger Tisch in Rot und Weiß sowie zwei Schalenstühle in Rot mit weißer Sitzfläche. Die Platte ist ausgeblichen und verschmutzt.</t>
        </is>
      </c>
      <c r="G408" s="15" t="inlineStr">
        <is>
          <t>Garten</t>
        </is>
      </c>
      <c r="H408" s="15" t="inlineStr">
        <is>
          <t>Gartenanlage</t>
        </is>
      </c>
      <c r="I408" s="15" t="inlineStr">
        <is>
          <t>C</t>
        </is>
      </c>
      <c r="J408" s="17" t="n">
        <v>1</v>
      </c>
      <c r="K408" s="17" t="n"/>
      <c r="L408" s="18">
        <f>J408-IF(K408="",0,K408)</f>
        <v/>
      </c>
      <c r="M408" s="15" t="inlineStr">
        <is>
          <t>Set</t>
        </is>
      </c>
      <c r="N408" s="15" t="inlineStr">
        <is>
          <t>gebraucht</t>
        </is>
      </c>
      <c r="O408" s="19" t="n"/>
      <c r="P408" s="19" t="inlineStr">
        <is>
          <t>ja</t>
        </is>
      </c>
      <c r="Q408" s="19" t="n"/>
      <c r="R408" s="20" t="n"/>
      <c r="S408" s="20" t="n">
        <v>40</v>
      </c>
      <c r="T408" s="19" t="inlineStr">
        <is>
          <t>VHB</t>
        </is>
      </c>
      <c r="U408" s="21">
        <f>L408*S408</f>
        <v/>
      </c>
      <c r="V408" s="15" t="inlineStr">
        <is>
          <t>nur Abholung</t>
        </is>
      </c>
      <c r="W408" s="15" t="inlineStr">
        <is>
          <t>F-535</t>
        </is>
      </c>
      <c r="X408" s="19" t="inlineStr">
        <is>
          <t>ja</t>
        </is>
      </c>
      <c r="Y408" s="19" t="n"/>
      <c r="Z408" s="19" t="inlineStr">
        <is>
          <t>verfügbar</t>
        </is>
      </c>
      <c r="AA408" s="19" t="inlineStr">
        <is>
          <t>Smoby</t>
        </is>
      </c>
      <c r="AB408" s="19" t="n"/>
      <c r="AC408" s="19" t="n"/>
      <c r="AD408" s="19" t="n"/>
      <c r="AE408" s="20" t="n"/>
      <c r="AF408" s="21">
        <f>IF(K408="","",K408*AE408)</f>
        <v/>
      </c>
      <c r="AG408" s="19" t="n"/>
      <c r="AH408" s="19" t="n"/>
      <c r="AI408" s="19" t="n"/>
      <c r="AJ408" s="19" t="n"/>
      <c r="AK408" s="19" t="n"/>
      <c r="AL408" s="19" t="n"/>
      <c r="AM408" s="16" t="inlineStr">
        <is>
          <t>1 Set aus Tisch und zwei Stühlen.</t>
        </is>
      </c>
      <c r="AN408" s="22" t="n"/>
    </row>
    <row r="409" ht="30" customHeight="1">
      <c r="A409" s="15" t="inlineStr">
        <is>
          <t>GA01-06</t>
        </is>
      </c>
      <c r="B409" s="15" t="n"/>
      <c r="C409" s="15" t="n"/>
      <c r="D409" s="15" t="inlineStr">
        <is>
          <t>GA01</t>
        </is>
      </c>
      <c r="E409" s="15" t="inlineStr">
        <is>
          <t>IKEA Mammut Kinderstuhl weiß</t>
        </is>
      </c>
      <c r="F409" s="16" t="inlineStr">
        <is>
          <t>Kinderstuhl IKEA Mammut aus weißem Kunststoff mit runden Beinen und breiter Rückenlehne.</t>
        </is>
      </c>
      <c r="G409" s="15" t="inlineStr">
        <is>
          <t>Garten</t>
        </is>
      </c>
      <c r="H409" s="15" t="inlineStr">
        <is>
          <t>Gartenanlage</t>
        </is>
      </c>
      <c r="I409" s="15" t="inlineStr">
        <is>
          <t>C</t>
        </is>
      </c>
      <c r="J409" s="17" t="n">
        <v>6</v>
      </c>
      <c r="K409" s="17" t="n"/>
      <c r="L409" s="18">
        <f>J409-IF(K409="",0,K409)</f>
        <v/>
      </c>
      <c r="M409" s="15" t="inlineStr">
        <is>
          <t>Stück</t>
        </is>
      </c>
      <c r="N409" s="15" t="inlineStr">
        <is>
          <t>gut</t>
        </is>
      </c>
      <c r="O409" s="19" t="n"/>
      <c r="P409" s="19" t="inlineStr">
        <is>
          <t>ja</t>
        </is>
      </c>
      <c r="Q409" s="19" t="n"/>
      <c r="R409" s="20" t="n"/>
      <c r="S409" s="20" t="n">
        <v>10</v>
      </c>
      <c r="T409" s="19" t="inlineStr">
        <is>
          <t>VHB</t>
        </is>
      </c>
      <c r="U409" s="21">
        <f>L409*S409</f>
        <v/>
      </c>
      <c r="V409" s="15" t="inlineStr">
        <is>
          <t>nur Abholung</t>
        </is>
      </c>
      <c r="W409" s="15" t="inlineStr">
        <is>
          <t>F-520</t>
        </is>
      </c>
      <c r="X409" s="19" t="inlineStr">
        <is>
          <t>ja</t>
        </is>
      </c>
      <c r="Y409" s="19" t="n"/>
      <c r="Z409" s="19" t="inlineStr">
        <is>
          <t>verfügbar</t>
        </is>
      </c>
      <c r="AA409" s="19" t="inlineStr">
        <is>
          <t>IKEA</t>
        </is>
      </c>
      <c r="AB409" s="19" t="n"/>
      <c r="AC409" s="19" t="n"/>
      <c r="AD409" s="19" t="n"/>
      <c r="AE409" s="20" t="n"/>
      <c r="AF409" s="21">
        <f>IF(K409="","",K409*AE409)</f>
        <v/>
      </c>
      <c r="AG409" s="19" t="n"/>
      <c r="AH409" s="19" t="n"/>
      <c r="AI409" s="19" t="n"/>
      <c r="AJ409" s="19" t="n"/>
      <c r="AK409" s="19" t="n"/>
      <c r="AL409" s="19" t="n"/>
      <c r="AM409" s="16" t="inlineStr">
        <is>
          <t>6 Stühle – abgebildet ist einer davon. Insgesamt stehen 68 Mammut-Kinderstühle zum Verkauf: 20 rot (TE02-09), 20 weiß (TE02-13 und GA01-06), 16 grün (TE02-10 und NU02-14), 6 rosa (TE02-14, GA01-08 und NU02-14) und 6 blau (GA01-07). Sie stehen als eigene Positionen, weil Zustand und Standort sich unterscheiden.</t>
        </is>
      </c>
      <c r="AN409" s="22" t="n"/>
    </row>
    <row r="410" ht="30" customHeight="1">
      <c r="A410" s="15" t="inlineStr">
        <is>
          <t>GA01-07</t>
        </is>
      </c>
      <c r="B410" s="15" t="n"/>
      <c r="C410" s="15" t="n"/>
      <c r="D410" s="15" t="inlineStr">
        <is>
          <t>GA01</t>
        </is>
      </c>
      <c r="E410" s="15" t="inlineStr">
        <is>
          <t>IKEA Mammut Kinderstuhl blau</t>
        </is>
      </c>
      <c r="F410" s="16" t="inlineStr">
        <is>
          <t>Kinderstuhl IKEA Mammut aus blauem Kunststoff. Die Stühle standen lange im Freien: Farbe ausgeblichen, Oberflächen stumpf und verschmutzt.</t>
        </is>
      </c>
      <c r="G410" s="15" t="inlineStr">
        <is>
          <t>Garten</t>
        </is>
      </c>
      <c r="H410" s="15" t="inlineStr">
        <is>
          <t>Gartenanlage</t>
        </is>
      </c>
      <c r="I410" s="15" t="inlineStr">
        <is>
          <t>C</t>
        </is>
      </c>
      <c r="J410" s="17" t="n">
        <v>6</v>
      </c>
      <c r="K410" s="17" t="n"/>
      <c r="L410" s="18">
        <f>J410-IF(K410="",0,K410)</f>
        <v/>
      </c>
      <c r="M410" s="15" t="inlineStr">
        <is>
          <t>Stück</t>
        </is>
      </c>
      <c r="N410" s="15" t="inlineStr">
        <is>
          <t>stark gebraucht</t>
        </is>
      </c>
      <c r="O410" s="19" t="n"/>
      <c r="P410" s="19" t="inlineStr">
        <is>
          <t>ja</t>
        </is>
      </c>
      <c r="Q410" s="19" t="n"/>
      <c r="R410" s="20" t="n"/>
      <c r="S410" s="20" t="n">
        <v>5</v>
      </c>
      <c r="T410" s="19" t="inlineStr">
        <is>
          <t>VHB</t>
        </is>
      </c>
      <c r="U410" s="21">
        <f>L410*S410</f>
        <v/>
      </c>
      <c r="V410" s="15" t="inlineStr">
        <is>
          <t>nur Abholung</t>
        </is>
      </c>
      <c r="W410" s="15" t="inlineStr">
        <is>
          <t>F-538</t>
        </is>
      </c>
      <c r="X410" s="19" t="inlineStr">
        <is>
          <t>ja</t>
        </is>
      </c>
      <c r="Y410" s="19" t="n"/>
      <c r="Z410" s="19" t="inlineStr">
        <is>
          <t>verfügbar</t>
        </is>
      </c>
      <c r="AA410" s="19" t="inlineStr">
        <is>
          <t>IKEA</t>
        </is>
      </c>
      <c r="AB410" s="19" t="n"/>
      <c r="AC410" s="19" t="n"/>
      <c r="AD410" s="19" t="n"/>
      <c r="AE410" s="20" t="n"/>
      <c r="AF410" s="21">
        <f>IF(K410="","",K410*AE410)</f>
        <v/>
      </c>
      <c r="AG410" s="19" t="n"/>
      <c r="AH410" s="19" t="n"/>
      <c r="AI410" s="19" t="n"/>
      <c r="AJ410" s="19" t="n"/>
      <c r="AK410" s="19" t="n"/>
      <c r="AL410" s="19" t="n"/>
      <c r="AM410" s="16" t="inlineStr">
        <is>
          <t>6 Stühle – auf dem Foto sind mehrere davon gestapelt zu sehen. Insgesamt stehen 68 Mammut-Kinderstühle zum Verkauf: 20 rot (TE02-09), 20 weiß (TE02-13 und GA01-06), 16 grün (TE02-10 und NU02-14), 6 rosa (TE02-14, GA01-08 und NU02-14) und 6 blau (GA01-07). Sie stehen als eigene Positionen, weil Zustand und Standort sich unterscheiden.</t>
        </is>
      </c>
      <c r="AN410" s="22" t="n"/>
    </row>
    <row r="411" ht="30" customHeight="1">
      <c r="A411" s="15" t="inlineStr">
        <is>
          <t>GA01-08</t>
        </is>
      </c>
      <c r="B411" s="15" t="n"/>
      <c r="C411" s="15" t="n"/>
      <c r="D411" s="15" t="inlineStr">
        <is>
          <t>GA01</t>
        </is>
      </c>
      <c r="E411" s="15" t="inlineStr">
        <is>
          <t>IKEA Mammut Kinderstuhl rosa</t>
        </is>
      </c>
      <c r="F411" s="16" t="inlineStr">
        <is>
          <t>Kinderstuhl IKEA Mammut aus rosa Kunststoff. Die Stühle standen lange im Freien: Farbe ausgeblichen, Oberflächen stumpf.</t>
        </is>
      </c>
      <c r="G411" s="15" t="inlineStr">
        <is>
          <t>Garten</t>
        </is>
      </c>
      <c r="H411" s="15" t="inlineStr">
        <is>
          <t>Gartenanlage</t>
        </is>
      </c>
      <c r="I411" s="15" t="inlineStr">
        <is>
          <t>C</t>
        </is>
      </c>
      <c r="J411" s="17" t="n">
        <v>3</v>
      </c>
      <c r="K411" s="17" t="n"/>
      <c r="L411" s="18">
        <f>J411-IF(K411="",0,K411)</f>
        <v/>
      </c>
      <c r="M411" s="15" t="inlineStr">
        <is>
          <t>Stück</t>
        </is>
      </c>
      <c r="N411" s="15" t="inlineStr">
        <is>
          <t>stark gebraucht</t>
        </is>
      </c>
      <c r="O411" s="19" t="n"/>
      <c r="P411" s="19" t="inlineStr">
        <is>
          <t>ja</t>
        </is>
      </c>
      <c r="Q411" s="19" t="n"/>
      <c r="R411" s="20" t="n"/>
      <c r="S411" s="20" t="n">
        <v>5</v>
      </c>
      <c r="T411" s="19" t="inlineStr">
        <is>
          <t>VHB</t>
        </is>
      </c>
      <c r="U411" s="21">
        <f>L411*S411</f>
        <v/>
      </c>
      <c r="V411" s="15" t="inlineStr">
        <is>
          <t>nur Abholung</t>
        </is>
      </c>
      <c r="W411" s="15" t="inlineStr">
        <is>
          <t>F-530</t>
        </is>
      </c>
      <c r="X411" s="19" t="inlineStr">
        <is>
          <t>ja</t>
        </is>
      </c>
      <c r="Y411" s="19" t="n"/>
      <c r="Z411" s="19" t="inlineStr">
        <is>
          <t>verfügbar</t>
        </is>
      </c>
      <c r="AA411" s="19" t="inlineStr">
        <is>
          <t>IKEA</t>
        </is>
      </c>
      <c r="AB411" s="19" t="n"/>
      <c r="AC411" s="19" t="n"/>
      <c r="AD411" s="19" t="n"/>
      <c r="AE411" s="20" t="n"/>
      <c r="AF411" s="21">
        <f>IF(K411="","",K411*AE411)</f>
        <v/>
      </c>
      <c r="AG411" s="19" t="n"/>
      <c r="AH411" s="19" t="n"/>
      <c r="AI411" s="19" t="n"/>
      <c r="AJ411" s="19" t="n"/>
      <c r="AK411" s="19" t="n"/>
      <c r="AL411" s="19" t="n"/>
      <c r="AM411" s="16" t="inlineStr">
        <is>
          <t>3 Stühle. Auf dem Foto ist die Wiese mit den Tischen und Stühlen zu sehen; ein rosa Stuhl steht rechts im Bild. Insgesamt stehen 68 Mammut-Kinderstühle zum Verkauf: 20 rot (TE02-09), 20 weiß (TE02-13 und GA01-06), 16 grün (TE02-10 und NU02-14), 6 rosa (TE02-14, GA01-08 und NU02-14) und 6 blau (GA01-07). Sie stehen als eigene Positionen, weil Zustand und Standort sich unterscheiden.</t>
        </is>
      </c>
      <c r="AN411" s="22" t="n"/>
    </row>
    <row r="412" ht="30" customHeight="1">
      <c r="A412" s="15" t="inlineStr">
        <is>
          <t>GA01-09</t>
        </is>
      </c>
      <c r="B412" s="15" t="n"/>
      <c r="C412" s="15" t="n"/>
      <c r="D412" s="15" t="inlineStr">
        <is>
          <t>GA01</t>
        </is>
      </c>
      <c r="E412" s="15" t="inlineStr">
        <is>
          <t>IKEA Mammut Kindertisch weiß</t>
        </is>
      </c>
      <c r="F412" s="16" t="inlineStr">
        <is>
          <t>Kindertisch IKEA Mammut aus weißem Kunststoff auf konischen Beinen.</t>
        </is>
      </c>
      <c r="G412" s="15" t="inlineStr">
        <is>
          <t>Garten</t>
        </is>
      </c>
      <c r="H412" s="15" t="inlineStr">
        <is>
          <t>Gartenanlage</t>
        </is>
      </c>
      <c r="I412" s="15" t="inlineStr">
        <is>
          <t>C</t>
        </is>
      </c>
      <c r="J412" s="17" t="n">
        <v>2</v>
      </c>
      <c r="K412" s="17" t="n"/>
      <c r="L412" s="18">
        <f>J412-IF(K412="",0,K412)</f>
        <v/>
      </c>
      <c r="M412" s="15" t="inlineStr">
        <is>
          <t>Stück</t>
        </is>
      </c>
      <c r="N412" s="15" t="inlineStr">
        <is>
          <t>gut</t>
        </is>
      </c>
      <c r="O412" s="19" t="n"/>
      <c r="P412" s="19" t="inlineStr">
        <is>
          <t>ja</t>
        </is>
      </c>
      <c r="Q412" s="19" t="n"/>
      <c r="R412" s="20" t="n"/>
      <c r="S412" s="20" t="n">
        <v>25</v>
      </c>
      <c r="T412" s="19" t="inlineStr">
        <is>
          <t>VHB</t>
        </is>
      </c>
      <c r="U412" s="21">
        <f>L412*S412</f>
        <v/>
      </c>
      <c r="V412" s="15" t="inlineStr">
        <is>
          <t>nur Abholung</t>
        </is>
      </c>
      <c r="W412" s="15" t="inlineStr">
        <is>
          <t>F-530</t>
        </is>
      </c>
      <c r="X412" s="19" t="inlineStr">
        <is>
          <t>ja</t>
        </is>
      </c>
      <c r="Y412" s="19" t="n"/>
      <c r="Z412" s="19" t="inlineStr">
        <is>
          <t>verfügbar</t>
        </is>
      </c>
      <c r="AA412" s="19" t="inlineStr">
        <is>
          <t>IKEA</t>
        </is>
      </c>
      <c r="AB412" s="19" t="n"/>
      <c r="AC412" s="19" t="n"/>
      <c r="AD412" s="19" t="n"/>
      <c r="AE412" s="20" t="n"/>
      <c r="AF412" s="21">
        <f>IF(K412="","",K412*AE412)</f>
        <v/>
      </c>
      <c r="AG412" s="19" t="n"/>
      <c r="AH412" s="19" t="n"/>
      <c r="AI412" s="19" t="n"/>
      <c r="AJ412" s="19" t="n"/>
      <c r="AK412" s="19" t="n"/>
      <c r="AL412" s="19" t="n"/>
      <c r="AM412" s="16" t="inlineStr">
        <is>
          <t>2 Tische. Auf dem Foto sind sie links auf der Wiese zu sehen.</t>
        </is>
      </c>
      <c r="AN412" s="22" t="n"/>
    </row>
    <row r="413" ht="30" customHeight="1">
      <c r="A413" s="15" t="inlineStr">
        <is>
          <t>GA01-10</t>
        </is>
      </c>
      <c r="B413" s="15" t="n"/>
      <c r="C413" s="15" t="n"/>
      <c r="D413" s="15" t="inlineStr">
        <is>
          <t>GA01</t>
        </is>
      </c>
      <c r="E413" s="15" t="inlineStr">
        <is>
          <t>IKEA Mammut Kindertisch rot</t>
        </is>
      </c>
      <c r="F413" s="16" t="inlineStr">
        <is>
          <t>Kindertisch IKEA Mammut aus rotem Kunststoff auf konischen Beinen.</t>
        </is>
      </c>
      <c r="G413" s="15" t="inlineStr">
        <is>
          <t>Garten</t>
        </is>
      </c>
      <c r="H413" s="15" t="inlineStr">
        <is>
          <t>Gartenanlage</t>
        </is>
      </c>
      <c r="I413" s="15" t="inlineStr">
        <is>
          <t>C</t>
        </is>
      </c>
      <c r="J413" s="17" t="n">
        <v>2</v>
      </c>
      <c r="K413" s="17" t="n"/>
      <c r="L413" s="18">
        <f>J413-IF(K413="",0,K413)</f>
        <v/>
      </c>
      <c r="M413" s="15" t="inlineStr">
        <is>
          <t>Stück</t>
        </is>
      </c>
      <c r="N413" s="15" t="inlineStr">
        <is>
          <t>gut</t>
        </is>
      </c>
      <c r="O413" s="19" t="n"/>
      <c r="P413" s="19" t="inlineStr">
        <is>
          <t>ja</t>
        </is>
      </c>
      <c r="Q413" s="19" t="n"/>
      <c r="R413" s="20" t="n"/>
      <c r="S413" s="20" t="n">
        <v>25</v>
      </c>
      <c r="T413" s="19" t="inlineStr">
        <is>
          <t>VHB</t>
        </is>
      </c>
      <c r="U413" s="21">
        <f>L413*S413</f>
        <v/>
      </c>
      <c r="V413" s="15" t="inlineStr">
        <is>
          <t>nur Abholung</t>
        </is>
      </c>
      <c r="W413" s="15" t="inlineStr">
        <is>
          <t>F-530</t>
        </is>
      </c>
      <c r="X413" s="19" t="inlineStr">
        <is>
          <t>ja</t>
        </is>
      </c>
      <c r="Y413" s="19" t="n"/>
      <c r="Z413" s="19" t="inlineStr">
        <is>
          <t>verfügbar</t>
        </is>
      </c>
      <c r="AA413" s="19" t="inlineStr">
        <is>
          <t>IKEA</t>
        </is>
      </c>
      <c r="AB413" s="19" t="n"/>
      <c r="AC413" s="19" t="n"/>
      <c r="AD413" s="19" t="n"/>
      <c r="AE413" s="20" t="n"/>
      <c r="AF413" s="21">
        <f>IF(K413="","",K413*AE413)</f>
        <v/>
      </c>
      <c r="AG413" s="19" t="n"/>
      <c r="AH413" s="19" t="n"/>
      <c r="AI413" s="19" t="n"/>
      <c r="AJ413" s="19" t="n"/>
      <c r="AK413" s="19" t="n"/>
      <c r="AL413" s="19" t="n"/>
      <c r="AM413" s="16" t="inlineStr">
        <is>
          <t>2 Tische. Auf dem Foto sind sie links auf der Wiese zu sehen.</t>
        </is>
      </c>
      <c r="AN413" s="22" t="n"/>
    </row>
    <row r="414" ht="30" customHeight="1">
      <c r="A414" s="15" t="inlineStr">
        <is>
          <t>GA01-11</t>
        </is>
      </c>
      <c r="B414" s="15" t="n"/>
      <c r="C414" s="15" t="n"/>
      <c r="D414" s="15" t="inlineStr">
        <is>
          <t>GA01</t>
        </is>
      </c>
      <c r="E414" s="15" t="inlineStr">
        <is>
          <t>Fenwick Trettraktor Gabelstapler</t>
        </is>
      </c>
      <c r="F414" s="16" t="inlineStr">
        <is>
          <t>Tretfahrzeug in Gabelstaplerform, rot mit schwarzem Hubmast und Stollenreifen, Hubgabel über eine Kurbel bedienbar. Aufdruck an der Seite: FENWICK.</t>
        </is>
      </c>
      <c r="G414" s="15" t="inlineStr">
        <is>
          <t>Kita-Ausstattung</t>
        </is>
      </c>
      <c r="H414" s="15" t="inlineStr">
        <is>
          <t>Gartenanlage</t>
        </is>
      </c>
      <c r="I414" s="15" t="inlineStr">
        <is>
          <t>B</t>
        </is>
      </c>
      <c r="J414" s="17" t="n">
        <v>2</v>
      </c>
      <c r="K414" s="17" t="n"/>
      <c r="L414" s="18">
        <f>J414-IF(K414="",0,K414)</f>
        <v/>
      </c>
      <c r="M414" s="15" t="inlineStr">
        <is>
          <t>Stück</t>
        </is>
      </c>
      <c r="N414" s="15" t="inlineStr">
        <is>
          <t>gebraucht</t>
        </is>
      </c>
      <c r="O414" s="19" t="n"/>
      <c r="P414" s="19" t="inlineStr">
        <is>
          <t>ja</t>
        </is>
      </c>
      <c r="Q414" s="19" t="n"/>
      <c r="R414" s="20" t="n"/>
      <c r="S414" s="20" t="n">
        <v>70</v>
      </c>
      <c r="T414" s="19" t="inlineStr">
        <is>
          <t>VHB</t>
        </is>
      </c>
      <c r="U414" s="21">
        <f>L414*S414</f>
        <v/>
      </c>
      <c r="V414" s="15" t="inlineStr">
        <is>
          <t>nur Abholung</t>
        </is>
      </c>
      <c r="W414" s="15" t="inlineStr">
        <is>
          <t>F-528</t>
        </is>
      </c>
      <c r="X414" s="19" t="inlineStr">
        <is>
          <t>ja</t>
        </is>
      </c>
      <c r="Y414" s="19" t="n"/>
      <c r="Z414" s="19" t="inlineStr">
        <is>
          <t>verfügbar</t>
        </is>
      </c>
      <c r="AA414" s="19" t="inlineStr">
        <is>
          <t>Fenwick</t>
        </is>
      </c>
      <c r="AB414" s="19" t="n"/>
      <c r="AC414" s="19" t="n"/>
      <c r="AD414" s="19" t="n"/>
      <c r="AE414" s="20" t="n"/>
      <c r="AF414" s="21">
        <f>IF(K414="","",K414*AE414)</f>
        <v/>
      </c>
      <c r="AG414" s="19" t="n"/>
      <c r="AH414" s="19" t="n"/>
      <c r="AI414" s="19" t="n"/>
      <c r="AJ414" s="19" t="n"/>
      <c r="AK414" s="19" t="n"/>
      <c r="AL414" s="19" t="n"/>
      <c r="AM414" s="16" t="inlineStr">
        <is>
          <t>2 Fahrzeuge – auf dem Foto sind beide zu sehen.</t>
        </is>
      </c>
      <c r="AN414" s="22" t="n"/>
    </row>
    <row r="415" ht="30" customHeight="1">
      <c r="A415" s="15" t="inlineStr">
        <is>
          <t>GA01-12</t>
        </is>
      </c>
      <c r="B415" s="15" t="n"/>
      <c r="C415" s="15" t="n"/>
      <c r="D415" s="15" t="inlineStr">
        <is>
          <t>GA01</t>
        </is>
      </c>
      <c r="E415" s="15" t="inlineStr">
        <is>
          <t>Claas Axos 340 Trettraktor</t>
        </is>
      </c>
      <c r="F415" s="16" t="inlineStr">
        <is>
          <t>Tretfahrzeug in Traktorform mit Claas-Aufdruck, grün-grau, mit Lenkrad, verstellbarem Sitz, Anhängerkupplung und Stollenreifen. Aufdruck an der Motorhaube: CLAAS 340 AXOS.</t>
        </is>
      </c>
      <c r="G415" s="15" t="inlineStr">
        <is>
          <t>Kita-Ausstattung</t>
        </is>
      </c>
      <c r="H415" s="15" t="inlineStr">
        <is>
          <t>Gartenanlage</t>
        </is>
      </c>
      <c r="I415" s="15" t="inlineStr">
        <is>
          <t>B</t>
        </is>
      </c>
      <c r="J415" s="17" t="n">
        <v>4</v>
      </c>
      <c r="K415" s="17" t="n"/>
      <c r="L415" s="18">
        <f>J415-IF(K415="",0,K415)</f>
        <v/>
      </c>
      <c r="M415" s="15" t="inlineStr">
        <is>
          <t>Stück</t>
        </is>
      </c>
      <c r="N415" s="15" t="inlineStr">
        <is>
          <t>gebraucht</t>
        </is>
      </c>
      <c r="O415" s="19" t="n"/>
      <c r="P415" s="19" t="inlineStr">
        <is>
          <t>ja</t>
        </is>
      </c>
      <c r="Q415" s="19" t="n"/>
      <c r="R415" s="20" t="n"/>
      <c r="S415" s="20" t="n">
        <v>70</v>
      </c>
      <c r="T415" s="19" t="inlineStr">
        <is>
          <t>VHB</t>
        </is>
      </c>
      <c r="U415" s="21">
        <f>L415*S415</f>
        <v/>
      </c>
      <c r="V415" s="15" t="inlineStr">
        <is>
          <t>nur Abholung</t>
        </is>
      </c>
      <c r="W415" s="15" t="inlineStr">
        <is>
          <t>F-529</t>
        </is>
      </c>
      <c r="X415" s="19" t="inlineStr">
        <is>
          <t>ja</t>
        </is>
      </c>
      <c r="Y415" s="19" t="n"/>
      <c r="Z415" s="19" t="inlineStr">
        <is>
          <t>verfügbar</t>
        </is>
      </c>
      <c r="AA415" s="19" t="inlineStr">
        <is>
          <t>Claas</t>
        </is>
      </c>
      <c r="AB415" s="19" t="n"/>
      <c r="AC415" s="19" t="n"/>
      <c r="AD415" s="19" t="n"/>
      <c r="AE415" s="20" t="n"/>
      <c r="AF415" s="21">
        <f>IF(K415="","",K415*AE415)</f>
        <v/>
      </c>
      <c r="AG415" s="19" t="n"/>
      <c r="AH415" s="19" t="n"/>
      <c r="AI415" s="19" t="n"/>
      <c r="AJ415" s="19" t="n"/>
      <c r="AK415" s="19" t="n"/>
      <c r="AL415" s="19" t="n"/>
      <c r="AM415" s="16" t="inlineStr">
        <is>
          <t>4 Traktoren – abgebildet ist einer davon, weitere stehen im Hintergrund.</t>
        </is>
      </c>
      <c r="AN415" s="22" t="n"/>
    </row>
    <row r="416" ht="30" customHeight="1">
      <c r="A416" s="15" t="inlineStr">
        <is>
          <t>GA01-13</t>
        </is>
      </c>
      <c r="B416" s="15" t="n"/>
      <c r="C416" s="15" t="n"/>
      <c r="D416" s="15" t="inlineStr">
        <is>
          <t>GA01</t>
        </is>
      </c>
      <c r="E416" s="15" t="inlineStr">
        <is>
          <t>Kinder-Liege Kunststoff orange</t>
        </is>
      </c>
      <c r="F416" s="16" t="inlineStr">
        <is>
          <t>Niedrige Kinderliege aus orangefarbenem Kunststoff in einem Stück, stapelbar. Die Sitzfläche hat einen kleinen Riss an der Vorderkante.</t>
        </is>
      </c>
      <c r="G416" s="15" t="inlineStr">
        <is>
          <t>Garten</t>
        </is>
      </c>
      <c r="H416" s="15" t="inlineStr">
        <is>
          <t>Gartenanlage</t>
        </is>
      </c>
      <c r="I416" s="15" t="inlineStr">
        <is>
          <t>C</t>
        </is>
      </c>
      <c r="J416" s="17" t="n">
        <v>2</v>
      </c>
      <c r="K416" s="17" t="n"/>
      <c r="L416" s="18">
        <f>J416-IF(K416="",0,K416)</f>
        <v/>
      </c>
      <c r="M416" s="15" t="inlineStr">
        <is>
          <t>Stück</t>
        </is>
      </c>
      <c r="N416" s="15" t="inlineStr">
        <is>
          <t>gebraucht</t>
        </is>
      </c>
      <c r="O416" s="19" t="n"/>
      <c r="P416" s="19" t="inlineStr">
        <is>
          <t>ja</t>
        </is>
      </c>
      <c r="Q416" s="19" t="n"/>
      <c r="R416" s="20" t="n"/>
      <c r="S416" s="20" t="n">
        <v>25</v>
      </c>
      <c r="T416" s="19" t="inlineStr">
        <is>
          <t>VHB</t>
        </is>
      </c>
      <c r="U416" s="21">
        <f>L416*S416</f>
        <v/>
      </c>
      <c r="V416" s="15" t="inlineStr">
        <is>
          <t>nur Abholung</t>
        </is>
      </c>
      <c r="W416" s="15" t="inlineStr">
        <is>
          <t>F-531</t>
        </is>
      </c>
      <c r="X416" s="19" t="inlineStr">
        <is>
          <t>ja</t>
        </is>
      </c>
      <c r="Y416" s="19" t="n"/>
      <c r="Z416" s="19" t="inlineStr">
        <is>
          <t>verfügbar</t>
        </is>
      </c>
      <c r="AA416" s="19" t="n"/>
      <c r="AB416" s="19" t="n"/>
      <c r="AC416" s="19" t="n"/>
      <c r="AD416" s="19" t="n"/>
      <c r="AE416" s="20" t="n"/>
      <c r="AF416" s="21">
        <f>IF(K416="","",K416*AE416)</f>
        <v/>
      </c>
      <c r="AG416" s="19" t="n"/>
      <c r="AH416" s="19" t="n"/>
      <c r="AI416" s="19" t="n"/>
      <c r="AJ416" s="19" t="n"/>
      <c r="AK416" s="19" t="n"/>
      <c r="AL416" s="19" t="n"/>
      <c r="AM416" s="16" t="inlineStr">
        <is>
          <t>2 Liegen – abgebildet ist eine davon.</t>
        </is>
      </c>
      <c r="AN416" s="22" t="n"/>
    </row>
    <row r="417" ht="30" customHeight="1">
      <c r="A417" s="15" t="inlineStr">
        <is>
          <t>GA01-14</t>
        </is>
      </c>
      <c r="B417" s="15" t="n"/>
      <c r="C417" s="15" t="n"/>
      <c r="D417" s="15" t="inlineStr">
        <is>
          <t>GA01</t>
        </is>
      </c>
      <c r="E417" s="15" t="inlineStr">
        <is>
          <t>Wehrfritz Spielanlage Burg mit zwei Rutschen</t>
        </is>
      </c>
      <c r="F417" s="16"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G417" s="15" t="inlineStr">
        <is>
          <t>Kita-Ausstattung</t>
        </is>
      </c>
      <c r="H417" s="15" t="inlineStr">
        <is>
          <t>Gartenanlage</t>
        </is>
      </c>
      <c r="I417" s="15" t="inlineStr">
        <is>
          <t>A</t>
        </is>
      </c>
      <c r="J417" s="17" t="n">
        <v>1</v>
      </c>
      <c r="K417" s="17" t="n"/>
      <c r="L417" s="18">
        <f>J417-IF(K417="",0,K417)</f>
        <v/>
      </c>
      <c r="M417" s="15" t="inlineStr">
        <is>
          <t>Stück</t>
        </is>
      </c>
      <c r="N417" s="15" t="inlineStr">
        <is>
          <t>gebraucht</t>
        </is>
      </c>
      <c r="O417" s="19" t="n"/>
      <c r="P417" s="19" t="inlineStr">
        <is>
          <t>ja</t>
        </is>
      </c>
      <c r="Q417" s="19" t="n"/>
      <c r="R417" s="20" t="n"/>
      <c r="S417" s="20" t="n">
        <v>1200</v>
      </c>
      <c r="T417" s="19" t="inlineStr">
        <is>
          <t>VHB</t>
        </is>
      </c>
      <c r="U417" s="21">
        <f>L417*S417</f>
        <v/>
      </c>
      <c r="V417" s="15" t="inlineStr">
        <is>
          <t>nur Abholung</t>
        </is>
      </c>
      <c r="W417" s="15" t="inlineStr">
        <is>
          <t>F-522</t>
        </is>
      </c>
      <c r="X417" s="19" t="inlineStr">
        <is>
          <t>ja</t>
        </is>
      </c>
      <c r="Y417" s="19" t="n"/>
      <c r="Z417" s="19" t="inlineStr">
        <is>
          <t>verfügbar</t>
        </is>
      </c>
      <c r="AA417" s="19" t="inlineStr">
        <is>
          <t>Wehrfritz</t>
        </is>
      </c>
      <c r="AB417" s="19" t="n"/>
      <c r="AC417" s="19" t="n"/>
      <c r="AD417" s="19" t="n"/>
      <c r="AE417" s="20" t="n"/>
      <c r="AF417" s="21">
        <f>IF(K417="","",K417*AE417)</f>
        <v/>
      </c>
      <c r="AG417" s="19" t="n"/>
      <c r="AH417" s="19" t="n"/>
      <c r="AI417" s="19" t="n"/>
      <c r="AJ417" s="19" t="n"/>
      <c r="AK417" s="19" t="n"/>
      <c r="AL417" s="19" t="n"/>
      <c r="AM417" s="16" t="inlineStr">
        <is>
          <t>1 Anlage. Abbau und Abtransport durch den Käufer. Eine zweite Ansicht steht auf Foto F-523, das Typenschild auf Foto F-521.</t>
        </is>
      </c>
      <c r="AN417" s="22" t="n"/>
    </row>
    <row r="418" ht="30" customHeight="1">
      <c r="A418" s="15" t="inlineStr">
        <is>
          <t>GA01-15</t>
        </is>
      </c>
      <c r="B418" s="15" t="n"/>
      <c r="C418" s="15" t="n"/>
      <c r="D418" s="15" t="inlineStr">
        <is>
          <t>GA01</t>
        </is>
      </c>
      <c r="E418" s="15" t="inlineStr">
        <is>
          <t>Sitzgruppe Holz, sechseckig</t>
        </is>
      </c>
      <c r="F418" s="16" t="inlineStr">
        <is>
          <t>Sechseckige Sitzgruppe aus Massivholz: Tischplatte mit umlaufenden Bänken, fest verschraubt. Das Holz ist durchgehend wettergrau.</t>
        </is>
      </c>
      <c r="G418" s="15" t="inlineStr">
        <is>
          <t>Garten</t>
        </is>
      </c>
      <c r="H418" s="15" t="inlineStr">
        <is>
          <t>Gartenanlage</t>
        </is>
      </c>
      <c r="I418" s="15" t="inlineStr">
        <is>
          <t>B</t>
        </is>
      </c>
      <c r="J418" s="17" t="n">
        <v>2</v>
      </c>
      <c r="K418" s="17" t="n"/>
      <c r="L418" s="18">
        <f>J418-IF(K418="",0,K418)</f>
        <v/>
      </c>
      <c r="M418" s="15" t="inlineStr">
        <is>
          <t>Stück</t>
        </is>
      </c>
      <c r="N418" s="15" t="inlineStr">
        <is>
          <t>stark gebraucht</t>
        </is>
      </c>
      <c r="O418" s="19" t="n"/>
      <c r="P418" s="19" t="inlineStr">
        <is>
          <t>ja</t>
        </is>
      </c>
      <c r="Q418" s="19" t="n"/>
      <c r="R418" s="20" t="n"/>
      <c r="S418" s="20" t="n">
        <v>100</v>
      </c>
      <c r="T418" s="19" t="inlineStr">
        <is>
          <t>VHB</t>
        </is>
      </c>
      <c r="U418" s="21">
        <f>L418*S418</f>
        <v/>
      </c>
      <c r="V418" s="15" t="inlineStr">
        <is>
          <t>nur Abholung</t>
        </is>
      </c>
      <c r="W418" s="15" t="inlineStr">
        <is>
          <t>F-532</t>
        </is>
      </c>
      <c r="X418" s="19" t="inlineStr">
        <is>
          <t>ja</t>
        </is>
      </c>
      <c r="Y418" s="19" t="n"/>
      <c r="Z418" s="19" t="inlineStr">
        <is>
          <t>verfügbar</t>
        </is>
      </c>
      <c r="AA418" s="19" t="n"/>
      <c r="AB418" s="19" t="n"/>
      <c r="AC418" s="19" t="n"/>
      <c r="AD418" s="19" t="n"/>
      <c r="AE418" s="20" t="n"/>
      <c r="AF418" s="21">
        <f>IF(K418="","",K418*AE418)</f>
        <v/>
      </c>
      <c r="AG418" s="19" t="n"/>
      <c r="AH418" s="19" t="n"/>
      <c r="AI418" s="19" t="n"/>
      <c r="AJ418" s="19" t="n"/>
      <c r="AK418" s="19" t="n"/>
      <c r="AL418" s="19" t="n"/>
      <c r="AM418" s="16" t="inlineStr">
        <is>
          <t>2 Sitzgruppen – abgebildet ist eine davon.</t>
        </is>
      </c>
      <c r="AN418" s="22" t="n"/>
    </row>
    <row r="419" ht="30" customHeight="1">
      <c r="A419" s="15" t="inlineStr">
        <is>
          <t>GA01-16</t>
        </is>
      </c>
      <c r="B419" s="15" t="n"/>
      <c r="C419" s="15" t="n"/>
      <c r="D419" s="15" t="inlineStr">
        <is>
          <t>GA01</t>
        </is>
      </c>
      <c r="E419" s="15" t="inlineStr">
        <is>
          <t>Pinolino Kindersitzgarnitur mit Tisch</t>
        </is>
      </c>
      <c r="F419" s="16" t="inlineStr">
        <is>
          <t>Kindersitzgarnitur von Pinolino aus Massivholz: Tisch mit zwei fest verbundenen Bänken. Brandzeichen auf der Platte: Pinolino. Das Holz ist durchgehend wettergrau.</t>
        </is>
      </c>
      <c r="G419" s="15" t="inlineStr">
        <is>
          <t>Garten</t>
        </is>
      </c>
      <c r="H419" s="15" t="inlineStr">
        <is>
          <t>Gartenanlage</t>
        </is>
      </c>
      <c r="I419" s="15" t="inlineStr">
        <is>
          <t>C</t>
        </is>
      </c>
      <c r="J419" s="17" t="n">
        <v>4</v>
      </c>
      <c r="K419" s="17" t="n"/>
      <c r="L419" s="18">
        <f>J419-IF(K419="",0,K419)</f>
        <v/>
      </c>
      <c r="M419" s="15" t="inlineStr">
        <is>
          <t>Stück</t>
        </is>
      </c>
      <c r="N419" s="15" t="inlineStr">
        <is>
          <t>stark gebraucht</t>
        </is>
      </c>
      <c r="O419" s="19" t="n"/>
      <c r="P419" s="19" t="inlineStr">
        <is>
          <t>ja</t>
        </is>
      </c>
      <c r="Q419" s="19" t="n"/>
      <c r="R419" s="20" t="n"/>
      <c r="S419" s="20" t="n">
        <v>35</v>
      </c>
      <c r="T419" s="19" t="inlineStr">
        <is>
          <t>VHB</t>
        </is>
      </c>
      <c r="U419" s="21">
        <f>L419*S419</f>
        <v/>
      </c>
      <c r="V419" s="15" t="inlineStr">
        <is>
          <t>nur Abholung</t>
        </is>
      </c>
      <c r="W419" s="15" t="inlineStr">
        <is>
          <t>F-518</t>
        </is>
      </c>
      <c r="X419" s="19" t="inlineStr">
        <is>
          <t>ja</t>
        </is>
      </c>
      <c r="Y419" s="19" t="n"/>
      <c r="Z419" s="19" t="inlineStr">
        <is>
          <t>verfügbar</t>
        </is>
      </c>
      <c r="AA419" s="19" t="inlineStr">
        <is>
          <t>Pinolino</t>
        </is>
      </c>
      <c r="AB419" s="19" t="n"/>
      <c r="AC419" s="19" t="n"/>
      <c r="AD419" s="19" t="n"/>
      <c r="AE419" s="20" t="n"/>
      <c r="AF419" s="21">
        <f>IF(K419="","",K419*AE419)</f>
        <v/>
      </c>
      <c r="AG419" s="19" t="n"/>
      <c r="AH419" s="19" t="n"/>
      <c r="AI419" s="19" t="n"/>
      <c r="AJ419" s="19" t="n"/>
      <c r="AK419" s="19" t="n"/>
      <c r="AL419" s="19" t="n"/>
      <c r="AM419" s="16" t="inlineStr">
        <is>
          <t>4 Garnituren – abgebildet ist eine davon. Das Brandzeichen ist auf Foto F-519 zu sehen.</t>
        </is>
      </c>
      <c r="AN419" s="22" t="n"/>
    </row>
  </sheetData>
  <autoFilter ref="A2:AN419"/>
  <mergeCells count="7">
    <mergeCell ref="AI1:AL1"/>
    <mergeCell ref="V1:AD1"/>
    <mergeCell ref="S1:U1"/>
    <mergeCell ref="Q1:R1"/>
    <mergeCell ref="A1:P1"/>
    <mergeCell ref="AE1:AH1"/>
    <mergeCell ref="AM1:AN1"/>
  </mergeCells>
  <conditionalFormatting sqref="Z3:Z41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419">
    <cfRule type="cellIs" priority="4" operator="equal" dxfId="3">
      <formula>"A"</formula>
    </cfRule>
  </conditionalFormatting>
  <conditionalFormatting sqref="P3:P419">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COUNTA(Artikelstamm!$A$3:$A$419)</f>
        <v/>
      </c>
    </row>
    <row r="6">
      <c r="A6" s="26" t="inlineStr">
        <is>
          <t>davon verfügbar</t>
        </is>
      </c>
      <c r="B6" s="27">
        <f>COUNTIF(Artikelstamm!$Z$3:$Z$419,"verfügbar")</f>
        <v/>
      </c>
    </row>
    <row r="7">
      <c r="A7" s="26" t="inlineStr">
        <is>
          <t>davon reserviert</t>
        </is>
      </c>
      <c r="B7" s="27">
        <f>COUNTIF(Artikelstamm!$Z$3:$Z$419,"reserviert")</f>
        <v/>
      </c>
    </row>
    <row r="8">
      <c r="A8" s="26" t="inlineStr">
        <is>
          <t>davon teilverkauft</t>
        </is>
      </c>
      <c r="B8" s="27">
        <f>COUNTIF(Artikelstamm!$Z$3:$Z$419,"teilverkauft")</f>
        <v/>
      </c>
    </row>
    <row r="9">
      <c r="A9" s="26" t="inlineStr">
        <is>
          <t>davon verkauft</t>
        </is>
      </c>
      <c r="B9" s="27">
        <f>COUNTIF(Artikelstamm!$Z$3:$Z$419,"verkauft")</f>
        <v/>
      </c>
    </row>
    <row r="10">
      <c r="A10" s="26" t="inlineStr">
        <is>
          <t>Einheiten noch im Bestand</t>
        </is>
      </c>
      <c r="B10" s="27">
        <f>SUM(Artikelstamm!$L$3:$L$419)</f>
        <v/>
      </c>
    </row>
    <row r="11">
      <c r="A11" s="28" t="inlineStr">
        <is>
          <t>Restbestand zu Wunschpreisen (netto)</t>
        </is>
      </c>
      <c r="B11" s="29">
        <f>SUM(Artikelstamm!$U$3:$U$419)</f>
        <v/>
      </c>
    </row>
    <row r="12">
      <c r="A12" s="25" t="inlineStr">
        <is>
          <t>Erlöse</t>
        </is>
      </c>
    </row>
    <row r="13">
      <c r="A13" s="26" t="inlineStr">
        <is>
          <t>Verkaufte Einheiten</t>
        </is>
      </c>
      <c r="B13" s="27">
        <f>SUM(Artikelstamm!$K$3:$K$419)</f>
        <v/>
      </c>
    </row>
    <row r="14">
      <c r="A14" s="26" t="inlineStr">
        <is>
          <t>Umsatz netto</t>
        </is>
      </c>
      <c r="B14" s="30">
        <f>SUMPRODUCT(Artikelstamm!$K$3:$K$419,Artikelstamm!$AE$3:$AE$419)</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SUMPRODUCT((Artikelstamm!$AJ$3:$AJ$419="bezahlt")*Artikelstamm!$K$3:$K$419*Artikelstamm!$AE$3:$AE$419)</f>
        <v/>
      </c>
    </row>
    <row r="18">
      <c r="A18" s="26" t="inlineStr">
        <is>
          <t>noch offen (netto)</t>
        </is>
      </c>
      <c r="B18" s="30">
        <f>B14-B17</f>
        <v/>
      </c>
    </row>
    <row r="20">
      <c r="A20" s="25" t="inlineStr">
        <is>
          <t>To-do</t>
        </is>
      </c>
    </row>
    <row r="21">
      <c r="A21" s="28" t="inlineStr">
        <is>
          <t>Rechnungen noch zu schreiben</t>
        </is>
      </c>
      <c r="B21" s="31">
        <f>COUNTIFS(Artikelstamm!$Z$3:$Z$419,"*verkauft",Artikelstamm!$AI$3:$AI$419,"")</f>
        <v/>
      </c>
    </row>
    <row r="22">
      <c r="A22" s="28" t="inlineStr">
        <is>
          <t>Rechnungen offen (unbezahlt)</t>
        </is>
      </c>
      <c r="B22" s="31">
        <f>COUNTIFS(Artikelstamm!$Z$3:$Z$419,"*verkauft",Artikelstamm!$AJ$3:$AJ$419,"offen")</f>
        <v/>
      </c>
    </row>
    <row r="23">
      <c r="A23" s="26" t="inlineStr">
        <is>
          <t>Reservierungen ohne Abholtermin</t>
        </is>
      </c>
      <c r="B23" s="27">
        <f>COUNTIFS(Artikelstamm!$Z$3:$Z$419,"reserviert",Artikelstamm!$AL$3:$AL$419,"")</f>
        <v/>
      </c>
    </row>
    <row r="24">
      <c r="A24" s="26" t="inlineStr">
        <is>
          <t>Artikel ohne Preis</t>
        </is>
      </c>
      <c r="B24" s="27">
        <f>COUNTIFS(Artikelstamm!$S$3:$S$419,"")</f>
        <v/>
      </c>
    </row>
    <row r="25">
      <c r="A25" s="26" t="inlineStr">
        <is>
          <t>Artikel ohne Maßangabe</t>
        </is>
      </c>
      <c r="B25" s="27">
        <f>COUNTIFS(Artikelstamm!$O$3:$O$419,"")</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COUNTIF(Artikelstamm!$I$3:$I$419,$A30)</f>
        <v/>
      </c>
      <c r="C30" s="34">
        <f>SUMPRODUCT((Artikelstamm!$I$3:$I$419=$A30)*Artikelstamm!$K$3:$K$419*Artikelstamm!$AE$3:$AE$419)</f>
        <v/>
      </c>
      <c r="D30" s="34">
        <f>SUMIF(Artikelstamm!$I$3:$I$419,$A30,Artikelstamm!$U$3:$U$419)</f>
        <v/>
      </c>
    </row>
    <row r="31">
      <c r="A31" s="26" t="inlineStr">
        <is>
          <t>B</t>
        </is>
      </c>
      <c r="B31" s="33">
        <f>COUNTIF(Artikelstamm!$I$3:$I$419,$A31)</f>
        <v/>
      </c>
      <c r="C31" s="34">
        <f>SUMPRODUCT((Artikelstamm!$I$3:$I$419=$A31)*Artikelstamm!$K$3:$K$419*Artikelstamm!$AE$3:$AE$419)</f>
        <v/>
      </c>
      <c r="D31" s="34">
        <f>SUMIF(Artikelstamm!$I$3:$I$419,$A31,Artikelstamm!$U$3:$U$419)</f>
        <v/>
      </c>
    </row>
    <row r="32">
      <c r="A32" s="26" t="inlineStr">
        <is>
          <t>C</t>
        </is>
      </c>
      <c r="B32" s="33">
        <f>COUNTIF(Artikelstamm!$I$3:$I$419,$A32)</f>
        <v/>
      </c>
      <c r="C32" s="34">
        <f>SUMPRODUCT((Artikelstamm!$I$3:$I$419=$A32)*Artikelstamm!$K$3:$K$419*Artikelstamm!$AE$3:$AE$419)</f>
        <v/>
      </c>
      <c r="D32" s="34">
        <f>SUMIF(Artikelstamm!$I$3:$I$419,$A32,Artikelstamm!$U$3:$U$419)</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COUNTIF(Artikelstamm!$G$3:$G$419,$A37)</f>
        <v/>
      </c>
      <c r="C37" s="34">
        <f>SUMPRODUCT((Artikelstamm!$G$3:$G$419=$A37)*Artikelstamm!$K$3:$K$419*Artikelstamm!$AE$3:$AE$419)</f>
        <v/>
      </c>
      <c r="D37" s="34">
        <f>SUMIF(Artikelstamm!$G$3:$G$419,$A37,Artikelstamm!$U$3:$U$419)</f>
        <v/>
      </c>
    </row>
    <row r="38">
      <c r="A38" s="26" t="inlineStr">
        <is>
          <t>Deko</t>
        </is>
      </c>
      <c r="B38" s="33">
        <f>COUNTIF(Artikelstamm!$G$3:$G$419,$A38)</f>
        <v/>
      </c>
      <c r="C38" s="34">
        <f>SUMPRODUCT((Artikelstamm!$G$3:$G$419=$A38)*Artikelstamm!$K$3:$K$419*Artikelstamm!$AE$3:$AE$419)</f>
        <v/>
      </c>
      <c r="D38" s="34">
        <f>SUMIF(Artikelstamm!$G$3:$G$419,$A38,Artikelstamm!$U$3:$U$419)</f>
        <v/>
      </c>
    </row>
    <row r="39">
      <c r="A39" s="26" t="inlineStr">
        <is>
          <t>Designmöbel</t>
        </is>
      </c>
      <c r="B39" s="33">
        <f>COUNTIF(Artikelstamm!$G$3:$G$419,$A39)</f>
        <v/>
      </c>
      <c r="C39" s="34">
        <f>SUMPRODUCT((Artikelstamm!$G$3:$G$419=$A39)*Artikelstamm!$K$3:$K$419*Artikelstamm!$AE$3:$AE$419)</f>
        <v/>
      </c>
      <c r="D39" s="34">
        <f>SUMIF(Artikelstamm!$G$3:$G$419,$A39,Artikelstamm!$U$3:$U$419)</f>
        <v/>
      </c>
    </row>
    <row r="40">
      <c r="A40" s="26" t="inlineStr">
        <is>
          <t>Garten</t>
        </is>
      </c>
      <c r="B40" s="33">
        <f>COUNTIF(Artikelstamm!$G$3:$G$419,$A40)</f>
        <v/>
      </c>
      <c r="C40" s="34">
        <f>SUMPRODUCT((Artikelstamm!$G$3:$G$419=$A40)*Artikelstamm!$K$3:$K$419*Artikelstamm!$AE$3:$AE$419)</f>
        <v/>
      </c>
      <c r="D40" s="34">
        <f>SUMIF(Artikelstamm!$G$3:$G$419,$A40,Artikelstamm!$U$3:$U$419)</f>
        <v/>
      </c>
    </row>
    <row r="41">
      <c r="A41" s="26" t="inlineStr">
        <is>
          <t>Kita-Ausstattung</t>
        </is>
      </c>
      <c r="B41" s="33">
        <f>COUNTIF(Artikelstamm!$G$3:$G$419,$A41)</f>
        <v/>
      </c>
      <c r="C41" s="34">
        <f>SUMPRODUCT((Artikelstamm!$G$3:$G$419=$A41)*Artikelstamm!$K$3:$K$419*Artikelstamm!$AE$3:$AE$419)</f>
        <v/>
      </c>
      <c r="D41" s="34">
        <f>SUMIF(Artikelstamm!$G$3:$G$419,$A41,Artikelstamm!$U$3:$U$419)</f>
        <v/>
      </c>
    </row>
    <row r="42">
      <c r="A42" s="26" t="inlineStr">
        <is>
          <t>Kunst</t>
        </is>
      </c>
      <c r="B42" s="33">
        <f>COUNTIF(Artikelstamm!$G$3:$G$419,$A42)</f>
        <v/>
      </c>
      <c r="C42" s="34">
        <f>SUMPRODUCT((Artikelstamm!$G$3:$G$419=$A42)*Artikelstamm!$K$3:$K$419*Artikelstamm!$AE$3:$AE$419)</f>
        <v/>
      </c>
      <c r="D42" s="34">
        <f>SUMIF(Artikelstamm!$G$3:$G$419,$A42,Artikelstamm!$U$3:$U$419)</f>
        <v/>
      </c>
    </row>
    <row r="43">
      <c r="A43" s="26" t="inlineStr">
        <is>
          <t>Leuchten</t>
        </is>
      </c>
      <c r="B43" s="33">
        <f>COUNTIF(Artikelstamm!$G$3:$G$419,$A43)</f>
        <v/>
      </c>
      <c r="C43" s="34">
        <f>SUMPRODUCT((Artikelstamm!$G$3:$G$419=$A43)*Artikelstamm!$K$3:$K$419*Artikelstamm!$AE$3:$AE$419)</f>
        <v/>
      </c>
      <c r="D43" s="34">
        <f>SUMIF(Artikelstamm!$G$3:$G$419,$A43,Artikelstamm!$U$3:$U$419)</f>
        <v/>
      </c>
    </row>
    <row r="44">
      <c r="A44" s="26" t="inlineStr">
        <is>
          <t>Möbel</t>
        </is>
      </c>
      <c r="B44" s="33">
        <f>COUNTIF(Artikelstamm!$G$3:$G$419,$A44)</f>
        <v/>
      </c>
      <c r="C44" s="34">
        <f>SUMPRODUCT((Artikelstamm!$G$3:$G$419=$A44)*Artikelstamm!$K$3:$K$419*Artikelstamm!$AE$3:$AE$419)</f>
        <v/>
      </c>
      <c r="D44" s="34">
        <f>SUMIF(Artikelstamm!$G$3:$G$419,$A44,Artikelstamm!$U$3:$U$419)</f>
        <v/>
      </c>
    </row>
    <row r="45">
      <c r="A45" s="26" t="inlineStr">
        <is>
          <t>Pflanzen</t>
        </is>
      </c>
      <c r="B45" s="33">
        <f>COUNTIF(Artikelstamm!$G$3:$G$419,$A45)</f>
        <v/>
      </c>
      <c r="C45" s="34">
        <f>SUMPRODUCT((Artikelstamm!$G$3:$G$419=$A45)*Artikelstamm!$K$3:$K$419*Artikelstamm!$AE$3:$AE$419)</f>
        <v/>
      </c>
      <c r="D45" s="34">
        <f>SUMIF(Artikelstamm!$G$3:$G$419,$A45,Artikelstamm!$U$3:$U$419)</f>
        <v/>
      </c>
    </row>
    <row r="46">
      <c r="A46" s="26" t="inlineStr">
        <is>
          <t>Sonstiges</t>
        </is>
      </c>
      <c r="B46" s="33">
        <f>COUNTIF(Artikelstamm!$G$3:$G$419,$A46)</f>
        <v/>
      </c>
      <c r="C46" s="34">
        <f>SUMPRODUCT((Artikelstamm!$G$3:$G$419=$A46)*Artikelstamm!$K$3:$K$419*Artikelstamm!$AE$3:$AE$419)</f>
        <v/>
      </c>
      <c r="D46" s="34">
        <f>SUMIF(Artikelstamm!$G$3:$G$419,$A46,Artikelstamm!$U$3:$U$419)</f>
        <v/>
      </c>
    </row>
    <row r="47">
      <c r="A47" s="26" t="inlineStr">
        <is>
          <t>Technik</t>
        </is>
      </c>
      <c r="B47" s="33">
        <f>COUNTIF(Artikelstamm!$G$3:$G$419,$A47)</f>
        <v/>
      </c>
      <c r="C47" s="34">
        <f>SUMPRODUCT((Artikelstamm!$G$3:$G$419=$A47)*Artikelstamm!$K$3:$K$419*Artikelstamm!$AE$3:$AE$419)</f>
        <v/>
      </c>
      <c r="D47" s="34">
        <f>SUMIF(Artikelstamm!$G$3:$G$419,$A47,Artikelstamm!$U$3:$U$419)</f>
        <v/>
      </c>
    </row>
    <row r="48">
      <c r="A48" s="26" t="inlineStr">
        <is>
          <t>Textilien</t>
        </is>
      </c>
      <c r="B48" s="33">
        <f>COUNTIF(Artikelstamm!$G$3:$G$419,$A48)</f>
        <v/>
      </c>
      <c r="C48" s="34">
        <f>SUMPRODUCT((Artikelstamm!$G$3:$G$419=$A48)*Artikelstamm!$K$3:$K$419*Artikelstamm!$AE$3:$AE$419)</f>
        <v/>
      </c>
      <c r="D48" s="34">
        <f>SUMIF(Artikelstamm!$G$3:$G$419,$A48,Artikelstamm!$U$3:$U$419)</f>
        <v/>
      </c>
    </row>
    <row r="49">
      <c r="A49" s="26" t="inlineStr">
        <is>
          <t>Uhren</t>
        </is>
      </c>
      <c r="B49" s="33">
        <f>COUNTIF(Artikelstamm!$G$3:$G$419,$A49)</f>
        <v/>
      </c>
      <c r="C49" s="34">
        <f>SUMPRODUCT((Artikelstamm!$G$3:$G$419=$A49)*Artikelstamm!$K$3:$K$419*Artikelstamm!$AE$3:$AE$419)</f>
        <v/>
      </c>
      <c r="D49" s="34">
        <f>SUMIF(Artikelstamm!$G$3:$G$419,$A49,Artikelstamm!$U$3:$U$419)</f>
        <v/>
      </c>
    </row>
    <row r="50">
      <c r="A50" s="26" t="inlineStr">
        <is>
          <t>Verbrauchsmaterial</t>
        </is>
      </c>
      <c r="B50" s="33">
        <f>COUNTIF(Artikelstamm!$G$3:$G$419,$A50)</f>
        <v/>
      </c>
      <c r="C50" s="34">
        <f>SUMPRODUCT((Artikelstamm!$G$3:$G$419=$A50)*Artikelstamm!$K$3:$K$419*Artikelstamm!$AE$3:$AE$419)</f>
        <v/>
      </c>
      <c r="D50" s="34">
        <f>SUMIF(Artikelstamm!$G$3:$G$419,$A50,Artikelstamm!$U$3:$U$419)</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COUNTIF(Artikelstamm!$H$3:$H$419,$A55)</f>
        <v/>
      </c>
      <c r="C55" s="34">
        <f>SUMPRODUCT((Artikelstamm!$H$3:$H$419=$A55)*Artikelstamm!$K$3:$K$419*Artikelstamm!$AE$3:$AE$419)</f>
        <v/>
      </c>
      <c r="D55" s="34">
        <f>SUMIF(Artikelstamm!$H$3:$H$419,$A55,Artikelstamm!$U$3:$U$419)</f>
        <v/>
      </c>
    </row>
    <row r="56">
      <c r="A56" s="26" t="inlineStr">
        <is>
          <t>Büro</t>
        </is>
      </c>
      <c r="B56" s="33">
        <f>COUNTIF(Artikelstamm!$H$3:$H$419,$A56)</f>
        <v/>
      </c>
      <c r="C56" s="34">
        <f>SUMPRODUCT((Artikelstamm!$H$3:$H$419=$A56)*Artikelstamm!$K$3:$K$419*Artikelstamm!$AE$3:$AE$419)</f>
        <v/>
      </c>
      <c r="D56" s="34">
        <f>SUMIF(Artikelstamm!$H$3:$H$419,$A56,Artikelstamm!$U$3:$U$419)</f>
        <v/>
      </c>
    </row>
    <row r="57">
      <c r="A57" s="26" t="inlineStr">
        <is>
          <t>Büro / Besprechung</t>
        </is>
      </c>
      <c r="B57" s="33">
        <f>COUNTIF(Artikelstamm!$H$3:$H$419,$A57)</f>
        <v/>
      </c>
      <c r="C57" s="34">
        <f>SUMPRODUCT((Artikelstamm!$H$3:$H$419=$A57)*Artikelstamm!$K$3:$K$419*Artikelstamm!$AE$3:$AE$419)</f>
        <v/>
      </c>
      <c r="D57" s="34">
        <f>SUMIF(Artikelstamm!$H$3:$H$419,$A57,Artikelstamm!$U$3:$U$419)</f>
        <v/>
      </c>
    </row>
    <row r="58">
      <c r="A58" s="26" t="inlineStr">
        <is>
          <t>Dachterrasse</t>
        </is>
      </c>
      <c r="B58" s="33">
        <f>COUNTIF(Artikelstamm!$H$3:$H$419,$A58)</f>
        <v/>
      </c>
      <c r="C58" s="34">
        <f>SUMPRODUCT((Artikelstamm!$H$3:$H$419=$A58)*Artikelstamm!$K$3:$K$419*Artikelstamm!$AE$3:$AE$419)</f>
        <v/>
      </c>
      <c r="D58" s="34">
        <f>SUMIF(Artikelstamm!$H$3:$H$419,$A58,Artikelstamm!$U$3:$U$419)</f>
        <v/>
      </c>
    </row>
    <row r="59">
      <c r="A59" s="26" t="inlineStr">
        <is>
          <t>Flur</t>
        </is>
      </c>
      <c r="B59" s="33">
        <f>COUNTIF(Artikelstamm!$H$3:$H$419,$A59)</f>
        <v/>
      </c>
      <c r="C59" s="34">
        <f>SUMPRODUCT((Artikelstamm!$H$3:$H$419=$A59)*Artikelstamm!$K$3:$K$419*Artikelstamm!$AE$3:$AE$419)</f>
        <v/>
      </c>
      <c r="D59" s="34">
        <f>SUMIF(Artikelstamm!$H$3:$H$419,$A59,Artikelstamm!$U$3:$U$419)</f>
        <v/>
      </c>
    </row>
    <row r="60">
      <c r="A60" s="26" t="inlineStr">
        <is>
          <t>Flur 1</t>
        </is>
      </c>
      <c r="B60" s="33">
        <f>COUNTIF(Artikelstamm!$H$3:$H$419,$A60)</f>
        <v/>
      </c>
      <c r="C60" s="34">
        <f>SUMPRODUCT((Artikelstamm!$H$3:$H$419=$A60)*Artikelstamm!$K$3:$K$419*Artikelstamm!$AE$3:$AE$419)</f>
        <v/>
      </c>
      <c r="D60" s="34">
        <f>SUMIF(Artikelstamm!$H$3:$H$419,$A60,Artikelstamm!$U$3:$U$419)</f>
        <v/>
      </c>
    </row>
    <row r="61">
      <c r="A61" s="26" t="inlineStr">
        <is>
          <t>Flur 2</t>
        </is>
      </c>
      <c r="B61" s="33">
        <f>COUNTIF(Artikelstamm!$H$3:$H$419,$A61)</f>
        <v/>
      </c>
      <c r="C61" s="34">
        <f>SUMPRODUCT((Artikelstamm!$H$3:$H$419=$A61)*Artikelstamm!$K$3:$K$419*Artikelstamm!$AE$3:$AE$419)</f>
        <v/>
      </c>
      <c r="D61" s="34">
        <f>SUMIF(Artikelstamm!$H$3:$H$419,$A61,Artikelstamm!$U$3:$U$419)</f>
        <v/>
      </c>
    </row>
    <row r="62">
      <c r="A62" s="26" t="inlineStr">
        <is>
          <t>Flur 3</t>
        </is>
      </c>
      <c r="B62" s="33">
        <f>COUNTIF(Artikelstamm!$H$3:$H$419,$A62)</f>
        <v/>
      </c>
      <c r="C62" s="34">
        <f>SUMPRODUCT((Artikelstamm!$H$3:$H$419=$A62)*Artikelstamm!$K$3:$K$419*Artikelstamm!$AE$3:$AE$419)</f>
        <v/>
      </c>
      <c r="D62" s="34">
        <f>SUMIF(Artikelstamm!$H$3:$H$419,$A62,Artikelstamm!$U$3:$U$419)</f>
        <v/>
      </c>
    </row>
    <row r="63">
      <c r="A63" s="26" t="inlineStr">
        <is>
          <t>Galerie</t>
        </is>
      </c>
      <c r="B63" s="33">
        <f>COUNTIF(Artikelstamm!$H$3:$H$419,$A63)</f>
        <v/>
      </c>
      <c r="C63" s="34">
        <f>SUMPRODUCT((Artikelstamm!$H$3:$H$419=$A63)*Artikelstamm!$K$3:$K$419*Artikelstamm!$AE$3:$AE$419)</f>
        <v/>
      </c>
      <c r="D63" s="34">
        <f>SUMIF(Artikelstamm!$H$3:$H$419,$A63,Artikelstamm!$U$3:$U$419)</f>
        <v/>
      </c>
    </row>
    <row r="64">
      <c r="A64" s="26" t="inlineStr">
        <is>
          <t>Garage</t>
        </is>
      </c>
      <c r="B64" s="33">
        <f>COUNTIF(Artikelstamm!$H$3:$H$419,$A64)</f>
        <v/>
      </c>
      <c r="C64" s="34">
        <f>SUMPRODUCT((Artikelstamm!$H$3:$H$419=$A64)*Artikelstamm!$K$3:$K$419*Artikelstamm!$AE$3:$AE$419)</f>
        <v/>
      </c>
      <c r="D64" s="34">
        <f>SUMIF(Artikelstamm!$H$3:$H$419,$A64,Artikelstamm!$U$3:$U$419)</f>
        <v/>
      </c>
    </row>
    <row r="65">
      <c r="A65" s="26" t="inlineStr">
        <is>
          <t>Gartenanlage</t>
        </is>
      </c>
      <c r="B65" s="33">
        <f>COUNTIF(Artikelstamm!$H$3:$H$419,$A65)</f>
        <v/>
      </c>
      <c r="C65" s="34">
        <f>SUMPRODUCT((Artikelstamm!$H$3:$H$419=$A65)*Artikelstamm!$K$3:$K$419*Artikelstamm!$AE$3:$AE$419)</f>
        <v/>
      </c>
      <c r="D65" s="34">
        <f>SUMIF(Artikelstamm!$H$3:$H$419,$A65,Artikelstamm!$U$3:$U$419)</f>
        <v/>
      </c>
    </row>
    <row r="66">
      <c r="A66" s="26" t="inlineStr">
        <is>
          <t>Gruppenraum</t>
        </is>
      </c>
      <c r="B66" s="33">
        <f>COUNTIF(Artikelstamm!$H$3:$H$419,$A66)</f>
        <v/>
      </c>
      <c r="C66" s="34">
        <f>SUMPRODUCT((Artikelstamm!$H$3:$H$419=$A66)*Artikelstamm!$K$3:$K$419*Artikelstamm!$AE$3:$AE$419)</f>
        <v/>
      </c>
      <c r="D66" s="34">
        <f>SUMIF(Artikelstamm!$H$3:$H$419,$A66,Artikelstamm!$U$3:$U$419)</f>
        <v/>
      </c>
    </row>
    <row r="67">
      <c r="A67" s="26" t="inlineStr">
        <is>
          <t>Gruppenraum 2</t>
        </is>
      </c>
      <c r="B67" s="33">
        <f>COUNTIF(Artikelstamm!$H$3:$H$419,$A67)</f>
        <v/>
      </c>
      <c r="C67" s="34">
        <f>SUMPRODUCT((Artikelstamm!$H$3:$H$419=$A67)*Artikelstamm!$K$3:$K$419*Artikelstamm!$AE$3:$AE$419)</f>
        <v/>
      </c>
      <c r="D67" s="34">
        <f>SUMIF(Artikelstamm!$H$3:$H$419,$A67,Artikelstamm!$U$3:$U$419)</f>
        <v/>
      </c>
    </row>
    <row r="68">
      <c r="A68" s="26" t="inlineStr">
        <is>
          <t>Gruppenraum 4</t>
        </is>
      </c>
      <c r="B68" s="33">
        <f>COUNTIF(Artikelstamm!$H$3:$H$419,$A68)</f>
        <v/>
      </c>
      <c r="C68" s="34">
        <f>SUMPRODUCT((Artikelstamm!$H$3:$H$419=$A68)*Artikelstamm!$K$3:$K$419*Artikelstamm!$AE$3:$AE$419)</f>
        <v/>
      </c>
      <c r="D68" s="34">
        <f>SUMIF(Artikelstamm!$H$3:$H$419,$A68,Artikelstamm!$U$3:$U$419)</f>
        <v/>
      </c>
    </row>
    <row r="69">
      <c r="A69" s="26" t="inlineStr">
        <is>
          <t>Gruppenraum 5</t>
        </is>
      </c>
      <c r="B69" s="33">
        <f>COUNTIF(Artikelstamm!$H$3:$H$419,$A69)</f>
        <v/>
      </c>
      <c r="C69" s="34">
        <f>SUMPRODUCT((Artikelstamm!$H$3:$H$419=$A69)*Artikelstamm!$K$3:$K$419*Artikelstamm!$AE$3:$AE$419)</f>
        <v/>
      </c>
      <c r="D69" s="34">
        <f>SUMIF(Artikelstamm!$H$3:$H$419,$A69,Artikelstamm!$U$3:$U$419)</f>
        <v/>
      </c>
    </row>
    <row r="70">
      <c r="A70" s="26" t="inlineStr">
        <is>
          <t>Klassenzimmer</t>
        </is>
      </c>
      <c r="B70" s="33">
        <f>COUNTIF(Artikelstamm!$H$3:$H$419,$A70)</f>
        <v/>
      </c>
      <c r="C70" s="34">
        <f>SUMPRODUCT((Artikelstamm!$H$3:$H$419=$A70)*Artikelstamm!$K$3:$K$419*Artikelstamm!$AE$3:$AE$419)</f>
        <v/>
      </c>
      <c r="D70" s="34">
        <f>SUMIF(Artikelstamm!$H$3:$H$419,$A70,Artikelstamm!$U$3:$U$419)</f>
        <v/>
      </c>
    </row>
    <row r="71">
      <c r="A71" s="26" t="inlineStr">
        <is>
          <t>Küche</t>
        </is>
      </c>
      <c r="B71" s="33">
        <f>COUNTIF(Artikelstamm!$H$3:$H$419,$A71)</f>
        <v/>
      </c>
      <c r="C71" s="34">
        <f>SUMPRODUCT((Artikelstamm!$H$3:$H$419=$A71)*Artikelstamm!$K$3:$K$419*Artikelstamm!$AE$3:$AE$419)</f>
        <v/>
      </c>
      <c r="D71" s="34">
        <f>SUMIF(Artikelstamm!$H$3:$H$419,$A71,Artikelstamm!$U$3:$U$419)</f>
        <v/>
      </c>
    </row>
    <row r="72">
      <c r="A72" s="26" t="inlineStr">
        <is>
          <t>Küche / Essen</t>
        </is>
      </c>
      <c r="B72" s="33">
        <f>COUNTIF(Artikelstamm!$H$3:$H$419,$A72)</f>
        <v/>
      </c>
      <c r="C72" s="34">
        <f>SUMPRODUCT((Artikelstamm!$H$3:$H$419=$A72)*Artikelstamm!$K$3:$K$419*Artikelstamm!$AE$3:$AE$419)</f>
        <v/>
      </c>
      <c r="D72" s="34">
        <f>SUMIF(Artikelstamm!$H$3:$H$419,$A72,Artikelstamm!$U$3:$U$419)</f>
        <v/>
      </c>
    </row>
    <row r="73">
      <c r="A73" s="26" t="inlineStr">
        <is>
          <t>Material / Turnraum</t>
        </is>
      </c>
      <c r="B73" s="33">
        <f>COUNTIF(Artikelstamm!$H$3:$H$419,$A73)</f>
        <v/>
      </c>
      <c r="C73" s="34">
        <f>SUMPRODUCT((Artikelstamm!$H$3:$H$419=$A73)*Artikelstamm!$K$3:$K$419*Artikelstamm!$AE$3:$AE$419)</f>
        <v/>
      </c>
      <c r="D73" s="34">
        <f>SUMIF(Artikelstamm!$H$3:$H$419,$A73,Artikelstamm!$U$3:$U$419)</f>
        <v/>
      </c>
    </row>
    <row r="74">
      <c r="A74" s="26" t="inlineStr">
        <is>
          <t>Personal</t>
        </is>
      </c>
      <c r="B74" s="33">
        <f>COUNTIF(Artikelstamm!$H$3:$H$419,$A74)</f>
        <v/>
      </c>
      <c r="C74" s="34">
        <f>SUMPRODUCT((Artikelstamm!$H$3:$H$419=$A74)*Artikelstamm!$K$3:$K$419*Artikelstamm!$AE$3:$AE$419)</f>
        <v/>
      </c>
      <c r="D74" s="34">
        <f>SUMIF(Artikelstamm!$H$3:$H$419,$A74,Artikelstamm!$U$3:$U$419)</f>
        <v/>
      </c>
    </row>
    <row r="75">
      <c r="A75" s="26" t="inlineStr">
        <is>
          <t>Ruhe- / Schlafraum</t>
        </is>
      </c>
      <c r="B75" s="33">
        <f>COUNTIF(Artikelstamm!$H$3:$H$419,$A75)</f>
        <v/>
      </c>
      <c r="C75" s="34">
        <f>SUMPRODUCT((Artikelstamm!$H$3:$H$419=$A75)*Artikelstamm!$K$3:$K$419*Artikelstamm!$AE$3:$AE$419)</f>
        <v/>
      </c>
      <c r="D75" s="34">
        <f>SUMIF(Artikelstamm!$H$3:$H$419,$A75,Artikelstamm!$U$3:$U$419)</f>
        <v/>
      </c>
    </row>
    <row r="76">
      <c r="A76" s="26" t="inlineStr">
        <is>
          <t>Schlafraum</t>
        </is>
      </c>
      <c r="B76" s="33">
        <f>COUNTIF(Artikelstamm!$H$3:$H$419,$A76)</f>
        <v/>
      </c>
      <c r="C76" s="34">
        <f>SUMPRODUCT((Artikelstamm!$H$3:$H$419=$A76)*Artikelstamm!$K$3:$K$419*Artikelstamm!$AE$3:$AE$419)</f>
        <v/>
      </c>
      <c r="D76" s="34">
        <f>SUMIF(Artikelstamm!$H$3:$H$419,$A76,Artikelstamm!$U$3:$U$419)</f>
        <v/>
      </c>
    </row>
    <row r="77">
      <c r="A77" s="26" t="inlineStr">
        <is>
          <t>Schlafraum 2</t>
        </is>
      </c>
      <c r="B77" s="33">
        <f>COUNTIF(Artikelstamm!$H$3:$H$419,$A77)</f>
        <v/>
      </c>
      <c r="C77" s="34">
        <f>SUMPRODUCT((Artikelstamm!$H$3:$H$419=$A77)*Artikelstamm!$K$3:$K$419*Artikelstamm!$AE$3:$AE$419)</f>
        <v/>
      </c>
      <c r="D77" s="34">
        <f>SUMIF(Artikelstamm!$H$3:$H$419,$A77,Artikelstamm!$U$3:$U$419)</f>
        <v/>
      </c>
    </row>
    <row r="78">
      <c r="A78" s="26" t="inlineStr">
        <is>
          <t>Schlafraum 3</t>
        </is>
      </c>
      <c r="B78" s="33">
        <f>COUNTIF(Artikelstamm!$H$3:$H$419,$A78)</f>
        <v/>
      </c>
      <c r="C78" s="34">
        <f>SUMPRODUCT((Artikelstamm!$H$3:$H$419=$A78)*Artikelstamm!$K$3:$K$419*Artikelstamm!$AE$3:$AE$419)</f>
        <v/>
      </c>
      <c r="D78" s="34">
        <f>SUMIF(Artikelstamm!$H$3:$H$419,$A78,Artikelstamm!$U$3:$U$419)</f>
        <v/>
      </c>
    </row>
    <row r="79">
      <c r="A79" s="26" t="inlineStr">
        <is>
          <t>Schlafraum 4</t>
        </is>
      </c>
      <c r="B79" s="33">
        <f>COUNTIF(Artikelstamm!$H$3:$H$419,$A79)</f>
        <v/>
      </c>
      <c r="C79" s="34">
        <f>SUMPRODUCT((Artikelstamm!$H$3:$H$419=$A79)*Artikelstamm!$K$3:$K$419*Artikelstamm!$AE$3:$AE$419)</f>
        <v/>
      </c>
      <c r="D79" s="34">
        <f>SUMIF(Artikelstamm!$H$3:$H$419,$A79,Artikelstamm!$U$3:$U$419)</f>
        <v/>
      </c>
    </row>
    <row r="80">
      <c r="A80" s="26" t="inlineStr">
        <is>
          <t>Schlafraum 5</t>
        </is>
      </c>
      <c r="B80" s="33">
        <f>COUNTIF(Artikelstamm!$H$3:$H$419,$A80)</f>
        <v/>
      </c>
      <c r="C80" s="34">
        <f>SUMPRODUCT((Artikelstamm!$H$3:$H$419=$A80)*Artikelstamm!$K$3:$K$419*Artikelstamm!$AE$3:$AE$419)</f>
        <v/>
      </c>
      <c r="D80" s="34">
        <f>SUMIF(Artikelstamm!$H$3:$H$419,$A80,Artikelstamm!$U$3:$U$419)</f>
        <v/>
      </c>
    </row>
    <row r="81">
      <c r="A81" s="26" t="inlineStr">
        <is>
          <t>Speisesaal</t>
        </is>
      </c>
      <c r="B81" s="33">
        <f>COUNTIF(Artikelstamm!$H$3:$H$419,$A81)</f>
        <v/>
      </c>
      <c r="C81" s="34">
        <f>SUMPRODUCT((Artikelstamm!$H$3:$H$419=$A81)*Artikelstamm!$K$3:$K$419*Artikelstamm!$AE$3:$AE$419)</f>
        <v/>
      </c>
      <c r="D81" s="34">
        <f>SUMIF(Artikelstamm!$H$3:$H$419,$A81,Artikelstamm!$U$3:$U$419)</f>
        <v/>
      </c>
    </row>
    <row r="82">
      <c r="A82" s="26" t="inlineStr">
        <is>
          <t>Terrasse</t>
        </is>
      </c>
      <c r="B82" s="33">
        <f>COUNTIF(Artikelstamm!$H$3:$H$419,$A82)</f>
        <v/>
      </c>
      <c r="C82" s="34">
        <f>SUMPRODUCT((Artikelstamm!$H$3:$H$419=$A82)*Artikelstamm!$K$3:$K$419*Artikelstamm!$AE$3:$AE$419)</f>
        <v/>
      </c>
      <c r="D82" s="34">
        <f>SUMIF(Artikelstamm!$H$3:$H$419,$A82,Artikelstamm!$U$3:$U$419)</f>
        <v/>
      </c>
    </row>
    <row r="83">
      <c r="A83" s="26" t="inlineStr">
        <is>
          <t>Treppenraum 1</t>
        </is>
      </c>
      <c r="B83" s="33">
        <f>COUNTIF(Artikelstamm!$H$3:$H$419,$A83)</f>
        <v/>
      </c>
      <c r="C83" s="34">
        <f>SUMPRODUCT((Artikelstamm!$H$3:$H$419=$A83)*Artikelstamm!$K$3:$K$419*Artikelstamm!$AE$3:$AE$419)</f>
        <v/>
      </c>
      <c r="D83" s="34">
        <f>SUMIF(Artikelstamm!$H$3:$H$419,$A83,Artikelstamm!$U$3:$U$419)</f>
        <v/>
      </c>
    </row>
    <row r="84">
      <c r="A84" s="26" t="inlineStr">
        <is>
          <t>Turnraum</t>
        </is>
      </c>
      <c r="B84" s="33">
        <f>COUNTIF(Artikelstamm!$H$3:$H$419,$A84)</f>
        <v/>
      </c>
      <c r="C84" s="34">
        <f>SUMPRODUCT((Artikelstamm!$H$3:$H$419=$A84)*Artikelstamm!$K$3:$K$419*Artikelstamm!$AE$3:$AE$419)</f>
        <v/>
      </c>
      <c r="D84" s="34">
        <f>SUMIF(Artikelstamm!$H$3:$H$419,$A84,Artikelstamm!$U$3:$U$419)</f>
        <v/>
      </c>
    </row>
    <row r="85">
      <c r="A85" s="26" t="inlineStr">
        <is>
          <t>WC</t>
        </is>
      </c>
      <c r="B85" s="33">
        <f>COUNTIF(Artikelstamm!$H$3:$H$419,$A85)</f>
        <v/>
      </c>
      <c r="C85" s="34">
        <f>SUMPRODUCT((Artikelstamm!$H$3:$H$419=$A85)*Artikelstamm!$K$3:$K$419*Artikelstamm!$AE$3:$AE$419)</f>
        <v/>
      </c>
      <c r="D85" s="34">
        <f>SUMIF(Artikelstamm!$H$3:$H$419,$A85,Artikelstamm!$U$3:$U$419)</f>
        <v/>
      </c>
    </row>
    <row r="86">
      <c r="A86" s="26" t="inlineStr">
        <is>
          <t>WC Personal</t>
        </is>
      </c>
      <c r="B86" s="33">
        <f>COUNTIF(Artikelstamm!$H$3:$H$419,$A86)</f>
        <v/>
      </c>
      <c r="C86" s="34">
        <f>SUMPRODUCT((Artikelstamm!$H$3:$H$419=$A86)*Artikelstamm!$K$3:$K$419*Artikelstamm!$AE$3:$AE$419)</f>
        <v/>
      </c>
      <c r="D86" s="34">
        <f>SUMIF(Artikelstamm!$H$3:$H$419,$A86,Artikelstamm!$U$3:$U$419)</f>
        <v/>
      </c>
    </row>
    <row r="87">
      <c r="A87" s="26" t="inlineStr">
        <is>
          <t>Werkraum</t>
        </is>
      </c>
      <c r="B87" s="33">
        <f>COUNTIF(Artikelstamm!$H$3:$H$419,$A87)</f>
        <v/>
      </c>
      <c r="C87" s="34">
        <f>SUMPRODUCT((Artikelstamm!$H$3:$H$419=$A87)*Artikelstamm!$K$3:$K$419*Artikelstamm!$AE$3:$AE$419)</f>
        <v/>
      </c>
      <c r="D87" s="34">
        <f>SUMIF(Artikelstamm!$H$3:$H$419,$A87,Artikelstamm!$U$3:$U$419)</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COUNTIF(Artikelstamm!$AC$3:$AC$419,$A92)</f>
        <v/>
      </c>
      <c r="C92" s="34">
        <f>SUMPRODUCT((Artikelstamm!$AC$3:$AC$419=$A92)*Artikelstamm!$K$3:$K$419*Artikelstamm!$AE$3:$AE$419)</f>
        <v/>
      </c>
    </row>
    <row r="93">
      <c r="A93" s="26" t="inlineStr">
        <is>
          <t>Kleinanzeigen</t>
        </is>
      </c>
      <c r="B93" s="33">
        <f>COUNTIF(Artikelstamm!$AC$3:$AC$419,$A93)</f>
        <v/>
      </c>
      <c r="C93" s="34">
        <f>SUMPRODUCT((Artikelstamm!$AC$3:$AC$419=$A93)*Artikelstamm!$K$3:$K$419*Artikelstamm!$AE$3:$AE$419)</f>
        <v/>
      </c>
    </row>
    <row r="94">
      <c r="A94" s="26" t="inlineStr">
        <is>
          <t>eBay</t>
        </is>
      </c>
      <c r="B94" s="33">
        <f>COUNTIF(Artikelstamm!$AC$3:$AC$419,$A94)</f>
        <v/>
      </c>
      <c r="C94" s="34">
        <f>SUMPRODUCT((Artikelstamm!$AC$3:$AC$419=$A94)*Artikelstamm!$K$3:$K$419*Artikelstamm!$AE$3:$AE$419)</f>
        <v/>
      </c>
    </row>
    <row r="95">
      <c r="A95" s="26" t="inlineStr">
        <is>
          <t>Direkt</t>
        </is>
      </c>
      <c r="B95" s="33">
        <f>COUNTIF(Artikelstamm!$AC$3:$AC$419,$A95)</f>
        <v/>
      </c>
      <c r="C95" s="34">
        <f>SUMPRODUCT((Artikelstamm!$AC$3:$AC$419=$A95)*Artikelstamm!$K$3:$K$419*Artikelstamm!$AE$3:$AE$419)</f>
        <v/>
      </c>
    </row>
    <row r="96">
      <c r="A96" s="26" t="inlineStr">
        <is>
          <t>Händler</t>
        </is>
      </c>
      <c r="B96" s="33">
        <f>COUNTIF(Artikelstamm!$AC$3:$AC$419,$A96)</f>
        <v/>
      </c>
      <c r="C96" s="34">
        <f>SUMPRODUCT((Artikelstamm!$AC$3:$AC$419=$A96)*Artikelstamm!$K$3:$K$419*Artikelstamm!$AE$3:$AE$419)</f>
        <v/>
      </c>
    </row>
    <row r="97">
      <c r="A97" s="26" t="inlineStr">
        <is>
          <t>Verkaufstag</t>
        </is>
      </c>
      <c r="B97" s="33">
        <f>COUNTIF(Artikelstamm!$AC$3:$AC$419,$A97)</f>
        <v/>
      </c>
      <c r="C97" s="34">
        <f>SUMPRODUCT((Artikelstamm!$AC$3:$AC$419=$A97)*Artikelstamm!$K$3:$K$419*Artikelstamm!$AE$3:$AE$419)</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2026-09-24T09:34:51Z</dcterms:created>
  <dcterms:modified xmlns:dcterms="http://purl.org/dc/terms/" xmlns:xsi="http://www.w3.org/2001/XMLSchema-instance" xsi:type="dcterms:W3CDTF">2026-09-24T09:34:53Z</dcterms:modified>
</cp:coreProperties>
</file>