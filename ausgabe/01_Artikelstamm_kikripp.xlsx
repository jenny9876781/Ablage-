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'Artikelstamm'!$A$2:$AM$176</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M17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22" customWidth="1" min="29" max="29"/>
    <col width="17" customWidth="1" min="30" max="30"/>
    <col width="14" customWidth="1" min="31" max="31"/>
    <col width="14" customWidth="1" min="32" max="32"/>
    <col width="24" customWidth="1" min="33" max="33"/>
    <col width="14" customWidth="1" min="34" max="34"/>
    <col width="11" customWidth="1" min="35" max="35"/>
    <col width="13" customWidth="1" min="36" max="36"/>
    <col width="13" customWidth="1" min="37" max="37"/>
    <col width="40" customWidth="1" min="38" max="38"/>
    <col width="32" customWidth="1" min="39" max="39"/>
  </cols>
  <sheetData>
    <row r="1" ht="16" customHeight="1">
      <c r="A1" s="8" t="inlineStr">
        <is>
          <t>STAMMDATEN</t>
        </is>
      </c>
      <c r="Q1" s="9" t="inlineStr">
        <is>
          <t>BUCHHALTUNG</t>
        </is>
      </c>
      <c r="S1" s="10" t="inlineStr">
        <is>
          <t>PREIS</t>
        </is>
      </c>
      <c r="V1" s="11" t="inlineStr">
        <is>
          <t>VERMARKTUNG</t>
        </is>
      </c>
      <c r="AD1" s="10" t="inlineStr">
        <is>
          <t>VERKAUF</t>
        </is>
      </c>
      <c r="AH1" s="9" t="inlineStr">
        <is>
          <t>KAUFMÄNNISCH</t>
        </is>
      </c>
      <c r="AL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Kanal</t>
        </is>
      </c>
      <c r="AC2" s="14" t="inlineStr">
        <is>
          <t>Reserviert_für</t>
        </is>
      </c>
      <c r="AD2" s="14" t="inlineStr">
        <is>
          <t>Verkaufspreis_netto</t>
        </is>
      </c>
      <c r="AE2" s="13" t="inlineStr">
        <is>
          <t>Umsatz_netto</t>
        </is>
      </c>
      <c r="AF2" s="14" t="inlineStr">
        <is>
          <t>Verkaufsdatum</t>
        </is>
      </c>
      <c r="AG2" s="14" t="inlineStr">
        <is>
          <t>Käufer</t>
        </is>
      </c>
      <c r="AH2" s="14" t="inlineStr">
        <is>
          <t>Rechnungsnr</t>
        </is>
      </c>
      <c r="AI2" s="14" t="inlineStr">
        <is>
          <t>Zahlung</t>
        </is>
      </c>
      <c r="AJ2" s="14" t="inlineStr">
        <is>
          <t>Zahlart</t>
        </is>
      </c>
      <c r="AK2" s="14" t="inlineStr">
        <is>
          <t>Abholtermin</t>
        </is>
      </c>
      <c r="AL2" s="13" t="inlineStr">
        <is>
          <t>Mengenhinweis</t>
        </is>
      </c>
      <c r="AM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20" t="n"/>
      <c r="AE3" s="21">
        <f>IF(K3="","",K3*AD3)</f>
        <v/>
      </c>
      <c r="AF3" s="19" t="n"/>
      <c r="AG3" s="19" t="n"/>
      <c r="AH3" s="19" t="n"/>
      <c r="AI3" s="19" t="n"/>
      <c r="AJ3" s="19" t="n"/>
      <c r="AK3" s="19" t="n"/>
      <c r="AL3" s="16" t="inlineStr">
        <is>
          <t>1 Regal mit 6 Körben im Bild</t>
        </is>
      </c>
      <c r="AM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20" t="n"/>
      <c r="AE4" s="21">
        <f>IF(K4="","",K4*AD4)</f>
        <v/>
      </c>
      <c r="AF4" s="19" t="n"/>
      <c r="AG4" s="19" t="n"/>
      <c r="AH4" s="19" t="n"/>
      <c r="AI4" s="19" t="n"/>
      <c r="AJ4" s="19" t="n"/>
      <c r="AK4" s="19" t="n"/>
      <c r="AL4" s="16" t="inlineStr">
        <is>
          <t>1 Stück im Bild</t>
        </is>
      </c>
      <c r="AM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20" t="n"/>
      <c r="AE5" s="21">
        <f>IF(K5="","",K5*AD5)</f>
        <v/>
      </c>
      <c r="AF5" s="19" t="n"/>
      <c r="AG5" s="19" t="n"/>
      <c r="AH5" s="19" t="n"/>
      <c r="AI5" s="19" t="n"/>
      <c r="AJ5" s="19" t="n"/>
      <c r="AK5" s="19" t="n"/>
      <c r="AL5" s="16" t="inlineStr">
        <is>
          <t>mehrere Schrankfächer - Menge bitte vor Ort festlegen</t>
        </is>
      </c>
      <c r="AM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20" t="n"/>
      <c r="AE6" s="21">
        <f>IF(K6="","",K6*AD6)</f>
        <v/>
      </c>
      <c r="AF6" s="19" t="n"/>
      <c r="AG6" s="19" t="n"/>
      <c r="AH6" s="19" t="n"/>
      <c r="AI6" s="19" t="n"/>
      <c r="AJ6" s="19" t="n"/>
      <c r="AK6" s="19" t="n"/>
      <c r="AL6" s="16" t="inlineStr">
        <is>
          <t>1 Sortierkasten im Bild</t>
        </is>
      </c>
      <c r="AM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20" t="n"/>
      <c r="AE7" s="21">
        <f>IF(K7="","",K7*AD7)</f>
        <v/>
      </c>
      <c r="AF7" s="19" t="n"/>
      <c r="AG7" s="19" t="n"/>
      <c r="AH7" s="19" t="n"/>
      <c r="AI7" s="19" t="n"/>
      <c r="AJ7" s="19" t="n"/>
      <c r="AK7" s="19" t="n"/>
      <c r="AL7" s="16" t="inlineStr">
        <is>
          <t>2 Regalböden im Bild</t>
        </is>
      </c>
      <c r="AM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20" t="n"/>
      <c r="AE8" s="21">
        <f>IF(K8="","",K8*AD8)</f>
        <v/>
      </c>
      <c r="AF8" s="19" t="n"/>
      <c r="AG8" s="19" t="n"/>
      <c r="AH8" s="19" t="n"/>
      <c r="AI8" s="19" t="n"/>
      <c r="AJ8" s="19" t="n"/>
      <c r="AK8" s="19" t="n"/>
      <c r="AL8" s="16" t="inlineStr">
        <is>
          <t>1 Schrank inkl. Restbestand Papier</t>
        </is>
      </c>
      <c r="AM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20" t="n"/>
      <c r="AE9" s="21">
        <f>IF(K9="","",K9*AD9)</f>
        <v/>
      </c>
      <c r="AF9" s="19" t="n"/>
      <c r="AG9" s="19" t="n"/>
      <c r="AH9" s="19" t="n"/>
      <c r="AI9" s="19" t="n"/>
      <c r="AJ9" s="19" t="n"/>
      <c r="AK9" s="19" t="n"/>
      <c r="AL9" s="16" t="inlineStr">
        <is>
          <t>2 Stück im Bild</t>
        </is>
      </c>
      <c r="AM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20" t="n"/>
      <c r="AE10" s="21">
        <f>IF(K10="","",K10*AD10)</f>
        <v/>
      </c>
      <c r="AF10" s="19" t="n"/>
      <c r="AG10" s="19" t="n"/>
      <c r="AH10" s="19" t="n"/>
      <c r="AI10" s="19" t="n"/>
      <c r="AJ10" s="19" t="n"/>
      <c r="AK10" s="19" t="n"/>
      <c r="AL10" s="16" t="inlineStr">
        <is>
          <t>1 Pflanze im Bild</t>
        </is>
      </c>
      <c r="AM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20" t="n"/>
      <c r="AE11" s="21">
        <f>IF(K11="","",K11*AD11)</f>
        <v/>
      </c>
      <c r="AF11" s="19" t="n"/>
      <c r="AG11" s="19" t="n"/>
      <c r="AH11" s="19" t="n"/>
      <c r="AI11" s="19" t="n"/>
      <c r="AJ11" s="19" t="n"/>
      <c r="AK11" s="19" t="n"/>
      <c r="AL11" s="16" t="inlineStr">
        <is>
          <t>1 Stück im Bild</t>
        </is>
      </c>
      <c r="AM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20" t="n"/>
      <c r="AE12" s="21">
        <f>IF(K12="","",K12*AD12)</f>
        <v/>
      </c>
      <c r="AF12" s="19" t="n"/>
      <c r="AG12" s="19" t="n"/>
      <c r="AH12" s="19" t="n"/>
      <c r="AI12" s="19" t="n"/>
      <c r="AJ12" s="19" t="n"/>
      <c r="AK12" s="19" t="n"/>
      <c r="AL12" s="16" t="inlineStr">
        <is>
          <t>1 Tisch im Bild</t>
        </is>
      </c>
      <c r="AM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20" t="n"/>
      <c r="AE13" s="21">
        <f>IF(K13="","",K13*AD13)</f>
        <v/>
      </c>
      <c r="AF13" s="19" t="n"/>
      <c r="AG13" s="19" t="n"/>
      <c r="AH13" s="19" t="n"/>
      <c r="AI13" s="19" t="n"/>
      <c r="AJ13" s="19" t="n"/>
      <c r="AK13" s="19" t="n"/>
      <c r="AL13" s="16" t="inlineStr">
        <is>
          <t>mindestens 6 Stück erkennbar - bitte nachzählen</t>
        </is>
      </c>
      <c r="AM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20" t="n"/>
      <c r="AE14" s="21">
        <f>IF(K14="","",K14*AD14)</f>
        <v/>
      </c>
      <c r="AF14" s="19" t="n"/>
      <c r="AG14" s="19" t="n"/>
      <c r="AH14" s="19" t="n"/>
      <c r="AI14" s="19" t="n"/>
      <c r="AJ14" s="19" t="n"/>
      <c r="AK14" s="19" t="n"/>
      <c r="AL14" s="16" t="inlineStr">
        <is>
          <t>1 Tisch im Bild</t>
        </is>
      </c>
      <c r="AM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20" t="n"/>
      <c r="AE15" s="21">
        <f>IF(K15="","",K15*AD15)</f>
        <v/>
      </c>
      <c r="AF15" s="19" t="n"/>
      <c r="AG15" s="19" t="n"/>
      <c r="AH15" s="19" t="n"/>
      <c r="AI15" s="19" t="n"/>
      <c r="AJ15" s="19" t="n"/>
      <c r="AK15" s="19" t="n"/>
      <c r="AL15" s="16" t="inlineStr">
        <is>
          <t>1 Sofa im Bild</t>
        </is>
      </c>
      <c r="AM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20" t="n"/>
      <c r="AE16" s="21">
        <f>IF(K16="","",K16*AD16)</f>
        <v/>
      </c>
      <c r="AF16" s="19" t="n"/>
      <c r="AG16" s="19" t="n"/>
      <c r="AH16" s="19" t="n"/>
      <c r="AI16" s="19" t="n"/>
      <c r="AJ16" s="19" t="n"/>
      <c r="AK16" s="19" t="n"/>
      <c r="AL16" s="16" t="inlineStr">
        <is>
          <t>1 Sessel im Bild</t>
        </is>
      </c>
      <c r="AM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20" t="n"/>
      <c r="AE17" s="21">
        <f>IF(K17="","",K17*AD17)</f>
        <v/>
      </c>
      <c r="AF17" s="19" t="n"/>
      <c r="AG17" s="19" t="n"/>
      <c r="AH17" s="19" t="n"/>
      <c r="AI17" s="19" t="n"/>
      <c r="AJ17" s="19" t="n"/>
      <c r="AK17" s="19" t="n"/>
      <c r="AL17" s="16" t="inlineStr">
        <is>
          <t>1 Stück im Bild</t>
        </is>
      </c>
      <c r="AM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20" t="n"/>
      <c r="AE18" s="21">
        <f>IF(K18="","",K18*AD18)</f>
        <v/>
      </c>
      <c r="AF18" s="19" t="n"/>
      <c r="AG18" s="19" t="n"/>
      <c r="AH18" s="19" t="n"/>
      <c r="AI18" s="19" t="n"/>
      <c r="AJ18" s="19" t="n"/>
      <c r="AK18" s="19" t="n"/>
      <c r="AL18" s="16" t="inlineStr">
        <is>
          <t>2 Sessel im Bild</t>
        </is>
      </c>
      <c r="AM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20" t="n"/>
      <c r="AE19" s="21">
        <f>IF(K19="","",K19*AD19)</f>
        <v/>
      </c>
      <c r="AF19" s="19" t="n"/>
      <c r="AG19" s="19" t="n"/>
      <c r="AH19" s="19" t="n"/>
      <c r="AI19" s="19" t="n"/>
      <c r="AJ19" s="19" t="n"/>
      <c r="AK19" s="19" t="n"/>
      <c r="AL19" s="16" t="inlineStr">
        <is>
          <t>2 Hocker im Bild</t>
        </is>
      </c>
      <c r="AM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20" t="n"/>
      <c r="AE20" s="21">
        <f>IF(K20="","",K20*AD20)</f>
        <v/>
      </c>
      <c r="AF20" s="19" t="n"/>
      <c r="AG20" s="19" t="n"/>
      <c r="AH20" s="19" t="n"/>
      <c r="AI20" s="19" t="n"/>
      <c r="AJ20" s="19" t="n"/>
      <c r="AK20" s="19" t="n"/>
      <c r="AL20" s="16" t="inlineStr">
        <is>
          <t>1 Tisch im Bild</t>
        </is>
      </c>
      <c r="AM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20" t="n"/>
      <c r="AE21" s="21">
        <f>IF(K21="","",K21*AD21)</f>
        <v/>
      </c>
      <c r="AF21" s="19" t="n"/>
      <c r="AG21" s="19" t="n"/>
      <c r="AH21" s="19" t="n"/>
      <c r="AI21" s="19" t="n"/>
      <c r="AJ21" s="19" t="n"/>
      <c r="AK21" s="19" t="n"/>
      <c r="AL21" s="16" t="inlineStr">
        <is>
          <t>1 Leuchte im Bild</t>
        </is>
      </c>
      <c r="AM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20" t="n"/>
      <c r="AE22" s="21">
        <f>IF(K22="","",K22*AD22)</f>
        <v/>
      </c>
      <c r="AF22" s="19" t="n"/>
      <c r="AG22" s="19" t="n"/>
      <c r="AH22" s="19" t="n"/>
      <c r="AI22" s="19" t="n"/>
      <c r="AJ22" s="19" t="n"/>
      <c r="AK22" s="19" t="n"/>
      <c r="AL22" s="16" t="inlineStr">
        <is>
          <t>1 Mobile im Bild</t>
        </is>
      </c>
      <c r="AM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20" t="n"/>
      <c r="AE23" s="21">
        <f>IF(K23="","",K23*AD23)</f>
        <v/>
      </c>
      <c r="AF23" s="19" t="n"/>
      <c r="AG23" s="19" t="n"/>
      <c r="AH23" s="19" t="n"/>
      <c r="AI23" s="19" t="n"/>
      <c r="AJ23" s="19" t="n"/>
      <c r="AK23" s="19" t="n"/>
      <c r="AL23" s="16" t="inlineStr">
        <is>
          <t>2 Stück im Bild</t>
        </is>
      </c>
      <c r="AM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20" t="n"/>
      <c r="AE24" s="21">
        <f>IF(K24="","",K24*AD24)</f>
        <v/>
      </c>
      <c r="AF24" s="19" t="n"/>
      <c r="AG24" s="19" t="n"/>
      <c r="AH24" s="19" t="n"/>
      <c r="AI24" s="19" t="n"/>
      <c r="AJ24" s="19" t="n"/>
      <c r="AK24" s="19" t="n"/>
      <c r="AL24" s="16" t="inlineStr">
        <is>
          <t>3 Rahmen im Bild</t>
        </is>
      </c>
      <c r="AM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20" t="n"/>
      <c r="AE25" s="21">
        <f>IF(K25="","",K25*AD25)</f>
        <v/>
      </c>
      <c r="AF25" s="19" t="n"/>
      <c r="AG25" s="19" t="n"/>
      <c r="AH25" s="19" t="n"/>
      <c r="AI25" s="19" t="n"/>
      <c r="AJ25" s="19" t="n"/>
      <c r="AK25" s="19" t="n"/>
      <c r="AL25" s="16" t="inlineStr">
        <is>
          <t>2 Stück im Bild</t>
        </is>
      </c>
      <c r="AM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20" t="n"/>
      <c r="AE26" s="21">
        <f>IF(K26="","",K26*AD26)</f>
        <v/>
      </c>
      <c r="AF26" s="19" t="n"/>
      <c r="AG26" s="19" t="n"/>
      <c r="AH26" s="19" t="n"/>
      <c r="AI26" s="19" t="n"/>
      <c r="AJ26" s="19" t="n"/>
      <c r="AK26" s="19" t="n"/>
      <c r="AL26" s="16" t="inlineStr">
        <is>
          <t>1 Stück im Bild</t>
        </is>
      </c>
      <c r="AM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20" t="n"/>
      <c r="AE27" s="21">
        <f>IF(K27="","",K27*AD27)</f>
        <v/>
      </c>
      <c r="AF27" s="19" t="n"/>
      <c r="AG27" s="19" t="n"/>
      <c r="AH27" s="19" t="n"/>
      <c r="AI27" s="19" t="n"/>
      <c r="AJ27" s="19" t="n"/>
      <c r="AK27" s="19" t="n"/>
      <c r="AL27" s="16" t="inlineStr">
        <is>
          <t>1 Sofa im Bild</t>
        </is>
      </c>
      <c r="AM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20" t="n"/>
      <c r="AE28" s="21">
        <f>IF(K28="","",K28*AD28)</f>
        <v/>
      </c>
      <c r="AF28" s="19" t="n"/>
      <c r="AG28" s="19" t="n"/>
      <c r="AH28" s="19" t="n"/>
      <c r="AI28" s="19" t="n"/>
      <c r="AJ28" s="19" t="n"/>
      <c r="AK28" s="19" t="n"/>
      <c r="AL28" s="16" t="inlineStr">
        <is>
          <t>1 Leuchte im Bild</t>
        </is>
      </c>
      <c r="AM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20" t="n"/>
      <c r="AE29" s="21">
        <f>IF(K29="","",K29*AD29)</f>
        <v/>
      </c>
      <c r="AF29" s="19" t="n"/>
      <c r="AG29" s="19" t="n"/>
      <c r="AH29" s="19" t="n"/>
      <c r="AI29" s="19" t="n"/>
      <c r="AJ29" s="19" t="n"/>
      <c r="AK29" s="19" t="n"/>
      <c r="AL29" s="16" t="inlineStr">
        <is>
          <t>1 Pflanze im Bild</t>
        </is>
      </c>
      <c r="AM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20" t="n"/>
      <c r="AE30" s="21">
        <f>IF(K30="","",K30*AD30)</f>
        <v/>
      </c>
      <c r="AF30" s="19" t="n"/>
      <c r="AG30" s="19" t="n"/>
      <c r="AH30" s="19" t="n"/>
      <c r="AI30" s="19" t="n"/>
      <c r="AJ30" s="19" t="n"/>
      <c r="AK30" s="19" t="n"/>
      <c r="AL30" s="16" t="inlineStr">
        <is>
          <t>1 Stück im Bild</t>
        </is>
      </c>
      <c r="AM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20" t="n"/>
      <c r="AE31" s="21">
        <f>IF(K31="","",K31*AD31)</f>
        <v/>
      </c>
      <c r="AF31" s="19" t="n"/>
      <c r="AG31" s="19" t="n"/>
      <c r="AH31" s="19" t="n"/>
      <c r="AI31" s="19" t="n"/>
      <c r="AJ31" s="19" t="n"/>
      <c r="AK31" s="19" t="n"/>
      <c r="AL31" s="16" t="inlineStr">
        <is>
          <t>1 Tisch im Bild</t>
        </is>
      </c>
      <c r="AM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20" t="n"/>
      <c r="AE32" s="21">
        <f>IF(K32="","",K32*AD32)</f>
        <v/>
      </c>
      <c r="AF32" s="19" t="n"/>
      <c r="AG32" s="19" t="n"/>
      <c r="AH32" s="19" t="n"/>
      <c r="AI32" s="19" t="n"/>
      <c r="AJ32" s="19" t="n"/>
      <c r="AK32" s="19" t="n"/>
      <c r="AL32" s="16" t="inlineStr">
        <is>
          <t>1 Pflanze im Bild</t>
        </is>
      </c>
      <c r="AM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20" t="n"/>
      <c r="AE33" s="21">
        <f>IF(K33="","",K33*AD33)</f>
        <v/>
      </c>
      <c r="AF33" s="19" t="n"/>
      <c r="AG33" s="19" t="n"/>
      <c r="AH33" s="19" t="n"/>
      <c r="AI33" s="19" t="n"/>
      <c r="AJ33" s="19" t="n"/>
      <c r="AK33" s="19" t="n"/>
      <c r="AL33" s="16" t="inlineStr">
        <is>
          <t>1 Kübel im Bild (Bepflanzung enthalten)</t>
        </is>
      </c>
      <c r="AM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20" t="n"/>
      <c r="AE34" s="21">
        <f>IF(K34="","",K34*AD34)</f>
        <v/>
      </c>
      <c r="AF34" s="19" t="n"/>
      <c r="AG34" s="19" t="n"/>
      <c r="AH34" s="19" t="n"/>
      <c r="AI34" s="19" t="n"/>
      <c r="AJ34" s="19" t="n"/>
      <c r="AK34" s="19" t="n"/>
      <c r="AL34" s="16" t="inlineStr">
        <is>
          <t>2 Teppiche insgesamt: einer im Gruppenraum (BU04-03) und einer im Gruppenraum 5 (dort mit NU02-10 beschriftet).</t>
        </is>
      </c>
      <c r="AM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20" t="n"/>
      <c r="AE35" s="21">
        <f>IF(K35="","",K35*AD35)</f>
        <v/>
      </c>
      <c r="AF35" s="19" t="n"/>
      <c r="AG35" s="19" t="n"/>
      <c r="AH35" s="19" t="n"/>
      <c r="AI35" s="19" t="n"/>
      <c r="AJ35" s="19" t="n"/>
      <c r="AK35" s="19" t="n"/>
      <c r="AL35" s="16" t="inlineStr">
        <is>
          <t>4 Regale insgesamt: 2 im Gruppenraum (BU04-04) und 2 im Gruppenraum 5 (dort mit NU02-06 beschriftet).</t>
        </is>
      </c>
      <c r="AM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20" t="n"/>
      <c r="AE36" s="21">
        <f>IF(K36="","",K36*AD36)</f>
        <v/>
      </c>
      <c r="AF36" s="19" t="n"/>
      <c r="AG36" s="19" t="n"/>
      <c r="AH36" s="19" t="n"/>
      <c r="AI36" s="19" t="n"/>
      <c r="AJ36" s="19" t="n"/>
      <c r="AK36" s="19" t="n"/>
      <c r="AL36" s="16" t="inlineStr">
        <is>
          <t>1 Set im Bild</t>
        </is>
      </c>
      <c r="AM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20" t="n"/>
      <c r="AE37" s="21">
        <f>IF(K37="","",K37*AD37)</f>
        <v/>
      </c>
      <c r="AF37" s="19" t="n"/>
      <c r="AG37" s="19" t="n"/>
      <c r="AH37" s="19" t="n"/>
      <c r="AI37" s="19" t="n"/>
      <c r="AJ37" s="19" t="n"/>
      <c r="AK37" s="19" t="n"/>
      <c r="AL37" s="16" t="inlineStr">
        <is>
          <t>1 Stück im Bild</t>
        </is>
      </c>
      <c r="AM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20" t="n"/>
      <c r="AE38" s="21">
        <f>IF(K38="","",K38*AD38)</f>
        <v/>
      </c>
      <c r="AF38" s="19" t="n"/>
      <c r="AG38" s="19" t="n"/>
      <c r="AH38" s="19" t="n"/>
      <c r="AI38" s="19" t="n"/>
      <c r="AJ38" s="19" t="n"/>
      <c r="AK38" s="19" t="n"/>
      <c r="AL38" s="16" t="inlineStr">
        <is>
          <t>mehrere Kisten im Bild</t>
        </is>
      </c>
      <c r="AM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20" t="n"/>
      <c r="AE39" s="21">
        <f>IF(K39="","",K39*AD39)</f>
        <v/>
      </c>
      <c r="AF39" s="19" t="n"/>
      <c r="AG39" s="19" t="n"/>
      <c r="AH39" s="19" t="n"/>
      <c r="AI39" s="19" t="n"/>
      <c r="AJ39" s="19" t="n"/>
      <c r="AK39" s="19" t="n"/>
      <c r="AL39" s="16" t="inlineStr">
        <is>
          <t>1 Stück im Bild</t>
        </is>
      </c>
      <c r="AM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20" t="n"/>
      <c r="AE40" s="21">
        <f>IF(K40="","",K40*AD40)</f>
        <v/>
      </c>
      <c r="AF40" s="19" t="n"/>
      <c r="AG40" s="19" t="n"/>
      <c r="AH40" s="19" t="n"/>
      <c r="AI40" s="19" t="n"/>
      <c r="AJ40" s="19" t="n"/>
      <c r="AK40" s="19" t="n"/>
      <c r="AL40" s="16" t="inlineStr">
        <is>
          <t>1 Liege im Bild</t>
        </is>
      </c>
      <c r="AM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20" t="n"/>
      <c r="AE41" s="21">
        <f>IF(K41="","",K41*AD41)</f>
        <v/>
      </c>
      <c r="AF41" s="19" t="n"/>
      <c r="AG41" s="19" t="n"/>
      <c r="AH41" s="19" t="n"/>
      <c r="AI41" s="19" t="n"/>
      <c r="AJ41" s="19" t="n"/>
      <c r="AK41" s="19" t="n"/>
      <c r="AL41" s="16" t="inlineStr">
        <is>
          <t>1 Einheit aus 3 Modulen im Bild</t>
        </is>
      </c>
      <c r="AM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20" t="n"/>
      <c r="AE42" s="21">
        <f>IF(K42="","",K42*AD42)</f>
        <v/>
      </c>
      <c r="AF42" s="19" t="n"/>
      <c r="AG42" s="19" t="n"/>
      <c r="AH42" s="19" t="n"/>
      <c r="AI42" s="19" t="n"/>
      <c r="AJ42" s="19" t="n"/>
      <c r="AK42" s="19" t="n"/>
      <c r="AL42" s="16" t="inlineStr">
        <is>
          <t>3 Teile im Bild</t>
        </is>
      </c>
      <c r="AM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20" t="n"/>
      <c r="AE43" s="21">
        <f>IF(K43="","",K43*AD43)</f>
        <v/>
      </c>
      <c r="AF43" s="19" t="n"/>
      <c r="AG43" s="19" t="n"/>
      <c r="AH43" s="19" t="n"/>
      <c r="AI43" s="19" t="n"/>
      <c r="AJ43" s="19" t="n"/>
      <c r="AK43" s="19" t="n"/>
      <c r="AL43" s="16" t="inlineStr">
        <is>
          <t>1 Stück im Bild</t>
        </is>
      </c>
      <c r="AM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20" t="n"/>
      <c r="AE44" s="21">
        <f>IF(K44="","",K44*AD44)</f>
        <v/>
      </c>
      <c r="AF44" s="19" t="n"/>
      <c r="AG44" s="19" t="n"/>
      <c r="AH44" s="19" t="n"/>
      <c r="AI44" s="19" t="n"/>
      <c r="AJ44" s="19" t="n"/>
      <c r="AK44" s="19" t="n"/>
      <c r="AL44" s="16" t="inlineStr">
        <is>
          <t>1 Stück im Bild</t>
        </is>
      </c>
      <c r="AM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20" t="n"/>
      <c r="AE45" s="21">
        <f>IF(K45="","",K45*AD45)</f>
        <v/>
      </c>
      <c r="AF45" s="19" t="n"/>
      <c r="AG45" s="19" t="n"/>
      <c r="AH45" s="19" t="n"/>
      <c r="AI45" s="19" t="n"/>
      <c r="AJ45" s="19" t="n"/>
      <c r="AK45" s="19" t="n"/>
      <c r="AL45" s="16" t="inlineStr">
        <is>
          <t>1 Stück im Bild</t>
        </is>
      </c>
      <c r="AM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20" t="n"/>
      <c r="AE46" s="21">
        <f>IF(K46="","",K46*AD46)</f>
        <v/>
      </c>
      <c r="AF46" s="19" t="n"/>
      <c r="AG46" s="19" t="n"/>
      <c r="AH46" s="19" t="n"/>
      <c r="AI46" s="19" t="n"/>
      <c r="AJ46" s="19" t="n"/>
      <c r="AK46" s="19" t="n"/>
      <c r="AL46" s="16" t="inlineStr">
        <is>
          <t>1 Stück im Bild</t>
        </is>
      </c>
      <c r="AM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20" t="n"/>
      <c r="AE47" s="21">
        <f>IF(K47="","",K47*AD47)</f>
        <v/>
      </c>
      <c r="AF47" s="19" t="n"/>
      <c r="AG47" s="19" t="n"/>
      <c r="AH47" s="19" t="n"/>
      <c r="AI47" s="19" t="n"/>
      <c r="AJ47" s="19" t="n"/>
      <c r="AK47" s="19" t="n"/>
      <c r="AL47" s="16" t="inlineStr">
        <is>
          <t>3 Regale im Bild erkennbar</t>
        </is>
      </c>
      <c r="AM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20" t="n"/>
      <c r="AE48" s="21">
        <f>IF(K48="","",K48*AD48)</f>
        <v/>
      </c>
      <c r="AF48" s="19" t="n"/>
      <c r="AG48" s="19" t="n"/>
      <c r="AH48" s="19" t="n"/>
      <c r="AI48" s="19" t="n"/>
      <c r="AJ48" s="19" t="n"/>
      <c r="AK48" s="19" t="n"/>
      <c r="AL48" s="16" t="inlineStr">
        <is>
          <t>1 Stück im Bild</t>
        </is>
      </c>
      <c r="AM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20" t="n"/>
      <c r="AE49" s="21">
        <f>IF(K49="","",K49*AD49)</f>
        <v/>
      </c>
      <c r="AF49" s="19" t="n"/>
      <c r="AG49" s="19" t="n"/>
      <c r="AH49" s="19" t="n"/>
      <c r="AI49" s="19" t="n"/>
      <c r="AJ49" s="19" t="n"/>
      <c r="AK49" s="19" t="n"/>
      <c r="AL49" s="16" t="inlineStr">
        <is>
          <t>1 Stück im Bild</t>
        </is>
      </c>
      <c r="AM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20" t="n"/>
      <c r="AE50" s="21">
        <f>IF(K50="","",K50*AD50)</f>
        <v/>
      </c>
      <c r="AF50" s="19" t="n"/>
      <c r="AG50" s="19" t="n"/>
      <c r="AH50" s="19" t="n"/>
      <c r="AI50" s="19" t="n"/>
      <c r="AJ50" s="19" t="n"/>
      <c r="AK50" s="19" t="n"/>
      <c r="AL50" s="16" t="inlineStr">
        <is>
          <t>2 Bilder im Bild</t>
        </is>
      </c>
      <c r="AM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20" t="n"/>
      <c r="AE51" s="21">
        <f>IF(K51="","",K51*AD51)</f>
        <v/>
      </c>
      <c r="AF51" s="19" t="n"/>
      <c r="AG51" s="19" t="n"/>
      <c r="AH51" s="19" t="n"/>
      <c r="AI51" s="19" t="n"/>
      <c r="AJ51" s="19" t="n"/>
      <c r="AK51" s="19" t="n"/>
      <c r="AL51" s="16" t="inlineStr">
        <is>
          <t>1 Set im Bild</t>
        </is>
      </c>
      <c r="AM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20" t="n"/>
      <c r="AE52" s="21">
        <f>IF(K52="","",K52*AD52)</f>
        <v/>
      </c>
      <c r="AF52" s="19" t="n"/>
      <c r="AG52" s="19" t="n"/>
      <c r="AH52" s="19" t="n"/>
      <c r="AI52" s="19" t="n"/>
      <c r="AJ52" s="19" t="n"/>
      <c r="AK52" s="19" t="n"/>
      <c r="AL52" s="16" t="inlineStr">
        <is>
          <t>1 Pflanze im Bild</t>
        </is>
      </c>
      <c r="AM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20" t="n"/>
      <c r="AE53" s="21">
        <f>IF(K53="","",K53*AD53)</f>
        <v/>
      </c>
      <c r="AF53" s="19" t="n"/>
      <c r="AG53" s="19" t="n"/>
      <c r="AH53" s="19" t="n"/>
      <c r="AI53" s="19" t="n"/>
      <c r="AJ53" s="19" t="n"/>
      <c r="AK53" s="19" t="n"/>
      <c r="AL53" s="16" t="inlineStr">
        <is>
          <t>ca. 6 Stück im Bild - bitte nachzählen</t>
        </is>
      </c>
      <c r="AM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20" t="n"/>
      <c r="AE54" s="21">
        <f>IF(K54="","",K54*AD54)</f>
        <v/>
      </c>
      <c r="AF54" s="19" t="n"/>
      <c r="AG54" s="19" t="n"/>
      <c r="AH54" s="19" t="n"/>
      <c r="AI54" s="19" t="n"/>
      <c r="AJ54" s="19" t="n"/>
      <c r="AK54" s="19" t="n"/>
      <c r="AL54" s="16" t="inlineStr">
        <is>
          <t>ca. 8 Stück im Bild - bitte nachzählen</t>
        </is>
      </c>
      <c r="AM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20" t="n"/>
      <c r="AE55" s="21">
        <f>IF(K55="","",K55*AD55)</f>
        <v/>
      </c>
      <c r="AF55" s="19" t="n"/>
      <c r="AG55" s="19" t="n"/>
      <c r="AH55" s="19" t="n"/>
      <c r="AI55" s="19" t="n"/>
      <c r="AJ55" s="19" t="n"/>
      <c r="AK55" s="19" t="n"/>
      <c r="AL55" s="16" t="inlineStr">
        <is>
          <t>1 Stück im Bild</t>
        </is>
      </c>
      <c r="AM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20" t="n"/>
      <c r="AE56" s="21">
        <f>IF(K56="","",K56*AD56)</f>
        <v/>
      </c>
      <c r="AF56" s="19" t="n"/>
      <c r="AG56" s="19" t="n"/>
      <c r="AH56" s="19" t="n"/>
      <c r="AI56" s="19" t="n"/>
      <c r="AJ56" s="19" t="n"/>
      <c r="AK56" s="19" t="n"/>
      <c r="AL56" s="16" t="inlineStr">
        <is>
          <t>1 Stück im Bild</t>
        </is>
      </c>
      <c r="AM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20" t="n"/>
      <c r="AE57" s="21">
        <f>IF(K57="","",K57*AD57)</f>
        <v/>
      </c>
      <c r="AF57" s="19" t="n"/>
      <c r="AG57" s="19" t="n"/>
      <c r="AH57" s="19" t="n"/>
      <c r="AI57" s="19" t="n"/>
      <c r="AJ57" s="19" t="n"/>
      <c r="AK57" s="19" t="n"/>
      <c r="AL57" s="16" t="inlineStr">
        <is>
          <t>1 Schrank im Bild (Bücher nicht enthalten)</t>
        </is>
      </c>
      <c r="AM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20" t="n"/>
      <c r="AE58" s="21">
        <f>IF(K58="","",K58*AD58)</f>
        <v/>
      </c>
      <c r="AF58" s="19" t="n"/>
      <c r="AG58" s="19" t="n"/>
      <c r="AH58" s="19" t="n"/>
      <c r="AI58" s="19" t="n"/>
      <c r="AJ58" s="19" t="n"/>
      <c r="AK58" s="19" t="n"/>
      <c r="AL58" s="16" t="inlineStr">
        <is>
          <t>2 Stück im Bild</t>
        </is>
      </c>
      <c r="AM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20" t="n"/>
      <c r="AE59" s="21">
        <f>IF(K59="","",K59*AD59)</f>
        <v/>
      </c>
      <c r="AF59" s="19" t="n"/>
      <c r="AG59" s="19" t="n"/>
      <c r="AH59" s="19" t="n"/>
      <c r="AI59" s="19" t="n"/>
      <c r="AJ59" s="19" t="n"/>
      <c r="AK59" s="19" t="n"/>
      <c r="AL59" s="16" t="inlineStr">
        <is>
          <t>2 Regale im Bild</t>
        </is>
      </c>
      <c r="AM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20" t="n"/>
      <c r="AE60" s="21">
        <f>IF(K60="","",K60*AD60)</f>
        <v/>
      </c>
      <c r="AF60" s="19" t="n"/>
      <c r="AG60" s="19" t="n"/>
      <c r="AH60" s="19" t="n"/>
      <c r="AI60" s="19" t="n"/>
      <c r="AJ60" s="19" t="n"/>
      <c r="AK60" s="19" t="n"/>
      <c r="AL60" s="16" t="inlineStr">
        <is>
          <t>1 Stück im Bild</t>
        </is>
      </c>
      <c r="AM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20" t="n"/>
      <c r="AE61" s="21">
        <f>IF(K61="","",K61*AD61)</f>
        <v/>
      </c>
      <c r="AF61" s="19" t="n"/>
      <c r="AG61" s="19" t="n"/>
      <c r="AH61" s="19" t="n"/>
      <c r="AI61" s="19" t="n"/>
      <c r="AJ61" s="19" t="n"/>
      <c r="AK61" s="19" t="n"/>
      <c r="AL61" s="16" t="inlineStr">
        <is>
          <t>1 Stück im Bild</t>
        </is>
      </c>
      <c r="AM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20" t="n"/>
      <c r="AE62" s="21">
        <f>IF(K62="","",K62*AD62)</f>
        <v/>
      </c>
      <c r="AF62" s="19" t="n"/>
      <c r="AG62" s="19" t="n"/>
      <c r="AH62" s="19" t="n"/>
      <c r="AI62" s="19" t="n"/>
      <c r="AJ62" s="19" t="n"/>
      <c r="AK62" s="19" t="n"/>
      <c r="AL62" s="16" t="inlineStr">
        <is>
          <t>1 Stück im Bild</t>
        </is>
      </c>
      <c r="AM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20" t="n"/>
      <c r="AE63" s="21">
        <f>IF(K63="","",K63*AD63)</f>
        <v/>
      </c>
      <c r="AF63" s="19" t="n"/>
      <c r="AG63" s="19" t="n"/>
      <c r="AH63" s="19" t="n"/>
      <c r="AI63" s="19" t="n"/>
      <c r="AJ63" s="19" t="n"/>
      <c r="AK63" s="19" t="n"/>
      <c r="AL63" s="16" t="inlineStr">
        <is>
          <t>1 Stück im Bild</t>
        </is>
      </c>
      <c r="AM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20" t="n"/>
      <c r="AE64" s="21">
        <f>IF(K64="","",K64*AD64)</f>
        <v/>
      </c>
      <c r="AF64" s="19" t="n"/>
      <c r="AG64" s="19" t="n"/>
      <c r="AH64" s="19" t="n"/>
      <c r="AI64" s="19" t="n"/>
      <c r="AJ64" s="19" t="n"/>
      <c r="AK64" s="19" t="n"/>
      <c r="AL64" s="16" t="inlineStr">
        <is>
          <t>ca. 8 Stück im Bild - bitte nachzählen</t>
        </is>
      </c>
      <c r="AM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20" t="n"/>
      <c r="AE65" s="21">
        <f>IF(K65="","",K65*AD65)</f>
        <v/>
      </c>
      <c r="AF65" s="19" t="n"/>
      <c r="AG65" s="19" t="n"/>
      <c r="AH65" s="19" t="n"/>
      <c r="AI65" s="19" t="n"/>
      <c r="AJ65" s="19" t="n"/>
      <c r="AK65" s="19" t="n"/>
      <c r="AL65" s="16" t="inlineStr">
        <is>
          <t>1 Stück im Bild</t>
        </is>
      </c>
      <c r="AM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20" t="n"/>
      <c r="AE66" s="21">
        <f>IF(K66="","",K66*AD66)</f>
        <v/>
      </c>
      <c r="AF66" s="19" t="n"/>
      <c r="AG66" s="19" t="n"/>
      <c r="AH66" s="19" t="n"/>
      <c r="AI66" s="19" t="n"/>
      <c r="AJ66" s="19" t="n"/>
      <c r="AK66" s="19" t="n"/>
      <c r="AL66" s="16" t="inlineStr">
        <is>
          <t>2 Schränke im Bild</t>
        </is>
      </c>
      <c r="AM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20" t="n"/>
      <c r="AE67" s="21">
        <f>IF(K67="","",K67*AD67)</f>
        <v/>
      </c>
      <c r="AF67" s="19" t="n"/>
      <c r="AG67" s="19" t="n"/>
      <c r="AH67" s="19" t="n"/>
      <c r="AI67" s="19" t="n"/>
      <c r="AJ67" s="19" t="n"/>
      <c r="AK67" s="19" t="n"/>
      <c r="AL67" s="16" t="inlineStr">
        <is>
          <t>1 Stück im Bild</t>
        </is>
      </c>
      <c r="AM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20" t="n"/>
      <c r="AE68" s="21">
        <f>IF(K68="","",K68*AD68)</f>
        <v/>
      </c>
      <c r="AF68" s="19" t="n"/>
      <c r="AG68" s="19" t="n"/>
      <c r="AH68" s="19" t="n"/>
      <c r="AI68" s="19" t="n"/>
      <c r="AJ68" s="19" t="n"/>
      <c r="AK68" s="19" t="n"/>
      <c r="AL68" s="16" t="inlineStr">
        <is>
          <t>1 Stück im Bild</t>
        </is>
      </c>
      <c r="AM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20" t="n"/>
      <c r="AE69" s="21">
        <f>IF(K69="","",K69*AD69)</f>
        <v/>
      </c>
      <c r="AF69" s="19" t="n"/>
      <c r="AG69" s="19" t="n"/>
      <c r="AH69" s="19" t="n"/>
      <c r="AI69" s="19" t="n"/>
      <c r="AJ69" s="19" t="n"/>
      <c r="AK69" s="19" t="n"/>
      <c r="AL69" s="16" t="inlineStr">
        <is>
          <t>1 Stück im Bild</t>
        </is>
      </c>
      <c r="AM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20" t="n"/>
      <c r="AE70" s="21">
        <f>IF(K70="","",K70*AD70)</f>
        <v/>
      </c>
      <c r="AF70" s="19" t="n"/>
      <c r="AG70" s="19" t="n"/>
      <c r="AH70" s="19" t="n"/>
      <c r="AI70" s="19" t="n"/>
      <c r="AJ70" s="19" t="n"/>
      <c r="AK70" s="19" t="n"/>
      <c r="AL70" s="16" t="inlineStr">
        <is>
          <t>1 Stück im Bild</t>
        </is>
      </c>
      <c r="AM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20" t="n"/>
      <c r="AE71" s="21">
        <f>IF(K71="","",K71*AD71)</f>
        <v/>
      </c>
      <c r="AF71" s="19" t="n"/>
      <c r="AG71" s="19" t="n"/>
      <c r="AH71" s="19" t="n"/>
      <c r="AI71" s="19" t="n"/>
      <c r="AJ71" s="19" t="n"/>
      <c r="AK71" s="19" t="n"/>
      <c r="AL71" s="16" t="inlineStr">
        <is>
          <t>1 Stück im Bild (ohne Treibholz)</t>
        </is>
      </c>
      <c r="AM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20" t="n"/>
      <c r="AE72" s="21">
        <f>IF(K72="","",K72*AD72)</f>
        <v/>
      </c>
      <c r="AF72" s="19" t="n"/>
      <c r="AG72" s="19" t="n"/>
      <c r="AH72" s="19" t="n"/>
      <c r="AI72" s="19" t="n"/>
      <c r="AJ72" s="19" t="n"/>
      <c r="AK72" s="19" t="n"/>
      <c r="AL72" s="16" t="inlineStr">
        <is>
          <t>1 Stück im Bild</t>
        </is>
      </c>
      <c r="AM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20" t="n"/>
      <c r="AE73" s="21">
        <f>IF(K73="","",K73*AD73)</f>
        <v/>
      </c>
      <c r="AF73" s="19" t="n"/>
      <c r="AG73" s="19" t="n"/>
      <c r="AH73" s="19" t="n"/>
      <c r="AI73" s="19" t="n"/>
      <c r="AJ73" s="19" t="n"/>
      <c r="AK73" s="19" t="n"/>
      <c r="AL73" s="16" t="inlineStr">
        <is>
          <t>1 Stück im Bild</t>
        </is>
      </c>
      <c r="AM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20" t="n"/>
      <c r="AE74" s="21">
        <f>IF(K74="","",K74*AD74)</f>
        <v/>
      </c>
      <c r="AF74" s="19" t="n"/>
      <c r="AG74" s="19" t="n"/>
      <c r="AH74" s="19" t="n"/>
      <c r="AI74" s="19" t="n"/>
      <c r="AJ74" s="19" t="n"/>
      <c r="AK74" s="19" t="n"/>
      <c r="AL74" s="16" t="inlineStr">
        <is>
          <t>1 Bild im Bild</t>
        </is>
      </c>
      <c r="AM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20" t="n"/>
      <c r="AE75" s="21">
        <f>IF(K75="","",K75*AD75)</f>
        <v/>
      </c>
      <c r="AF75" s="19" t="n"/>
      <c r="AG75" s="19" t="n"/>
      <c r="AH75" s="19" t="n"/>
      <c r="AI75" s="19" t="n"/>
      <c r="AJ75" s="19" t="n"/>
      <c r="AK75" s="19" t="n"/>
      <c r="AL75" s="16" t="inlineStr">
        <is>
          <t>1 Stück im Bild</t>
        </is>
      </c>
      <c r="AM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20" t="n"/>
      <c r="AE76" s="21">
        <f>IF(K76="","",K76*AD76)</f>
        <v/>
      </c>
      <c r="AF76" s="19" t="n"/>
      <c r="AG76" s="19" t="n"/>
      <c r="AH76" s="19" t="n"/>
      <c r="AI76" s="19" t="n"/>
      <c r="AJ76" s="19" t="n"/>
      <c r="AK76" s="19" t="n"/>
      <c r="AL76" s="16" t="inlineStr">
        <is>
          <t>1 Pflanze im Bild</t>
        </is>
      </c>
      <c r="AM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20" t="n"/>
      <c r="AE77" s="21">
        <f>IF(K77="","",K77*AD77)</f>
        <v/>
      </c>
      <c r="AF77" s="19" t="n"/>
      <c r="AG77" s="19" t="n"/>
      <c r="AH77" s="19" t="n"/>
      <c r="AI77" s="19" t="n"/>
      <c r="AJ77" s="19" t="n"/>
      <c r="AK77" s="19" t="n"/>
      <c r="AL77" s="16" t="inlineStr">
        <is>
          <t>1 Leuchte im Bild</t>
        </is>
      </c>
      <c r="AM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20" t="n"/>
      <c r="AE78" s="21">
        <f>IF(K78="","",K78*AD78)</f>
        <v/>
      </c>
      <c r="AF78" s="19" t="n"/>
      <c r="AG78" s="19" t="n"/>
      <c r="AH78" s="19" t="n"/>
      <c r="AI78" s="19" t="n"/>
      <c r="AJ78" s="19" t="n"/>
      <c r="AK78" s="19" t="n"/>
      <c r="AL78" s="16" t="inlineStr">
        <is>
          <t>1 Stück im Bild</t>
        </is>
      </c>
      <c r="AM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20" t="n"/>
      <c r="AE79" s="21">
        <f>IF(K79="","",K79*AD79)</f>
        <v/>
      </c>
      <c r="AF79" s="19" t="n"/>
      <c r="AG79" s="19" t="n"/>
      <c r="AH79" s="19" t="n"/>
      <c r="AI79" s="19" t="n"/>
      <c r="AJ79" s="19" t="n"/>
      <c r="AK79" s="19" t="n"/>
      <c r="AL79" s="16" t="inlineStr">
        <is>
          <t>1 Sessel im Bild</t>
        </is>
      </c>
      <c r="AM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20" t="n"/>
      <c r="AE80" s="21">
        <f>IF(K80="","",K80*AD80)</f>
        <v/>
      </c>
      <c r="AF80" s="19" t="n"/>
      <c r="AG80" s="19" t="n"/>
      <c r="AH80" s="19" t="n"/>
      <c r="AI80" s="19" t="n"/>
      <c r="AJ80" s="19" t="n"/>
      <c r="AK80" s="19" t="n"/>
      <c r="AL80" s="16" t="inlineStr">
        <is>
          <t>2 Stück im Bild</t>
        </is>
      </c>
      <c r="AM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20" t="n"/>
      <c r="AE81" s="21">
        <f>IF(K81="","",K81*AD81)</f>
        <v/>
      </c>
      <c r="AF81" s="19" t="n"/>
      <c r="AG81" s="19" t="n"/>
      <c r="AH81" s="19" t="n"/>
      <c r="AI81" s="19" t="n"/>
      <c r="AJ81" s="19" t="n"/>
      <c r="AK81" s="19" t="n"/>
      <c r="AL81" s="16" t="inlineStr">
        <is>
          <t>1 Stück im Bild</t>
        </is>
      </c>
      <c r="AM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20" t="n"/>
      <c r="AE82" s="21">
        <f>IF(K82="","",K82*AD82)</f>
        <v/>
      </c>
      <c r="AF82" s="19" t="n"/>
      <c r="AG82" s="19" t="n"/>
      <c r="AH82" s="19" t="n"/>
      <c r="AI82" s="19" t="n"/>
      <c r="AJ82" s="19" t="n"/>
      <c r="AK82" s="19" t="n"/>
      <c r="AL82" s="16" t="inlineStr">
        <is>
          <t>1 Stück im Bild</t>
        </is>
      </c>
      <c r="AM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20" t="n"/>
      <c r="AE83" s="21">
        <f>IF(K83="","",K83*AD83)</f>
        <v/>
      </c>
      <c r="AF83" s="19" t="n"/>
      <c r="AG83" s="19" t="n"/>
      <c r="AH83" s="19" t="n"/>
      <c r="AI83" s="19" t="n"/>
      <c r="AJ83" s="19" t="n"/>
      <c r="AK83" s="19" t="n"/>
      <c r="AL83" s="16" t="inlineStr">
        <is>
          <t>1 Stück im Bild</t>
        </is>
      </c>
      <c r="AM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20" t="n"/>
      <c r="AE84" s="21">
        <f>IF(K84="","",K84*AD84)</f>
        <v/>
      </c>
      <c r="AF84" s="19" t="n"/>
      <c r="AG84" s="19" t="n"/>
      <c r="AH84" s="19" t="n"/>
      <c r="AI84" s="19" t="n"/>
      <c r="AJ84" s="19" t="n"/>
      <c r="AK84" s="19" t="n"/>
      <c r="AL84" s="16" t="inlineStr">
        <is>
          <t>1 Stück im Bild</t>
        </is>
      </c>
      <c r="AM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20" t="n"/>
      <c r="AE85" s="21">
        <f>IF(K85="","",K85*AD85)</f>
        <v/>
      </c>
      <c r="AF85" s="19" t="n"/>
      <c r="AG85" s="19" t="n"/>
      <c r="AH85" s="19" t="n"/>
      <c r="AI85" s="19" t="n"/>
      <c r="AJ85" s="19" t="n"/>
      <c r="AK85" s="19" t="n"/>
      <c r="AL85" s="16" t="inlineStr">
        <is>
          <t>1 Stuhl im Bild - vermutlich mehrere vorhanden</t>
        </is>
      </c>
      <c r="AM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20" t="n"/>
      <c r="AE86" s="21">
        <f>IF(K86="","",K86*AD86)</f>
        <v/>
      </c>
      <c r="AF86" s="19" t="n"/>
      <c r="AG86" s="19" t="n"/>
      <c r="AH86" s="19" t="n"/>
      <c r="AI86" s="19" t="n"/>
      <c r="AJ86" s="19" t="n"/>
      <c r="AK86" s="19" t="n"/>
      <c r="AL86" s="16" t="inlineStr">
        <is>
          <t>1 Box im Bild - bitte prüfen ob 2 oder 3 Boxen gesamt</t>
        </is>
      </c>
      <c r="AM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20" t="n"/>
      <c r="AE87" s="21">
        <f>IF(K87="","",K87*AD87)</f>
        <v/>
      </c>
      <c r="AF87" s="19" t="n"/>
      <c r="AG87" s="19" t="n"/>
      <c r="AH87" s="19" t="n"/>
      <c r="AI87" s="19" t="n"/>
      <c r="AJ87" s="19" t="n"/>
      <c r="AK87" s="19" t="n"/>
      <c r="AL87" s="16" t="inlineStr">
        <is>
          <t>1 Stück im Bild</t>
        </is>
      </c>
      <c r="AM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20" t="n"/>
      <c r="AE88" s="21">
        <f>IF(K88="","",K88*AD88)</f>
        <v/>
      </c>
      <c r="AF88" s="19" t="n"/>
      <c r="AG88" s="19" t="n"/>
      <c r="AH88" s="19" t="n"/>
      <c r="AI88" s="19" t="n"/>
      <c r="AJ88" s="19" t="n"/>
      <c r="AK88" s="19" t="n"/>
      <c r="AL88" s="16" t="inlineStr">
        <is>
          <t>1 Box im Bild</t>
        </is>
      </c>
      <c r="AM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20" t="n"/>
      <c r="AE89" s="21">
        <f>IF(K89="","",K89*AD89)</f>
        <v/>
      </c>
      <c r="AF89" s="19" t="n"/>
      <c r="AG89" s="19" t="n"/>
      <c r="AH89" s="19" t="n"/>
      <c r="AI89" s="19" t="n"/>
      <c r="AJ89" s="19" t="n"/>
      <c r="AK89" s="19" t="n"/>
      <c r="AL89" s="16" t="inlineStr">
        <is>
          <t>1 Stück im Bild</t>
        </is>
      </c>
      <c r="AM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20" t="n"/>
      <c r="AE90" s="21">
        <f>IF(K90="","",K90*AD90)</f>
        <v/>
      </c>
      <c r="AF90" s="19" t="n"/>
      <c r="AG90" s="19" t="n"/>
      <c r="AH90" s="19" t="n"/>
      <c r="AI90" s="19" t="n"/>
      <c r="AJ90" s="19" t="n"/>
      <c r="AK90" s="19" t="n"/>
      <c r="AL90" s="16" t="inlineStr">
        <is>
          <t>4 Stück im Bild</t>
        </is>
      </c>
      <c r="AM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20" t="n"/>
      <c r="AE91" s="21">
        <f>IF(K91="","",K91*AD91)</f>
        <v/>
      </c>
      <c r="AF91" s="19" t="n"/>
      <c r="AG91" s="19" t="n"/>
      <c r="AH91" s="19" t="n"/>
      <c r="AI91" s="19" t="n"/>
      <c r="AJ91" s="19" t="n"/>
      <c r="AK91" s="19" t="n"/>
      <c r="AL91" s="16" t="inlineStr">
        <is>
          <t>2 Stück gestapelt im Bild</t>
        </is>
      </c>
      <c r="AM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20" t="n"/>
      <c r="AE92" s="21">
        <f>IF(K92="","",K92*AD92)</f>
        <v/>
      </c>
      <c r="AF92" s="19" t="n"/>
      <c r="AG92" s="19" t="n"/>
      <c r="AH92" s="19" t="n"/>
      <c r="AI92" s="19" t="n"/>
      <c r="AJ92" s="19" t="n"/>
      <c r="AK92" s="19" t="n"/>
      <c r="AL92" s="16" t="inlineStr">
        <is>
          <t>1 Sessel im Bild</t>
        </is>
      </c>
      <c r="AM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20" t="n"/>
      <c r="AE93" s="21">
        <f>IF(K93="","",K93*AD93)</f>
        <v/>
      </c>
      <c r="AF93" s="19" t="n"/>
      <c r="AG93" s="19" t="n"/>
      <c r="AH93" s="19" t="n"/>
      <c r="AI93" s="19" t="n"/>
      <c r="AJ93" s="19" t="n"/>
      <c r="AK93" s="19" t="n"/>
      <c r="AL93" s="16" t="inlineStr">
        <is>
          <t>ca. 3 Stück im Bild - bitte nachzählen</t>
        </is>
      </c>
      <c r="AM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20" t="n"/>
      <c r="AE94" s="21">
        <f>IF(K94="","",K94*AD94)</f>
        <v/>
      </c>
      <c r="AF94" s="19" t="n"/>
      <c r="AG94" s="19" t="n"/>
      <c r="AH94" s="19" t="n"/>
      <c r="AI94" s="19" t="n"/>
      <c r="AJ94" s="19" t="n"/>
      <c r="AK94" s="19" t="n"/>
      <c r="AL94" s="16" t="inlineStr">
        <is>
          <t>ca. 6 Stück im Bild - bitte nachzählen</t>
        </is>
      </c>
      <c r="AM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20" t="n"/>
      <c r="AE95" s="21">
        <f>IF(K95="","",K95*AD95)</f>
        <v/>
      </c>
      <c r="AF95" s="19" t="n"/>
      <c r="AG95" s="19" t="n"/>
      <c r="AH95" s="19" t="n"/>
      <c r="AI95" s="19" t="n"/>
      <c r="AJ95" s="19" t="n"/>
      <c r="AK95" s="19" t="n"/>
      <c r="AL95" s="16" t="inlineStr">
        <is>
          <t>1 Tisch mit 2 Stühlen im Bild</t>
        </is>
      </c>
      <c r="AM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n"/>
      <c r="AC96" s="19" t="n"/>
      <c r="AD96" s="20" t="n"/>
      <c r="AE96" s="21">
        <f>IF(K96="","",K96*AD96)</f>
        <v/>
      </c>
      <c r="AF96" s="19" t="n"/>
      <c r="AG96" s="19" t="n"/>
      <c r="AH96" s="19" t="n"/>
      <c r="AI96" s="19" t="n"/>
      <c r="AJ96" s="19" t="n"/>
      <c r="AK96" s="19" t="n"/>
      <c r="AL96" s="16" t="inlineStr">
        <is>
          <t>1 Stück im Bild</t>
        </is>
      </c>
      <c r="AM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n"/>
      <c r="AC97" s="19" t="n"/>
      <c r="AD97" s="20" t="n"/>
      <c r="AE97" s="21">
        <f>IF(K97="","",K97*AD97)</f>
        <v/>
      </c>
      <c r="AF97" s="19" t="n"/>
      <c r="AG97" s="19" t="n"/>
      <c r="AH97" s="19" t="n"/>
      <c r="AI97" s="19" t="n"/>
      <c r="AJ97" s="19" t="n"/>
      <c r="AK97" s="19" t="n"/>
      <c r="AL97" s="16" t="inlineStr">
        <is>
          <t>5 Rahmen im Bild</t>
        </is>
      </c>
      <c r="AM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n"/>
      <c r="AC98" s="19" t="n"/>
      <c r="AD98" s="20" t="n"/>
      <c r="AE98" s="21">
        <f>IF(K98="","",K98*AD98)</f>
        <v/>
      </c>
      <c r="AF98" s="19" t="n"/>
      <c r="AG98" s="19" t="n"/>
      <c r="AH98" s="19" t="n"/>
      <c r="AI98" s="19" t="n"/>
      <c r="AJ98" s="19" t="n"/>
      <c r="AK98" s="19" t="n"/>
      <c r="AL98" s="16" t="inlineStr">
        <is>
          <t>3 Rahmen im Bild</t>
        </is>
      </c>
      <c r="AM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n"/>
      <c r="AC99" s="19" t="n"/>
      <c r="AD99" s="20" t="n"/>
      <c r="AE99" s="21">
        <f>IF(K99="","",K99*AD99)</f>
        <v/>
      </c>
      <c r="AF99" s="19" t="n"/>
      <c r="AG99" s="19" t="n"/>
      <c r="AH99" s="19" t="n"/>
      <c r="AI99" s="19" t="n"/>
      <c r="AJ99" s="19" t="n"/>
      <c r="AK99" s="19" t="n"/>
      <c r="AL99" s="16" t="inlineStr">
        <is>
          <t>1 Bild im Bild</t>
        </is>
      </c>
      <c r="AM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20" t="n"/>
      <c r="AE100" s="21">
        <f>IF(K100="","",K100*AD100)</f>
        <v/>
      </c>
      <c r="AF100" s="19" t="n"/>
      <c r="AG100" s="19" t="n"/>
      <c r="AH100" s="19" t="n"/>
      <c r="AI100" s="19" t="n"/>
      <c r="AJ100" s="19" t="n"/>
      <c r="AK100" s="19" t="n"/>
      <c r="AL100" s="16" t="inlineStr">
        <is>
          <t>1 Pflanze im Bild</t>
        </is>
      </c>
      <c r="AM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n"/>
      <c r="AC101" s="19" t="n"/>
      <c r="AD101" s="20" t="n"/>
      <c r="AE101" s="21">
        <f>IF(K101="","",K101*AD101)</f>
        <v/>
      </c>
      <c r="AF101" s="19" t="n"/>
      <c r="AG101" s="19" t="n"/>
      <c r="AH101" s="19" t="n"/>
      <c r="AI101" s="19" t="n"/>
      <c r="AJ101" s="19" t="n"/>
      <c r="AK101" s="19" t="n"/>
      <c r="AL101" s="16" t="inlineStr">
        <is>
          <t>1 Bild im Bild</t>
        </is>
      </c>
      <c r="AM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n"/>
      <c r="AC102" s="19" t="n"/>
      <c r="AD102" s="20" t="n"/>
      <c r="AE102" s="21">
        <f>IF(K102="","",K102*AD102)</f>
        <v/>
      </c>
      <c r="AF102" s="19" t="n"/>
      <c r="AG102" s="19" t="n"/>
      <c r="AH102" s="19" t="n"/>
      <c r="AI102" s="19" t="n"/>
      <c r="AJ102" s="19" t="n"/>
      <c r="AK102" s="19" t="n"/>
      <c r="AL102" s="16" t="inlineStr">
        <is>
          <t>1 Stück im Bild</t>
        </is>
      </c>
      <c r="AM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20" t="n"/>
      <c r="AE103" s="21">
        <f>IF(K103="","",K103*AD103)</f>
        <v/>
      </c>
      <c r="AF103" s="19" t="n"/>
      <c r="AG103" s="19" t="n"/>
      <c r="AH103" s="19" t="n"/>
      <c r="AI103" s="19" t="n"/>
      <c r="AJ103" s="19" t="n"/>
      <c r="AK103" s="19" t="n"/>
      <c r="AL103" s="16" t="inlineStr">
        <is>
          <t>1 Pflanze im Bild</t>
        </is>
      </c>
      <c r="AM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20" t="n"/>
      <c r="AE104" s="21">
        <f>IF(K104="","",K104*AD104)</f>
        <v/>
      </c>
      <c r="AF104" s="19" t="n"/>
      <c r="AG104" s="19" t="n"/>
      <c r="AH104" s="19" t="n"/>
      <c r="AI104" s="19" t="n"/>
      <c r="AJ104" s="19" t="n"/>
      <c r="AK104" s="19" t="n"/>
      <c r="AL104" s="16" t="inlineStr">
        <is>
          <t>2 Stück (klein und groß)</t>
        </is>
      </c>
      <c r="AM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20" t="n"/>
      <c r="AE105" s="21">
        <f>IF(K105="","",K105*AD105)</f>
        <v/>
      </c>
      <c r="AF105" s="19" t="n"/>
      <c r="AG105" s="19" t="n"/>
      <c r="AH105" s="19" t="n"/>
      <c r="AI105" s="19" t="n"/>
      <c r="AJ105" s="19" t="n"/>
      <c r="AK105" s="19" t="n"/>
      <c r="AL105" s="16" t="inlineStr">
        <is>
          <t>2 Stück (zwei Fotos, klein und groß)</t>
        </is>
      </c>
      <c r="AM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n"/>
      <c r="AC106" s="19" t="n"/>
      <c r="AD106" s="20" t="n"/>
      <c r="AE106" s="21">
        <f>IF(K106="","",K106*AD106)</f>
        <v/>
      </c>
      <c r="AF106" s="19" t="n"/>
      <c r="AG106" s="19" t="n"/>
      <c r="AH106" s="19" t="n"/>
      <c r="AI106" s="19" t="n"/>
      <c r="AJ106" s="19" t="n"/>
      <c r="AK106" s="19" t="n"/>
      <c r="AL106" s="16" t="inlineStr">
        <is>
          <t>1 Bild im Bild</t>
        </is>
      </c>
      <c r="AM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n"/>
      <c r="AC107" s="19" t="n"/>
      <c r="AD107" s="20" t="n"/>
      <c r="AE107" s="21">
        <f>IF(K107="","",K107*AD107)</f>
        <v/>
      </c>
      <c r="AF107" s="19" t="n"/>
      <c r="AG107" s="19" t="n"/>
      <c r="AH107" s="19" t="n"/>
      <c r="AI107" s="19" t="n"/>
      <c r="AJ107" s="19" t="n"/>
      <c r="AK107" s="19" t="n"/>
      <c r="AL107" s="16" t="inlineStr">
        <is>
          <t>1 Bild im Bild</t>
        </is>
      </c>
      <c r="AM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n"/>
      <c r="AC108" s="19" t="n"/>
      <c r="AD108" s="20" t="n"/>
      <c r="AE108" s="21">
        <f>IF(K108="","",K108*AD108)</f>
        <v/>
      </c>
      <c r="AF108" s="19" t="n"/>
      <c r="AG108" s="19" t="n"/>
      <c r="AH108" s="19" t="n"/>
      <c r="AI108" s="19" t="n"/>
      <c r="AJ108" s="19" t="n"/>
      <c r="AK108" s="19" t="n"/>
      <c r="AL108" s="16" t="inlineStr">
        <is>
          <t>1 Bild im Bild</t>
        </is>
      </c>
      <c r="AM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n"/>
      <c r="AC109" s="19" t="n"/>
      <c r="AD109" s="20" t="n"/>
      <c r="AE109" s="21">
        <f>IF(K109="","",K109*AD109)</f>
        <v/>
      </c>
      <c r="AF109" s="19" t="n"/>
      <c r="AG109" s="19" t="n"/>
      <c r="AH109" s="19" t="n"/>
      <c r="AI109" s="19" t="n"/>
      <c r="AJ109" s="19" t="n"/>
      <c r="AK109" s="19" t="n"/>
      <c r="AL109" s="16" t="inlineStr">
        <is>
          <t>1 Bild im Bild</t>
        </is>
      </c>
      <c r="AM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ja</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20" t="n"/>
      <c r="AE110" s="21">
        <f>IF(K110="","",K110*AD110)</f>
        <v/>
      </c>
      <c r="AF110" s="19" t="n"/>
      <c r="AG110" s="19" t="n"/>
      <c r="AH110" s="19" t="n"/>
      <c r="AI110" s="19" t="n"/>
      <c r="AJ110" s="19" t="n"/>
      <c r="AK110" s="19" t="n"/>
      <c r="AL110" s="16" t="inlineStr">
        <is>
          <t>3 Stück im Bild</t>
        </is>
      </c>
      <c r="AM110" s="22" t="n"/>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20" t="n"/>
      <c r="AE111" s="21">
        <f>IF(K111="","",K111*AD111)</f>
        <v/>
      </c>
      <c r="AF111" s="19" t="n"/>
      <c r="AG111" s="19" t="n"/>
      <c r="AH111" s="19" t="n"/>
      <c r="AI111" s="19" t="n"/>
      <c r="AJ111" s="19" t="n"/>
      <c r="AK111" s="19" t="n"/>
      <c r="AL111" s="16" t="inlineStr">
        <is>
          <t>2 Stück im Bild</t>
        </is>
      </c>
      <c r="AM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20" t="n"/>
      <c r="AE112" s="21">
        <f>IF(K112="","",K112*AD112)</f>
        <v/>
      </c>
      <c r="AF112" s="19" t="n"/>
      <c r="AG112" s="19" t="n"/>
      <c r="AH112" s="19" t="n"/>
      <c r="AI112" s="19" t="n"/>
      <c r="AJ112" s="19" t="n"/>
      <c r="AK112" s="19" t="n"/>
      <c r="AL112" s="16" t="inlineStr">
        <is>
          <t>mindestens 4 Tische im Bild - bitte nachzählen</t>
        </is>
      </c>
      <c r="AM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20" t="n"/>
      <c r="AE113" s="21">
        <f>IF(K113="","",K113*AD113)</f>
        <v/>
      </c>
      <c r="AF113" s="19" t="n"/>
      <c r="AG113" s="19" t="n"/>
      <c r="AH113" s="19" t="n"/>
      <c r="AI113" s="19" t="n"/>
      <c r="AJ113" s="19" t="n"/>
      <c r="AK113" s="19" t="n"/>
      <c r="AL113" s="16" t="inlineStr">
        <is>
          <t>2 Bänke im Bild erkennbar</t>
        </is>
      </c>
      <c r="AM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n"/>
      <c r="AC114" s="19" t="n"/>
      <c r="AD114" s="20" t="n"/>
      <c r="AE114" s="21">
        <f>IF(K114="","",K114*AD114)</f>
        <v/>
      </c>
      <c r="AF114" s="19" t="n"/>
      <c r="AG114" s="19" t="n"/>
      <c r="AH114" s="19" t="n"/>
      <c r="AI114" s="19" t="n"/>
      <c r="AJ114" s="19" t="n"/>
      <c r="AK114" s="19" t="n"/>
      <c r="AL114" s="16" t="inlineStr">
        <is>
          <t>1 Stück im Bild</t>
        </is>
      </c>
      <c r="AM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20" t="n"/>
      <c r="AE115" s="21">
        <f>IF(K115="","",K115*AD115)</f>
        <v/>
      </c>
      <c r="AF115" s="19" t="n"/>
      <c r="AG115" s="19" t="n"/>
      <c r="AH115" s="19" t="n"/>
      <c r="AI115" s="19" t="n"/>
      <c r="AJ115" s="19" t="n"/>
      <c r="AK115" s="19" t="n"/>
      <c r="AL115" s="16" t="inlineStr">
        <is>
          <t>2 Elemente im Bild - bitte prüfen ob 3</t>
        </is>
      </c>
      <c r="AM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n"/>
      <c r="AC116" s="19" t="n"/>
      <c r="AD116" s="20" t="n"/>
      <c r="AE116" s="21">
        <f>IF(K116="","",K116*AD116)</f>
        <v/>
      </c>
      <c r="AF116" s="19" t="n"/>
      <c r="AG116" s="19" t="n"/>
      <c r="AH116" s="19" t="n"/>
      <c r="AI116" s="19" t="n"/>
      <c r="AJ116" s="19" t="n"/>
      <c r="AK116" s="19" t="n"/>
      <c r="AL116" s="16" t="inlineStr">
        <is>
          <t>5 Uhren im Bild - bitte nachzählen</t>
        </is>
      </c>
      <c r="AM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20" t="n"/>
      <c r="AE117" s="21">
        <f>IF(K117="","",K117*AD117)</f>
        <v/>
      </c>
      <c r="AF117" s="19" t="n"/>
      <c r="AG117" s="19" t="n"/>
      <c r="AH117" s="19" t="n"/>
      <c r="AI117" s="19" t="n"/>
      <c r="AJ117" s="19" t="n"/>
      <c r="AK117" s="19" t="n"/>
      <c r="AL117" s="16" t="inlineStr">
        <is>
          <t>1 Stück im Bild (Inhalt nicht enthalten)</t>
        </is>
      </c>
      <c r="AM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n"/>
      <c r="AC118" s="19" t="n"/>
      <c r="AD118" s="20" t="n"/>
      <c r="AE118" s="21">
        <f>IF(K118="","",K118*AD118)</f>
        <v/>
      </c>
      <c r="AF118" s="19" t="n"/>
      <c r="AG118" s="19" t="n"/>
      <c r="AH118" s="19" t="n"/>
      <c r="AI118" s="19" t="n"/>
      <c r="AJ118" s="19" t="n"/>
      <c r="AK118" s="19" t="n"/>
      <c r="AL118" s="16" t="inlineStr">
        <is>
          <t>1 Bild im Bild</t>
        </is>
      </c>
      <c r="AM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n"/>
      <c r="AC119" s="19" t="n"/>
      <c r="AD119" s="20" t="n"/>
      <c r="AE119" s="21">
        <f>IF(K119="","",K119*AD119)</f>
        <v/>
      </c>
      <c r="AF119" s="19" t="n"/>
      <c r="AG119" s="19" t="n"/>
      <c r="AH119" s="19" t="n"/>
      <c r="AI119" s="19" t="n"/>
      <c r="AJ119" s="19" t="n"/>
      <c r="AK119" s="19" t="n"/>
      <c r="AL119" s="16" t="inlineStr">
        <is>
          <t>1 Stück im Bild</t>
        </is>
      </c>
      <c r="AM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n"/>
      <c r="AC120" s="19" t="n"/>
      <c r="AD120" s="20" t="n"/>
      <c r="AE120" s="21">
        <f>IF(K120="","",K120*AD120)</f>
        <v/>
      </c>
      <c r="AF120" s="19" t="n"/>
      <c r="AG120" s="19" t="n"/>
      <c r="AH120" s="19" t="n"/>
      <c r="AI120" s="19" t="n"/>
      <c r="AJ120" s="19" t="n"/>
      <c r="AK120" s="19" t="n"/>
      <c r="AL120" s="16" t="inlineStr">
        <is>
          <t>1 Bild im Bild</t>
        </is>
      </c>
      <c r="AM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n"/>
      <c r="AC121" s="19" t="n"/>
      <c r="AD121" s="20" t="n"/>
      <c r="AE121" s="21">
        <f>IF(K121="","",K121*AD121)</f>
        <v/>
      </c>
      <c r="AF121" s="19" t="n"/>
      <c r="AG121" s="19" t="n"/>
      <c r="AH121" s="19" t="n"/>
      <c r="AI121" s="19" t="n"/>
      <c r="AJ121" s="19" t="n"/>
      <c r="AK121" s="19" t="n"/>
      <c r="AL121" s="16" t="inlineStr">
        <is>
          <t>1 Stück im Bild</t>
        </is>
      </c>
      <c r="AM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n"/>
      <c r="AC122" s="19" t="n"/>
      <c r="AD122" s="20" t="n"/>
      <c r="AE122" s="21">
        <f>IF(K122="","",K122*AD122)</f>
        <v/>
      </c>
      <c r="AF122" s="19" t="n"/>
      <c r="AG122" s="19" t="n"/>
      <c r="AH122" s="19" t="n"/>
      <c r="AI122" s="19" t="n"/>
      <c r="AJ122" s="19" t="n"/>
      <c r="AK122" s="19" t="n"/>
      <c r="AL122" s="16" t="inlineStr">
        <is>
          <t>5 Rahmen im Bild</t>
        </is>
      </c>
      <c r="AM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n"/>
      <c r="AC123" s="19" t="n"/>
      <c r="AD123" s="20" t="n"/>
      <c r="AE123" s="21">
        <f>IF(K123="","",K123*AD123)</f>
        <v/>
      </c>
      <c r="AF123" s="19" t="n"/>
      <c r="AG123" s="19" t="n"/>
      <c r="AH123" s="19" t="n"/>
      <c r="AI123" s="19" t="n"/>
      <c r="AJ123" s="19" t="n"/>
      <c r="AK123" s="19" t="n"/>
      <c r="AL123" s="16" t="inlineStr">
        <is>
          <t>4 Rahmen im Bild, ggf. mehr</t>
        </is>
      </c>
      <c r="AM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n"/>
      <c r="AC124" s="19" t="n"/>
      <c r="AD124" s="20" t="n"/>
      <c r="AE124" s="21">
        <f>IF(K124="","",K124*AD124)</f>
        <v/>
      </c>
      <c r="AF124" s="19" t="n"/>
      <c r="AG124" s="19" t="n"/>
      <c r="AH124" s="19" t="n"/>
      <c r="AI124" s="19" t="n"/>
      <c r="AJ124" s="19" t="n"/>
      <c r="AK124" s="19" t="n"/>
      <c r="AL124" s="16" t="inlineStr">
        <is>
          <t>1 Bild im Bild</t>
        </is>
      </c>
      <c r="AM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20" t="n"/>
      <c r="AE125" s="21">
        <f>IF(K125="","",K125*AD125)</f>
        <v/>
      </c>
      <c r="AF125" s="19" t="n"/>
      <c r="AG125" s="19" t="n"/>
      <c r="AH125" s="19" t="n"/>
      <c r="AI125" s="19" t="n"/>
      <c r="AJ125" s="19" t="n"/>
      <c r="AK125" s="19" t="n"/>
      <c r="AL125" s="16" t="inlineStr">
        <is>
          <t>4 Rahmen erkennbar</t>
        </is>
      </c>
      <c r="AM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20" t="n"/>
      <c r="AE126" s="21">
        <f>IF(K126="","",K126*AD126)</f>
        <v/>
      </c>
      <c r="AF126" s="19" t="n"/>
      <c r="AG126" s="19" t="n"/>
      <c r="AH126" s="19" t="n"/>
      <c r="AI126" s="19" t="n"/>
      <c r="AJ126" s="19" t="n"/>
      <c r="AK126" s="19" t="n"/>
      <c r="AL126" s="16" t="inlineStr">
        <is>
          <t>15 Läufer laut Angabe im Haus – abgebildet ist einer davon.</t>
        </is>
      </c>
      <c r="AM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20" t="n"/>
      <c r="AE127" s="21">
        <f>IF(K127="","",K127*AD127)</f>
        <v/>
      </c>
      <c r="AF127" s="19" t="n"/>
      <c r="AG127" s="19" t="n"/>
      <c r="AH127" s="19" t="n"/>
      <c r="AI127" s="19" t="n"/>
      <c r="AJ127" s="19" t="n"/>
      <c r="AK127" s="19" t="n"/>
      <c r="AL127" s="16" t="inlineStr">
        <is>
          <t>1 Stück im Bild</t>
        </is>
      </c>
      <c r="AM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20" t="n"/>
      <c r="AE128" s="21">
        <f>IF(K128="","",K128*AD128)</f>
        <v/>
      </c>
      <c r="AF128" s="19" t="n"/>
      <c r="AG128" s="19" t="n"/>
      <c r="AH128" s="19" t="n"/>
      <c r="AI128" s="19" t="n"/>
      <c r="AJ128" s="19" t="n"/>
      <c r="AK128" s="19" t="n"/>
      <c r="AL128" s="16" t="inlineStr">
        <is>
          <t>1 Stück im Bild</t>
        </is>
      </c>
      <c r="AM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20" t="n"/>
      <c r="AE129" s="21">
        <f>IF(K129="","",K129*AD129)</f>
        <v/>
      </c>
      <c r="AF129" s="19" t="n"/>
      <c r="AG129" s="19" t="n"/>
      <c r="AH129" s="19" t="n"/>
      <c r="AI129" s="19" t="n"/>
      <c r="AJ129" s="19" t="n"/>
      <c r="AK129" s="19" t="n"/>
      <c r="AL129" s="16" t="inlineStr">
        <is>
          <t>3 Stück im Bild</t>
        </is>
      </c>
      <c r="AM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20" t="n"/>
      <c r="AE130" s="21">
        <f>IF(K130="","",K130*AD130)</f>
        <v/>
      </c>
      <c r="AF130" s="19" t="n"/>
      <c r="AG130" s="19" t="n"/>
      <c r="AH130" s="19" t="n"/>
      <c r="AI130" s="19" t="n"/>
      <c r="AJ130" s="19" t="n"/>
      <c r="AK130" s="19" t="n"/>
      <c r="AL130" s="16" t="inlineStr">
        <is>
          <t>1 große Einheit im Bild</t>
        </is>
      </c>
      <c r="AM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20" t="n"/>
      <c r="AE131" s="21">
        <f>IF(K131="","",K131*AD131)</f>
        <v/>
      </c>
      <c r="AF131" s="19" t="n"/>
      <c r="AG131" s="19" t="n"/>
      <c r="AH131" s="19" t="n"/>
      <c r="AI131" s="19" t="n"/>
      <c r="AJ131" s="19" t="n"/>
      <c r="AK131" s="19" t="n"/>
      <c r="AL131" s="16" t="inlineStr">
        <is>
          <t>1 Tisch im Vordergrund, weitere im Hintergrund</t>
        </is>
      </c>
      <c r="AM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20" t="n"/>
      <c r="AE132" s="21">
        <f>IF(K132="","",K132*AD132)</f>
        <v/>
      </c>
      <c r="AF132" s="19" t="n"/>
      <c r="AG132" s="19" t="n"/>
      <c r="AH132" s="19" t="n"/>
      <c r="AI132" s="19" t="n"/>
      <c r="AJ132" s="19" t="n"/>
      <c r="AK132" s="19" t="n"/>
      <c r="AL132" s="16" t="inlineStr">
        <is>
          <t>1 Stück im Bild</t>
        </is>
      </c>
      <c r="AM132" s="22" t="n"/>
    </row>
    <row r="133" ht="30" customHeight="1">
      <c r="A133" s="15" t="inlineStr">
        <is>
          <t>NU04-05</t>
        </is>
      </c>
      <c r="B133" s="15" t="inlineStr">
        <is>
          <t>K-014</t>
        </is>
      </c>
      <c r="C133" s="15" t="n"/>
      <c r="D133" s="15" t="inlineStr">
        <is>
          <t>NU04</t>
        </is>
      </c>
      <c r="E133" s="15" t="inlineStr">
        <is>
          <t>Hochflorteppich beige</t>
        </is>
      </c>
      <c r="F133" s="16" t="inlineStr">
        <is>
          <t>Shaggy/Hochflor, beige, ca. 200 x 300 cm,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n"/>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n"/>
      <c r="AB133" s="19" t="n"/>
      <c r="AC133" s="19" t="n"/>
      <c r="AD133" s="20" t="n"/>
      <c r="AE133" s="21">
        <f>IF(K133="","",K133*AD133)</f>
        <v/>
      </c>
      <c r="AF133" s="19" t="n"/>
      <c r="AG133" s="19" t="n"/>
      <c r="AH133" s="19" t="n"/>
      <c r="AI133" s="19" t="n"/>
      <c r="AJ133" s="19" t="n"/>
      <c r="AK133" s="19" t="n"/>
      <c r="AL133" s="16" t="inlineStr">
        <is>
          <t>2 Stück (zwei Einzelfotos)</t>
        </is>
      </c>
      <c r="AM133" s="22" t="n"/>
    </row>
    <row r="134" ht="30" customHeight="1">
      <c r="A134" s="15" t="inlineStr">
        <is>
          <t>NU04-06</t>
        </is>
      </c>
      <c r="B134" s="15" t="inlineStr">
        <is>
          <t>K-015</t>
        </is>
      </c>
      <c r="C134" s="15" t="n"/>
      <c r="D134" s="15" t="inlineStr">
        <is>
          <t>NU04</t>
        </is>
      </c>
      <c r="E134" s="15" t="inlineStr">
        <is>
          <t>Teppich schwarz-weiß Rautenmuster</t>
        </is>
      </c>
      <c r="F134" s="16" t="inlineStr">
        <is>
          <t>Flachgewebe, Rautenmuster schwarz/weiß, ca. 200 x 300 cm</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n"/>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n"/>
      <c r="AB134" s="19" t="n"/>
      <c r="AC134" s="19" t="n"/>
      <c r="AD134" s="20" t="n"/>
      <c r="AE134" s="21">
        <f>IF(K134="","",K134*AD134)</f>
        <v/>
      </c>
      <c r="AF134" s="19" t="n"/>
      <c r="AG134" s="19" t="n"/>
      <c r="AH134" s="19" t="n"/>
      <c r="AI134" s="19" t="n"/>
      <c r="AJ134" s="19" t="n"/>
      <c r="AK134" s="19" t="n"/>
      <c r="AL134" s="16" t="inlineStr">
        <is>
          <t>2 Stück im Bild</t>
        </is>
      </c>
      <c r="AM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20" t="n"/>
      <c r="AE135" s="21">
        <f>IF(K135="","",K135*AD135)</f>
        <v/>
      </c>
      <c r="AF135" s="19" t="n"/>
      <c r="AG135" s="19" t="n"/>
      <c r="AH135" s="19" t="n"/>
      <c r="AI135" s="19" t="n"/>
      <c r="AJ135" s="19" t="n"/>
      <c r="AK135" s="19" t="n"/>
      <c r="AL135" s="16" t="inlineStr">
        <is>
          <t>1 Box im Bild</t>
        </is>
      </c>
      <c r="AM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20" t="n"/>
      <c r="AE136" s="21">
        <f>IF(K136="","",K136*AD136)</f>
        <v/>
      </c>
      <c r="AF136" s="19" t="n"/>
      <c r="AG136" s="19" t="n"/>
      <c r="AH136" s="19" t="n"/>
      <c r="AI136" s="19" t="n"/>
      <c r="AJ136" s="19" t="n"/>
      <c r="AK136" s="19" t="n"/>
      <c r="AL136" s="16" t="inlineStr">
        <is>
          <t>1 Tisch im Bild</t>
        </is>
      </c>
      <c r="AM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20" t="n"/>
      <c r="AE137" s="21">
        <f>IF(K137="","",K137*AD137)</f>
        <v/>
      </c>
      <c r="AF137" s="19" t="n"/>
      <c r="AG137" s="19" t="n"/>
      <c r="AH137" s="19" t="n"/>
      <c r="AI137" s="19" t="n"/>
      <c r="AJ137" s="19" t="n"/>
      <c r="AK137" s="19" t="n"/>
      <c r="AL137" s="16" t="inlineStr">
        <is>
          <t>4 Stück im Bild</t>
        </is>
      </c>
      <c r="AM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20" t="n"/>
      <c r="AE138" s="21">
        <f>IF(K138="","",K138*AD138)</f>
        <v/>
      </c>
      <c r="AF138" s="19" t="n"/>
      <c r="AG138" s="19" t="n"/>
      <c r="AH138" s="19" t="n"/>
      <c r="AI138" s="19" t="n"/>
      <c r="AJ138" s="19" t="n"/>
      <c r="AK138" s="19" t="n"/>
      <c r="AL138" s="16" t="inlineStr">
        <is>
          <t>1 Grill im Bild</t>
        </is>
      </c>
      <c r="AM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20" t="n"/>
      <c r="AE139" s="21">
        <f>IF(K139="","",K139*AD139)</f>
        <v/>
      </c>
      <c r="AF139" s="19" t="n"/>
      <c r="AG139" s="19" t="n"/>
      <c r="AH139" s="19" t="n"/>
      <c r="AI139" s="19" t="n"/>
      <c r="AJ139" s="19" t="n"/>
      <c r="AK139" s="19" t="n"/>
      <c r="AL139" s="16" t="inlineStr">
        <is>
          <t>1 Schirm im Bild</t>
        </is>
      </c>
      <c r="AM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20" t="n"/>
      <c r="AE140" s="21">
        <f>IF(K140="","",K140*AD140)</f>
        <v/>
      </c>
      <c r="AF140" s="19" t="n"/>
      <c r="AG140" s="19" t="n"/>
      <c r="AH140" s="19" t="n"/>
      <c r="AI140" s="19" t="n"/>
      <c r="AJ140" s="19" t="n"/>
      <c r="AK140" s="19" t="n"/>
      <c r="AL140" s="16" t="inlineStr">
        <is>
          <t>3 Kübel im Bild</t>
        </is>
      </c>
      <c r="AM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20" t="n"/>
      <c r="AE141" s="21">
        <f>IF(K141="","",K141*AD141)</f>
        <v/>
      </c>
      <c r="AF141" s="19" t="n"/>
      <c r="AG141" s="19" t="n"/>
      <c r="AH141" s="19" t="n"/>
      <c r="AI141" s="19" t="n"/>
      <c r="AJ141" s="19" t="n"/>
      <c r="AK141" s="19" t="n"/>
      <c r="AL141" s="16" t="inlineStr">
        <is>
          <t>4 Stück gestapelt im Bild</t>
        </is>
      </c>
      <c r="AM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20" t="n"/>
      <c r="AE142" s="21">
        <f>IF(K142="","",K142*AD142)</f>
        <v/>
      </c>
      <c r="AF142" s="19" t="n"/>
      <c r="AG142" s="19" t="n"/>
      <c r="AH142" s="19" t="n"/>
      <c r="AI142" s="19" t="n"/>
      <c r="AJ142" s="19" t="n"/>
      <c r="AK142" s="19" t="n"/>
      <c r="AL142" s="16" t="inlineStr">
        <is>
          <t>1 Tisch im Bild</t>
        </is>
      </c>
      <c r="AM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20" t="n"/>
      <c r="AE143" s="21">
        <f>IF(K143="","",K143*AD143)</f>
        <v/>
      </c>
      <c r="AF143" s="19" t="n"/>
      <c r="AG143" s="19" t="n"/>
      <c r="AH143" s="19" t="n"/>
      <c r="AI143" s="19" t="n"/>
      <c r="AJ143" s="19" t="n"/>
      <c r="AK143" s="19" t="n"/>
      <c r="AL143" s="16" t="inlineStr">
        <is>
          <t>1 Tisch im Bild</t>
        </is>
      </c>
      <c r="AM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20" t="n"/>
      <c r="AE144" s="21">
        <f>IF(K144="","",K144*AD144)</f>
        <v/>
      </c>
      <c r="AF144" s="19" t="n"/>
      <c r="AG144" s="19" t="n"/>
      <c r="AH144" s="19" t="n"/>
      <c r="AI144" s="19" t="n"/>
      <c r="AJ144" s="19" t="n"/>
      <c r="AK144" s="19" t="n"/>
      <c r="AL144" s="16" t="inlineStr">
        <is>
          <t>1 Kübel im Bild</t>
        </is>
      </c>
      <c r="AM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20" t="n"/>
      <c r="AE145" s="21">
        <f>IF(K145="","",K145*AD145)</f>
        <v/>
      </c>
      <c r="AF145" s="19" t="n"/>
      <c r="AG145" s="19" t="n"/>
      <c r="AH145" s="19" t="n"/>
      <c r="AI145" s="19" t="n"/>
      <c r="AJ145" s="19" t="n"/>
      <c r="AK145" s="19" t="n"/>
      <c r="AL145" s="16" t="inlineStr">
        <is>
          <t>1 Stern im Bild</t>
        </is>
      </c>
      <c r="AM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20" t="n"/>
      <c r="AE146" s="21">
        <f>IF(K146="","",K146*AD146)</f>
        <v/>
      </c>
      <c r="AF146" s="19" t="n"/>
      <c r="AG146" s="19" t="n"/>
      <c r="AH146" s="19" t="n"/>
      <c r="AI146" s="19" t="n"/>
      <c r="AJ146" s="19" t="n"/>
      <c r="AK146" s="19" t="n"/>
      <c r="AL146" s="16" t="inlineStr">
        <is>
          <t>1 Vitrine. Die Dekoration darin ist Position NU01-03 und wird getrennt verkauft.</t>
        </is>
      </c>
      <c r="AM146" s="22" t="inlineStr">
        <is>
          <t>Personenfotos in der Vitrine sind im Bild maskiert (so gewollt).</t>
        </is>
      </c>
    </row>
    <row r="147" ht="30" customHeight="1">
      <c r="A147" s="15" t="inlineStr">
        <is>
          <t>NU01-14</t>
        </is>
      </c>
      <c r="B147" s="15" t="n"/>
      <c r="C147" s="15" t="n"/>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5</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20" t="n"/>
      <c r="AE147" s="21">
        <f>IF(K147="","",K147*AD147)</f>
        <v/>
      </c>
      <c r="AF147" s="19" t="n"/>
      <c r="AG147" s="19" t="n"/>
      <c r="AH147" s="19" t="n"/>
      <c r="AI147" s="19" t="n"/>
      <c r="AJ147" s="19" t="n"/>
      <c r="AK147" s="19" t="n"/>
      <c r="AL147" s="16" t="inlineStr">
        <is>
          <t>5 gleiche Einheiten laut Erfassungsblatt – abgebildet ist eine davon.</t>
        </is>
      </c>
      <c r="AM147" s="22" t="n"/>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20" t="n"/>
      <c r="AE148" s="21">
        <f>IF(K148="","",K148*AD148)</f>
        <v/>
      </c>
      <c r="AF148" s="19" t="n"/>
      <c r="AG148" s="19" t="n"/>
      <c r="AH148" s="19" t="n"/>
      <c r="AI148" s="19" t="n"/>
      <c r="AJ148" s="19" t="n"/>
      <c r="AK148" s="19" t="n"/>
      <c r="AL148" s="16" t="inlineStr">
        <is>
          <t>4 gleiche Schränke laut Erfassungsblatt – abgebildet ist die Schrankwand im Ganzen.</t>
        </is>
      </c>
      <c r="AM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20" t="n"/>
      <c r="AE149" s="21">
        <f>IF(K149="","",K149*AD149)</f>
        <v/>
      </c>
      <c r="AF149" s="19" t="n"/>
      <c r="AG149" s="19" t="n"/>
      <c r="AH149" s="19" t="n"/>
      <c r="AI149" s="19" t="n"/>
      <c r="AJ149" s="19" t="n"/>
      <c r="AK149" s="19" t="n"/>
      <c r="AL149" s="16" t="inlineStr">
        <is>
          <t>1 Gerät. Typenschild ist abfotografiert (Foto F-121).</t>
        </is>
      </c>
      <c r="AM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20" t="n"/>
      <c r="AE150" s="21">
        <f>IF(K150="","",K150*AD150)</f>
        <v/>
      </c>
      <c r="AF150" s="19" t="n"/>
      <c r="AG150" s="19" t="n"/>
      <c r="AH150" s="19" t="n"/>
      <c r="AI150" s="19" t="n"/>
      <c r="AJ150" s="19" t="n"/>
      <c r="AK150" s="19" t="n"/>
      <c r="AL150" s="16" t="inlineStr">
        <is>
          <t>1 Gerät. Typenschild ist abfotografiert (Foto F-122).</t>
        </is>
      </c>
      <c r="AM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20" t="n"/>
      <c r="AE151" s="21">
        <f>IF(K151="","",K151*AD151)</f>
        <v/>
      </c>
      <c r="AF151" s="19" t="n"/>
      <c r="AG151" s="19" t="n"/>
      <c r="AH151" s="19" t="n"/>
      <c r="AI151" s="19" t="n"/>
      <c r="AJ151" s="19" t="n"/>
      <c r="AK151" s="19" t="n"/>
      <c r="AL151" s="16" t="inlineStr">
        <is>
          <t>1 Gerät. Typenschild ist abfotografiert (Foto F-124).</t>
        </is>
      </c>
      <c r="AM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20" t="n"/>
      <c r="AE152" s="21">
        <f>IF(K152="","",K152*AD152)</f>
        <v/>
      </c>
      <c r="AF152" s="19" t="n"/>
      <c r="AG152" s="19" t="n"/>
      <c r="AH152" s="19" t="n"/>
      <c r="AI152" s="19" t="n"/>
      <c r="AJ152" s="19" t="n"/>
      <c r="AK152" s="19" t="n"/>
      <c r="AL152" s="16" t="inlineStr">
        <is>
          <t>4 gleiche Garderoben, jede aus Wandelement und Sitzbank – abgebildet ist eine davon.</t>
        </is>
      </c>
      <c r="AM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20" t="n"/>
      <c r="AE153" s="21">
        <f>IF(K153="","",K153*AD153)</f>
        <v/>
      </c>
      <c r="AF153" s="19" t="n"/>
      <c r="AG153" s="19" t="n"/>
      <c r="AH153" s="19" t="n"/>
      <c r="AI153" s="19" t="n"/>
      <c r="AJ153" s="19" t="n"/>
      <c r="AK153" s="19" t="n"/>
      <c r="AL153" s="16" t="inlineStr">
        <is>
          <t>2 Sessel, beide abgebildet.</t>
        </is>
      </c>
      <c r="AM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20" t="n"/>
      <c r="AE154" s="21">
        <f>IF(K154="","",K154*AD154)</f>
        <v/>
      </c>
      <c r="AF154" s="19" t="n"/>
      <c r="AG154" s="19" t="n"/>
      <c r="AH154" s="19" t="n"/>
      <c r="AI154" s="19" t="n"/>
      <c r="AJ154" s="19" t="n"/>
      <c r="AK154" s="19" t="n"/>
      <c r="AL154" s="16" t="inlineStr">
        <is>
          <t>1 Leuchte, das große Exemplar.</t>
        </is>
      </c>
      <c r="AM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20" t="n"/>
      <c r="AE155" s="21">
        <f>IF(K155="","",K155*AD155)</f>
        <v/>
      </c>
      <c r="AF155" s="19" t="n"/>
      <c r="AG155" s="19" t="n"/>
      <c r="AH155" s="19" t="n"/>
      <c r="AI155" s="19" t="n"/>
      <c r="AJ155" s="19" t="n"/>
      <c r="AK155" s="19" t="n"/>
      <c r="AL155" s="16" t="inlineStr">
        <is>
          <t>3 gleiche Leuchten in der kleinen Ausführung – abgebildet ist eine davon.</t>
        </is>
      </c>
      <c r="AM155" s="22" t="n"/>
    </row>
    <row r="156" ht="30" customHeight="1">
      <c r="A156" s="15" t="inlineStr">
        <is>
          <t>NU02-02</t>
        </is>
      </c>
      <c r="B156" s="15" t="n"/>
      <c r="C156" s="15" t="n"/>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20" t="n"/>
      <c r="AE156" s="21">
        <f>IF(K156="","",K156*AD156)</f>
        <v/>
      </c>
      <c r="AF156" s="19" t="n"/>
      <c r="AG156" s="19" t="n"/>
      <c r="AH156" s="19" t="n"/>
      <c r="AI156" s="19" t="n"/>
      <c r="AJ156" s="19" t="n"/>
      <c r="AK156" s="19" t="n"/>
      <c r="AL156" s="16" t="inlineStr">
        <is>
          <t>10 Stück – abgebildet ist einer davon.</t>
        </is>
      </c>
      <c r="AM156" s="22" t="inlineStr">
        <is>
          <t>Gesamtstückzahl über Gruppenraum 5 und den Nachbarraum NU02/NU03 hinweg, so vom Haus gezählt.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20" t="n"/>
      <c r="AE157" s="21">
        <f>IF(K157="","",K157*AD157)</f>
        <v/>
      </c>
      <c r="AF157" s="19" t="n"/>
      <c r="AG157" s="19" t="n"/>
      <c r="AH157" s="19" t="n"/>
      <c r="AI157" s="19" t="n"/>
      <c r="AJ157" s="19" t="n"/>
      <c r="AK157" s="19" t="n"/>
      <c r="AL157" s="16" t="inlineStr">
        <is>
          <t>2 Tische – abgebildet ist einer davon von oben.</t>
        </is>
      </c>
      <c r="AM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20" t="n"/>
      <c r="AE158" s="21">
        <f>IF(K158="","",K158*AD158)</f>
        <v/>
      </c>
      <c r="AF158" s="19" t="n"/>
      <c r="AG158" s="19" t="n"/>
      <c r="AH158" s="19" t="n"/>
      <c r="AI158" s="19" t="n"/>
      <c r="AJ158" s="19" t="n"/>
      <c r="AK158" s="19" t="n"/>
      <c r="AL158" s="16" t="inlineStr">
        <is>
          <t>8 Stück – abgebildet ist einer davon. Das Logo auf der Lehne ist auf Foto F-143 zu sehen.</t>
        </is>
      </c>
      <c r="AM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20" t="n"/>
      <c r="AE159" s="21">
        <f>IF(K159="","",K159*AD159)</f>
        <v/>
      </c>
      <c r="AF159" s="19" t="n"/>
      <c r="AG159" s="19" t="n"/>
      <c r="AH159" s="19" t="n"/>
      <c r="AI159" s="19" t="n"/>
      <c r="AJ159" s="19" t="n"/>
      <c r="AK159" s="19" t="n"/>
      <c r="AL159" s="16" t="inlineStr">
        <is>
          <t>4 halbrunde Tische – abgebildet sind zwei zusammengestellt.</t>
        </is>
      </c>
      <c r="AM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20" t="n"/>
      <c r="AE160" s="21">
        <f>IF(K160="","",K160*AD160)</f>
        <v/>
      </c>
      <c r="AF160" s="19" t="n"/>
      <c r="AG160" s="19" t="n"/>
      <c r="AH160" s="19" t="n"/>
      <c r="AI160" s="19" t="n"/>
      <c r="AJ160" s="19" t="n"/>
      <c r="AK160" s="19" t="n"/>
      <c r="AL160" s="16" t="inlineStr">
        <is>
          <t>2 Tische – abgebildet ist einer davon.</t>
        </is>
      </c>
      <c r="AM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20" t="n"/>
      <c r="AE161" s="21">
        <f>IF(K161="","",K161*AD161)</f>
        <v/>
      </c>
      <c r="AF161" s="19" t="n"/>
      <c r="AG161" s="19" t="n"/>
      <c r="AH161" s="19" t="n"/>
      <c r="AI161" s="19" t="n"/>
      <c r="AJ161" s="19" t="n"/>
      <c r="AK161" s="19" t="n"/>
      <c r="AL161" s="16" t="inlineStr">
        <is>
          <t>1 Sessel.</t>
        </is>
      </c>
      <c r="AM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20" t="n"/>
      <c r="AE162" s="21">
        <f>IF(K162="","",K162*AD162)</f>
        <v/>
      </c>
      <c r="AF162" s="19" t="n"/>
      <c r="AG162" s="19" t="n"/>
      <c r="AH162" s="19" t="n"/>
      <c r="AI162" s="19" t="n"/>
      <c r="AJ162" s="19" t="n"/>
      <c r="AK162" s="19" t="n"/>
      <c r="AL162" s="16" t="inlineStr">
        <is>
          <t>1 Tisch.</t>
        </is>
      </c>
      <c r="AM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20" t="n"/>
      <c r="AE163" s="21">
        <f>IF(K163="","",K163*AD163)</f>
        <v/>
      </c>
      <c r="AF163" s="19" t="n"/>
      <c r="AG163" s="19" t="n"/>
      <c r="AH163" s="19" t="n"/>
      <c r="AI163" s="19" t="n"/>
      <c r="AJ163" s="19" t="n"/>
      <c r="AK163" s="19" t="n"/>
      <c r="AL163" s="16" t="inlineStr">
        <is>
          <t>1 Tisch.</t>
        </is>
      </c>
      <c r="AM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20" t="n"/>
      <c r="AE164" s="21">
        <f>IF(K164="","",K164*AD164)</f>
        <v/>
      </c>
      <c r="AF164" s="19" t="n"/>
      <c r="AG164" s="19" t="n"/>
      <c r="AH164" s="19" t="n"/>
      <c r="AI164" s="19" t="n"/>
      <c r="AJ164" s="19" t="n"/>
      <c r="AK164" s="19" t="n"/>
      <c r="AL164" s="16" t="inlineStr">
        <is>
          <t>1 Sitzgruppe, Tisch und Bänke fest verbunden.</t>
        </is>
      </c>
      <c r="AM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20" t="n"/>
      <c r="AE165" s="21">
        <f>IF(K165="","",K165*AD165)</f>
        <v/>
      </c>
      <c r="AF165" s="19" t="n"/>
      <c r="AG165" s="19" t="n"/>
      <c r="AH165" s="19" t="n"/>
      <c r="AI165" s="19" t="n"/>
      <c r="AJ165" s="19" t="n"/>
      <c r="AK165" s="19" t="n"/>
      <c r="AL165" s="16" t="inlineStr">
        <is>
          <t>1 Set aus einem Tisch und vier Stühlen.</t>
        </is>
      </c>
      <c r="AM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20" t="n"/>
      <c r="AE166" s="21">
        <f>IF(K166="","",K166*AD166)</f>
        <v/>
      </c>
      <c r="AF166" s="19" t="n"/>
      <c r="AG166" s="19" t="n"/>
      <c r="AH166" s="19" t="n"/>
      <c r="AI166" s="19" t="n"/>
      <c r="AJ166" s="19" t="n"/>
      <c r="AK166" s="19" t="n"/>
      <c r="AL166" s="16" t="inlineStr">
        <is>
          <t>Bisher erfasst: zwei rosa und einer grün. Es gibt sie in weiteren Farben, auch in den Außenanlagen – Stückzahl wird am Ende des Rundgangs zusammengezählt.</t>
        </is>
      </c>
      <c r="AM166" s="22" t="inlineStr">
        <is>
          <t>OFFEN –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20" t="n"/>
      <c r="AE167" s="21">
        <f>IF(K167="","",K167*AD167)</f>
        <v/>
      </c>
      <c r="AF167" s="19" t="n"/>
      <c r="AG167" s="19" t="n"/>
      <c r="AH167" s="19" t="n"/>
      <c r="AI167" s="19" t="n"/>
      <c r="AJ167" s="19" t="n"/>
      <c r="AK167" s="19" t="n"/>
      <c r="AL167" s="16" t="inlineStr">
        <is>
          <t>1 Stück.</t>
        </is>
      </c>
      <c r="AM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20" t="n"/>
      <c r="AE168" s="21">
        <f>IF(K168="","",K168*AD168)</f>
        <v/>
      </c>
      <c r="AF168" s="19" t="n"/>
      <c r="AG168" s="19" t="n"/>
      <c r="AH168" s="19" t="n"/>
      <c r="AI168" s="19" t="n"/>
      <c r="AJ168" s="19" t="n"/>
      <c r="AK168" s="19" t="n"/>
      <c r="AL168" s="16" t="inlineStr">
        <is>
          <t>3 Regale – abgebildet sind alle drei übereinander.</t>
        </is>
      </c>
      <c r="AM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20" t="n"/>
      <c r="AE169" s="21">
        <f>IF(K169="","",K169*AD169)</f>
        <v/>
      </c>
      <c r="AF169" s="19" t="n"/>
      <c r="AG169" s="19" t="n"/>
      <c r="AH169" s="19" t="n"/>
      <c r="AI169" s="19" t="n"/>
      <c r="AJ169" s="19" t="n"/>
      <c r="AK169" s="19" t="n"/>
      <c r="AL169" s="16" t="inlineStr">
        <is>
          <t>2 Regale – abgebildet sind beide.</t>
        </is>
      </c>
      <c r="AM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20" t="n"/>
      <c r="AE170" s="21">
        <f>IF(K170="","",K170*AD170)</f>
        <v/>
      </c>
      <c r="AF170" s="19" t="n"/>
      <c r="AG170" s="19" t="n"/>
      <c r="AH170" s="19" t="n"/>
      <c r="AI170" s="19" t="n"/>
      <c r="AJ170" s="19" t="n"/>
      <c r="AK170" s="19" t="n"/>
      <c r="AL170" s="16" t="inlineStr">
        <is>
          <t>2 Elefanten, weiß und schwarz. Abgebildet ist der weiße; der schwarze wird nachfotografiert. Ein kleinerer schwarzer folgt als eigene Position.</t>
        </is>
      </c>
      <c r="AM170" s="22" t="inlineStr">
        <is>
          <t>OFFEN –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20" t="n"/>
      <c r="AE171" s="21">
        <f>IF(K171="","",K171*AD171)</f>
        <v/>
      </c>
      <c r="AF171" s="19" t="n"/>
      <c r="AG171" s="19" t="n"/>
      <c r="AH171" s="19" t="n"/>
      <c r="AI171" s="19" t="n"/>
      <c r="AJ171" s="19" t="n"/>
      <c r="AK171" s="19" t="n"/>
      <c r="AL171" s="16" t="inlineStr">
        <is>
          <t>1 Schrank. Foto F-167 zeigt ihn neben NU02-20, das gibt die Größe.</t>
        </is>
      </c>
      <c r="AM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20" t="n"/>
      <c r="AE172" s="21">
        <f>IF(K172="","",K172*AD172)</f>
        <v/>
      </c>
      <c r="AF172" s="19" t="n"/>
      <c r="AG172" s="19" t="n"/>
      <c r="AH172" s="19" t="n"/>
      <c r="AI172" s="19" t="n"/>
      <c r="AJ172" s="19" t="n"/>
      <c r="AK172" s="19" t="n"/>
      <c r="AL172" s="16" t="inlineStr">
        <is>
          <t>1 Schrank. Foto F-167 zeigt ihn neben NU02-19, das gibt die Größe.</t>
        </is>
      </c>
      <c r="AM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20" t="n"/>
      <c r="AE173" s="21">
        <f>IF(K173="","",K173*AD173)</f>
        <v/>
      </c>
      <c r="AF173" s="19" t="n"/>
      <c r="AG173" s="19" t="n"/>
      <c r="AH173" s="19" t="n"/>
      <c r="AI173" s="19" t="n"/>
      <c r="AJ173" s="19" t="n"/>
      <c r="AK173" s="19" t="n"/>
      <c r="AL173" s="16" t="inlineStr">
        <is>
          <t>1 Regal. Der Inhalt gehört nicht dazu.</t>
        </is>
      </c>
      <c r="AM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20" t="n"/>
      <c r="AE174" s="21">
        <f>IF(K174="","",K174*AD174)</f>
        <v/>
      </c>
      <c r="AF174" s="19" t="n"/>
      <c r="AG174" s="19" t="n"/>
      <c r="AH174" s="19" t="n"/>
      <c r="AI174" s="19" t="n"/>
      <c r="AJ174" s="19" t="n"/>
      <c r="AK174" s="19" t="n"/>
      <c r="AL174" s="16" t="inlineStr">
        <is>
          <t>3 Bilder in unterschiedlichen Formaten: ein großes quadratisches (abgebildet) und zwei kleinere im Querformat, siehe Foto F-170.</t>
        </is>
      </c>
      <c r="AM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20" t="n"/>
      <c r="AE175" s="21">
        <f>IF(K175="","",K175*AD175)</f>
        <v/>
      </c>
      <c r="AF175" s="19" t="n"/>
      <c r="AG175" s="19" t="n"/>
      <c r="AH175" s="19" t="n"/>
      <c r="AI175" s="19" t="n"/>
      <c r="AJ175" s="19" t="n"/>
      <c r="AK175" s="19" t="n"/>
      <c r="AL175" s="16" t="inlineStr">
        <is>
          <t>1 Tischgruppe aus vier Segmenten.</t>
        </is>
      </c>
      <c r="AM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20" t="n"/>
      <c r="AE176" s="21">
        <f>IF(K176="","",K176*AD176)</f>
        <v/>
      </c>
      <c r="AF176" s="19" t="n"/>
      <c r="AG176" s="19" t="n"/>
      <c r="AH176" s="19" t="n"/>
      <c r="AI176" s="19" t="n"/>
      <c r="AJ176" s="19" t="n"/>
      <c r="AK176" s="19" t="n"/>
      <c r="AL176" s="16" t="inlineStr">
        <is>
          <t>1 Regal. Der Inhalt (Stiftebecher, Farbkästen, Pinsel) gehört nicht dazu.</t>
        </is>
      </c>
      <c r="AM176" s="22" t="n"/>
    </row>
  </sheetData>
  <autoFilter ref="A2:AM176"/>
  <mergeCells count="7">
    <mergeCell ref="AH1:AK1"/>
    <mergeCell ref="S1:U1"/>
    <mergeCell ref="Q1:R1"/>
    <mergeCell ref="A1:P1"/>
    <mergeCell ref="V1:AC1"/>
    <mergeCell ref="AL1:AM1"/>
    <mergeCell ref="AD1:AG1"/>
  </mergeCells>
  <conditionalFormatting sqref="Z3:Z176">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176">
    <cfRule type="cellIs" priority="4" operator="equal" dxfId="3">
      <formula>"A"</formula>
    </cfRule>
  </conditionalFormatting>
  <conditionalFormatting sqref="P3:P176">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B3:AB803" showDropDown="0" showInputMessage="0" showErrorMessage="0" allowBlank="1" type="list">
      <formula1>"Webkatalog,Kleinanzeigen,eBay,Direkt,Händler,Verkaufstag"</formula1>
    </dataValidation>
    <dataValidation sqref="AI3:AI803" showDropDown="0" showInputMessage="0" showErrorMessage="0" allowBlank="1" type="list">
      <formula1>"offen,bezahlt,teilbezahlt"</formula1>
    </dataValidation>
    <dataValidation sqref="AJ3:AJ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COUNTA(Artikelstamm!$A$3:$A$176)</f>
        <v/>
      </c>
    </row>
    <row r="6">
      <c r="A6" s="26" t="inlineStr">
        <is>
          <t>davon verfügbar</t>
        </is>
      </c>
      <c r="B6" s="27">
        <f>COUNTIF(Artikelstamm!$Z$3:$Z$176,"verfügbar")</f>
        <v/>
      </c>
    </row>
    <row r="7">
      <c r="A7" s="26" t="inlineStr">
        <is>
          <t>davon reserviert</t>
        </is>
      </c>
      <c r="B7" s="27">
        <f>COUNTIF(Artikelstamm!$Z$3:$Z$176,"reserviert")</f>
        <v/>
      </c>
    </row>
    <row r="8">
      <c r="A8" s="26" t="inlineStr">
        <is>
          <t>davon teilverkauft</t>
        </is>
      </c>
      <c r="B8" s="27">
        <f>COUNTIF(Artikelstamm!$Z$3:$Z$176,"teilverkauft")</f>
        <v/>
      </c>
    </row>
    <row r="9">
      <c r="A9" s="26" t="inlineStr">
        <is>
          <t>davon verkauft</t>
        </is>
      </c>
      <c r="B9" s="27">
        <f>COUNTIF(Artikelstamm!$Z$3:$Z$176,"verkauft")</f>
        <v/>
      </c>
    </row>
    <row r="10">
      <c r="A10" s="26" t="inlineStr">
        <is>
          <t>Einheiten noch im Bestand</t>
        </is>
      </c>
      <c r="B10" s="27">
        <f>SUM(Artikelstamm!$L$3:$L$176)</f>
        <v/>
      </c>
    </row>
    <row r="11">
      <c r="A11" s="28" t="inlineStr">
        <is>
          <t>Restbestand zu Wunschpreisen (netto)</t>
        </is>
      </c>
      <c r="B11" s="29">
        <f>SUM(Artikelstamm!$U$3:$U$176)</f>
        <v/>
      </c>
    </row>
    <row r="12">
      <c r="A12" s="25" t="inlineStr">
        <is>
          <t>Erlöse</t>
        </is>
      </c>
    </row>
    <row r="13">
      <c r="A13" s="26" t="inlineStr">
        <is>
          <t>Verkaufte Einheiten</t>
        </is>
      </c>
      <c r="B13" s="27">
        <f>SUM(Artikelstamm!$K$3:$K$176)</f>
        <v/>
      </c>
    </row>
    <row r="14">
      <c r="A14" s="26" t="inlineStr">
        <is>
          <t>Umsatz netto</t>
        </is>
      </c>
      <c r="B14" s="30">
        <f>SUMPRODUCT(Artikelstamm!$K$3:$K$176,Artikelstamm!$AD$3:$AD$176)</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SUMPRODUCT((Artikelstamm!$AI$3:$AI$176="bezahlt")*Artikelstamm!$K$3:$K$176*Artikelstamm!$AD$3:$AD$176)</f>
        <v/>
      </c>
    </row>
    <row r="18">
      <c r="A18" s="26" t="inlineStr">
        <is>
          <t>noch offen (netto)</t>
        </is>
      </c>
      <c r="B18" s="30">
        <f>B14-B17</f>
        <v/>
      </c>
    </row>
    <row r="20">
      <c r="A20" s="25" t="inlineStr">
        <is>
          <t>To-do</t>
        </is>
      </c>
    </row>
    <row r="21">
      <c r="A21" s="28" t="inlineStr">
        <is>
          <t>Rechnungen noch zu schreiben</t>
        </is>
      </c>
      <c r="B21" s="31">
        <f>COUNTIFS(Artikelstamm!$Z$3:$Z$176,"*verkauft",Artikelstamm!$AH$3:$AH$176,"")</f>
        <v/>
      </c>
    </row>
    <row r="22">
      <c r="A22" s="28" t="inlineStr">
        <is>
          <t>Rechnungen offen (unbezahlt)</t>
        </is>
      </c>
      <c r="B22" s="31">
        <f>COUNTIFS(Artikelstamm!$Z$3:$Z$176,"*verkauft",Artikelstamm!$AI$3:$AI$176,"offen")</f>
        <v/>
      </c>
    </row>
    <row r="23">
      <c r="A23" s="26" t="inlineStr">
        <is>
          <t>Reservierungen ohne Abholtermin</t>
        </is>
      </c>
      <c r="B23" s="27">
        <f>COUNTIFS(Artikelstamm!$Z$3:$Z$176,"reserviert",Artikelstamm!$AK$3:$AK$176,"")</f>
        <v/>
      </c>
    </row>
    <row r="24">
      <c r="A24" s="26" t="inlineStr">
        <is>
          <t>Artikel ohne Preis</t>
        </is>
      </c>
      <c r="B24" s="27">
        <f>COUNTIFS(Artikelstamm!$S$3:$S$176,"")</f>
        <v/>
      </c>
    </row>
    <row r="25">
      <c r="A25" s="26" t="inlineStr">
        <is>
          <t>Artikel ohne Maßangabe</t>
        </is>
      </c>
      <c r="B25" s="27">
        <f>COUNTIFS(Artikelstamm!$O$3:$O$176,"")</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COUNTIF(Artikelstamm!$I$3:$I$176,$A30)</f>
        <v/>
      </c>
      <c r="C30" s="34">
        <f>SUMPRODUCT((Artikelstamm!$I$3:$I$176=$A30)*Artikelstamm!$K$3:$K$176*Artikelstamm!$AD$3:$AD$176)</f>
        <v/>
      </c>
      <c r="D30" s="34">
        <f>SUMIF(Artikelstamm!$I$3:$I$176,$A30,Artikelstamm!$U$3:$U$176)</f>
        <v/>
      </c>
    </row>
    <row r="31">
      <c r="A31" s="26" t="inlineStr">
        <is>
          <t>B</t>
        </is>
      </c>
      <c r="B31" s="33">
        <f>COUNTIF(Artikelstamm!$I$3:$I$176,$A31)</f>
        <v/>
      </c>
      <c r="C31" s="34">
        <f>SUMPRODUCT((Artikelstamm!$I$3:$I$176=$A31)*Artikelstamm!$K$3:$K$176*Artikelstamm!$AD$3:$AD$176)</f>
        <v/>
      </c>
      <c r="D31" s="34">
        <f>SUMIF(Artikelstamm!$I$3:$I$176,$A31,Artikelstamm!$U$3:$U$176)</f>
        <v/>
      </c>
    </row>
    <row r="32">
      <c r="A32" s="26" t="inlineStr">
        <is>
          <t>C</t>
        </is>
      </c>
      <c r="B32" s="33">
        <f>COUNTIF(Artikelstamm!$I$3:$I$176,$A32)</f>
        <v/>
      </c>
      <c r="C32" s="34">
        <f>SUMPRODUCT((Artikelstamm!$I$3:$I$176=$A32)*Artikelstamm!$K$3:$K$176*Artikelstamm!$AD$3:$AD$176)</f>
        <v/>
      </c>
      <c r="D32" s="34">
        <f>SUMIF(Artikelstamm!$I$3:$I$176,$A32,Artikelstamm!$U$3:$U$176)</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COUNTIF(Artikelstamm!$G$3:$G$176,$A37)</f>
        <v/>
      </c>
      <c r="C37" s="34">
        <f>SUMPRODUCT((Artikelstamm!$G$3:$G$176=$A37)*Artikelstamm!$K$3:$K$176*Artikelstamm!$AD$3:$AD$176)</f>
        <v/>
      </c>
      <c r="D37" s="34">
        <f>SUMIF(Artikelstamm!$G$3:$G$176,$A37,Artikelstamm!$U$3:$U$176)</f>
        <v/>
      </c>
    </row>
    <row r="38">
      <c r="A38" s="26" t="inlineStr">
        <is>
          <t>Deko</t>
        </is>
      </c>
      <c r="B38" s="33">
        <f>COUNTIF(Artikelstamm!$G$3:$G$176,$A38)</f>
        <v/>
      </c>
      <c r="C38" s="34">
        <f>SUMPRODUCT((Artikelstamm!$G$3:$G$176=$A38)*Artikelstamm!$K$3:$K$176*Artikelstamm!$AD$3:$AD$176)</f>
        <v/>
      </c>
      <c r="D38" s="34">
        <f>SUMIF(Artikelstamm!$G$3:$G$176,$A38,Artikelstamm!$U$3:$U$176)</f>
        <v/>
      </c>
    </row>
    <row r="39">
      <c r="A39" s="26" t="inlineStr">
        <is>
          <t>Designmöbel</t>
        </is>
      </c>
      <c r="B39" s="33">
        <f>COUNTIF(Artikelstamm!$G$3:$G$176,$A39)</f>
        <v/>
      </c>
      <c r="C39" s="34">
        <f>SUMPRODUCT((Artikelstamm!$G$3:$G$176=$A39)*Artikelstamm!$K$3:$K$176*Artikelstamm!$AD$3:$AD$176)</f>
        <v/>
      </c>
      <c r="D39" s="34">
        <f>SUMIF(Artikelstamm!$G$3:$G$176,$A39,Artikelstamm!$U$3:$U$176)</f>
        <v/>
      </c>
    </row>
    <row r="40">
      <c r="A40" s="26" t="inlineStr">
        <is>
          <t>Garten</t>
        </is>
      </c>
      <c r="B40" s="33">
        <f>COUNTIF(Artikelstamm!$G$3:$G$176,$A40)</f>
        <v/>
      </c>
      <c r="C40" s="34">
        <f>SUMPRODUCT((Artikelstamm!$G$3:$G$176=$A40)*Artikelstamm!$K$3:$K$176*Artikelstamm!$AD$3:$AD$176)</f>
        <v/>
      </c>
      <c r="D40" s="34">
        <f>SUMIF(Artikelstamm!$G$3:$G$176,$A40,Artikelstamm!$U$3:$U$176)</f>
        <v/>
      </c>
    </row>
    <row r="41">
      <c r="A41" s="26" t="inlineStr">
        <is>
          <t>Kita-Ausstattung</t>
        </is>
      </c>
      <c r="B41" s="33">
        <f>COUNTIF(Artikelstamm!$G$3:$G$176,$A41)</f>
        <v/>
      </c>
      <c r="C41" s="34">
        <f>SUMPRODUCT((Artikelstamm!$G$3:$G$176=$A41)*Artikelstamm!$K$3:$K$176*Artikelstamm!$AD$3:$AD$176)</f>
        <v/>
      </c>
      <c r="D41" s="34">
        <f>SUMIF(Artikelstamm!$G$3:$G$176,$A41,Artikelstamm!$U$3:$U$176)</f>
        <v/>
      </c>
    </row>
    <row r="42">
      <c r="A42" s="26" t="inlineStr">
        <is>
          <t>Kunst</t>
        </is>
      </c>
      <c r="B42" s="33">
        <f>COUNTIF(Artikelstamm!$G$3:$G$176,$A42)</f>
        <v/>
      </c>
      <c r="C42" s="34">
        <f>SUMPRODUCT((Artikelstamm!$G$3:$G$176=$A42)*Artikelstamm!$K$3:$K$176*Artikelstamm!$AD$3:$AD$176)</f>
        <v/>
      </c>
      <c r="D42" s="34">
        <f>SUMIF(Artikelstamm!$G$3:$G$176,$A42,Artikelstamm!$U$3:$U$176)</f>
        <v/>
      </c>
    </row>
    <row r="43">
      <c r="A43" s="26" t="inlineStr">
        <is>
          <t>Leuchten</t>
        </is>
      </c>
      <c r="B43" s="33">
        <f>COUNTIF(Artikelstamm!$G$3:$G$176,$A43)</f>
        <v/>
      </c>
      <c r="C43" s="34">
        <f>SUMPRODUCT((Artikelstamm!$G$3:$G$176=$A43)*Artikelstamm!$K$3:$K$176*Artikelstamm!$AD$3:$AD$176)</f>
        <v/>
      </c>
      <c r="D43" s="34">
        <f>SUMIF(Artikelstamm!$G$3:$G$176,$A43,Artikelstamm!$U$3:$U$176)</f>
        <v/>
      </c>
    </row>
    <row r="44">
      <c r="A44" s="26" t="inlineStr">
        <is>
          <t>Möbel</t>
        </is>
      </c>
      <c r="B44" s="33">
        <f>COUNTIF(Artikelstamm!$G$3:$G$176,$A44)</f>
        <v/>
      </c>
      <c r="C44" s="34">
        <f>SUMPRODUCT((Artikelstamm!$G$3:$G$176=$A44)*Artikelstamm!$K$3:$K$176*Artikelstamm!$AD$3:$AD$176)</f>
        <v/>
      </c>
      <c r="D44" s="34">
        <f>SUMIF(Artikelstamm!$G$3:$G$176,$A44,Artikelstamm!$U$3:$U$176)</f>
        <v/>
      </c>
    </row>
    <row r="45">
      <c r="A45" s="26" t="inlineStr">
        <is>
          <t>Pflanzen</t>
        </is>
      </c>
      <c r="B45" s="33">
        <f>COUNTIF(Artikelstamm!$G$3:$G$176,$A45)</f>
        <v/>
      </c>
      <c r="C45" s="34">
        <f>SUMPRODUCT((Artikelstamm!$G$3:$G$176=$A45)*Artikelstamm!$K$3:$K$176*Artikelstamm!$AD$3:$AD$176)</f>
        <v/>
      </c>
      <c r="D45" s="34">
        <f>SUMIF(Artikelstamm!$G$3:$G$176,$A45,Artikelstamm!$U$3:$U$176)</f>
        <v/>
      </c>
    </row>
    <row r="46">
      <c r="A46" s="26" t="inlineStr">
        <is>
          <t>Sonstiges</t>
        </is>
      </c>
      <c r="B46" s="33">
        <f>COUNTIF(Artikelstamm!$G$3:$G$176,$A46)</f>
        <v/>
      </c>
      <c r="C46" s="34">
        <f>SUMPRODUCT((Artikelstamm!$G$3:$G$176=$A46)*Artikelstamm!$K$3:$K$176*Artikelstamm!$AD$3:$AD$176)</f>
        <v/>
      </c>
      <c r="D46" s="34">
        <f>SUMIF(Artikelstamm!$G$3:$G$176,$A46,Artikelstamm!$U$3:$U$176)</f>
        <v/>
      </c>
    </row>
    <row r="47">
      <c r="A47" s="26" t="inlineStr">
        <is>
          <t>Technik</t>
        </is>
      </c>
      <c r="B47" s="33">
        <f>COUNTIF(Artikelstamm!$G$3:$G$176,$A47)</f>
        <v/>
      </c>
      <c r="C47" s="34">
        <f>SUMPRODUCT((Artikelstamm!$G$3:$G$176=$A47)*Artikelstamm!$K$3:$K$176*Artikelstamm!$AD$3:$AD$176)</f>
        <v/>
      </c>
      <c r="D47" s="34">
        <f>SUMIF(Artikelstamm!$G$3:$G$176,$A47,Artikelstamm!$U$3:$U$176)</f>
        <v/>
      </c>
    </row>
    <row r="48">
      <c r="A48" s="26" t="inlineStr">
        <is>
          <t>Textilien</t>
        </is>
      </c>
      <c r="B48" s="33">
        <f>COUNTIF(Artikelstamm!$G$3:$G$176,$A48)</f>
        <v/>
      </c>
      <c r="C48" s="34">
        <f>SUMPRODUCT((Artikelstamm!$G$3:$G$176=$A48)*Artikelstamm!$K$3:$K$176*Artikelstamm!$AD$3:$AD$176)</f>
        <v/>
      </c>
      <c r="D48" s="34">
        <f>SUMIF(Artikelstamm!$G$3:$G$176,$A48,Artikelstamm!$U$3:$U$176)</f>
        <v/>
      </c>
    </row>
    <row r="49">
      <c r="A49" s="26" t="inlineStr">
        <is>
          <t>Uhren</t>
        </is>
      </c>
      <c r="B49" s="33">
        <f>COUNTIF(Artikelstamm!$G$3:$G$176,$A49)</f>
        <v/>
      </c>
      <c r="C49" s="34">
        <f>SUMPRODUCT((Artikelstamm!$G$3:$G$176=$A49)*Artikelstamm!$K$3:$K$176*Artikelstamm!$AD$3:$AD$176)</f>
        <v/>
      </c>
      <c r="D49" s="34">
        <f>SUMIF(Artikelstamm!$G$3:$G$176,$A49,Artikelstamm!$U$3:$U$176)</f>
        <v/>
      </c>
    </row>
    <row r="50">
      <c r="A50" s="26" t="inlineStr">
        <is>
          <t>Verbrauchsmaterial</t>
        </is>
      </c>
      <c r="B50" s="33">
        <f>COUNTIF(Artikelstamm!$G$3:$G$176,$A50)</f>
        <v/>
      </c>
      <c r="C50" s="34">
        <f>SUMPRODUCT((Artikelstamm!$G$3:$G$176=$A50)*Artikelstamm!$K$3:$K$176*Artikelstamm!$AD$3:$AD$176)</f>
        <v/>
      </c>
      <c r="D50" s="34">
        <f>SUMIF(Artikelstamm!$G$3:$G$176,$A50,Artikelstamm!$U$3:$U$176)</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COUNTIF(Artikelstamm!$H$3:$H$176,$A55)</f>
        <v/>
      </c>
      <c r="C55" s="34">
        <f>SUMPRODUCT((Artikelstamm!$H$3:$H$176=$A55)*Artikelstamm!$K$3:$K$176*Artikelstamm!$AD$3:$AD$176)</f>
        <v/>
      </c>
      <c r="D55" s="34">
        <f>SUMIF(Artikelstamm!$H$3:$H$176,$A55,Artikelstamm!$U$3:$U$176)</f>
        <v/>
      </c>
    </row>
    <row r="56">
      <c r="A56" s="26" t="inlineStr">
        <is>
          <t>Büro</t>
        </is>
      </c>
      <c r="B56" s="33">
        <f>COUNTIF(Artikelstamm!$H$3:$H$176,$A56)</f>
        <v/>
      </c>
      <c r="C56" s="34">
        <f>SUMPRODUCT((Artikelstamm!$H$3:$H$176=$A56)*Artikelstamm!$K$3:$K$176*Artikelstamm!$AD$3:$AD$176)</f>
        <v/>
      </c>
      <c r="D56" s="34">
        <f>SUMIF(Artikelstamm!$H$3:$H$176,$A56,Artikelstamm!$U$3:$U$176)</f>
        <v/>
      </c>
    </row>
    <row r="57">
      <c r="A57" s="26" t="inlineStr">
        <is>
          <t>Büro / Besprechung</t>
        </is>
      </c>
      <c r="B57" s="33">
        <f>COUNTIF(Artikelstamm!$H$3:$H$176,$A57)</f>
        <v/>
      </c>
      <c r="C57" s="34">
        <f>SUMPRODUCT((Artikelstamm!$H$3:$H$176=$A57)*Artikelstamm!$K$3:$K$176*Artikelstamm!$AD$3:$AD$176)</f>
        <v/>
      </c>
      <c r="D57" s="34">
        <f>SUMIF(Artikelstamm!$H$3:$H$176,$A57,Artikelstamm!$U$3:$U$176)</f>
        <v/>
      </c>
    </row>
    <row r="58">
      <c r="A58" s="26" t="inlineStr">
        <is>
          <t>Dachterrasse</t>
        </is>
      </c>
      <c r="B58" s="33">
        <f>COUNTIF(Artikelstamm!$H$3:$H$176,$A58)</f>
        <v/>
      </c>
      <c r="C58" s="34">
        <f>SUMPRODUCT((Artikelstamm!$H$3:$H$176=$A58)*Artikelstamm!$K$3:$K$176*Artikelstamm!$AD$3:$AD$176)</f>
        <v/>
      </c>
      <c r="D58" s="34">
        <f>SUMIF(Artikelstamm!$H$3:$H$176,$A58,Artikelstamm!$U$3:$U$176)</f>
        <v/>
      </c>
    </row>
    <row r="59">
      <c r="A59" s="26" t="inlineStr">
        <is>
          <t>Flur</t>
        </is>
      </c>
      <c r="B59" s="33">
        <f>COUNTIF(Artikelstamm!$H$3:$H$176,$A59)</f>
        <v/>
      </c>
      <c r="C59" s="34">
        <f>SUMPRODUCT((Artikelstamm!$H$3:$H$176=$A59)*Artikelstamm!$K$3:$K$176*Artikelstamm!$AD$3:$AD$176)</f>
        <v/>
      </c>
      <c r="D59" s="34">
        <f>SUMIF(Artikelstamm!$H$3:$H$176,$A59,Artikelstamm!$U$3:$U$176)</f>
        <v/>
      </c>
    </row>
    <row r="60">
      <c r="A60" s="26" t="inlineStr">
        <is>
          <t>Flur 1</t>
        </is>
      </c>
      <c r="B60" s="33">
        <f>COUNTIF(Artikelstamm!$H$3:$H$176,$A60)</f>
        <v/>
      </c>
      <c r="C60" s="34">
        <f>SUMPRODUCT((Artikelstamm!$H$3:$H$176=$A60)*Artikelstamm!$K$3:$K$176*Artikelstamm!$AD$3:$AD$176)</f>
        <v/>
      </c>
      <c r="D60" s="34">
        <f>SUMIF(Artikelstamm!$H$3:$H$176,$A60,Artikelstamm!$U$3:$U$176)</f>
        <v/>
      </c>
    </row>
    <row r="61">
      <c r="A61" s="26" t="inlineStr">
        <is>
          <t>Gartenanlage</t>
        </is>
      </c>
      <c r="B61" s="33">
        <f>COUNTIF(Artikelstamm!$H$3:$H$176,$A61)</f>
        <v/>
      </c>
      <c r="C61" s="34">
        <f>SUMPRODUCT((Artikelstamm!$H$3:$H$176=$A61)*Artikelstamm!$K$3:$K$176*Artikelstamm!$AD$3:$AD$176)</f>
        <v/>
      </c>
      <c r="D61" s="34">
        <f>SUMIF(Artikelstamm!$H$3:$H$176,$A61,Artikelstamm!$U$3:$U$176)</f>
        <v/>
      </c>
    </row>
    <row r="62">
      <c r="A62" s="26" t="inlineStr">
        <is>
          <t>Gruppenraum</t>
        </is>
      </c>
      <c r="B62" s="33">
        <f>COUNTIF(Artikelstamm!$H$3:$H$176,$A62)</f>
        <v/>
      </c>
      <c r="C62" s="34">
        <f>SUMPRODUCT((Artikelstamm!$H$3:$H$176=$A62)*Artikelstamm!$K$3:$K$176*Artikelstamm!$AD$3:$AD$176)</f>
        <v/>
      </c>
      <c r="D62" s="34">
        <f>SUMIF(Artikelstamm!$H$3:$H$176,$A62,Artikelstamm!$U$3:$U$176)</f>
        <v/>
      </c>
    </row>
    <row r="63">
      <c r="A63" s="26" t="inlineStr">
        <is>
          <t>Gruppenraum 2</t>
        </is>
      </c>
      <c r="B63" s="33">
        <f>COUNTIF(Artikelstamm!$H$3:$H$176,$A63)</f>
        <v/>
      </c>
      <c r="C63" s="34">
        <f>SUMPRODUCT((Artikelstamm!$H$3:$H$176=$A63)*Artikelstamm!$K$3:$K$176*Artikelstamm!$AD$3:$AD$176)</f>
        <v/>
      </c>
      <c r="D63" s="34">
        <f>SUMIF(Artikelstamm!$H$3:$H$176,$A63,Artikelstamm!$U$3:$U$176)</f>
        <v/>
      </c>
    </row>
    <row r="64">
      <c r="A64" s="26" t="inlineStr">
        <is>
          <t>Gruppenraum 4</t>
        </is>
      </c>
      <c r="B64" s="33">
        <f>COUNTIF(Artikelstamm!$H$3:$H$176,$A64)</f>
        <v/>
      </c>
      <c r="C64" s="34">
        <f>SUMPRODUCT((Artikelstamm!$H$3:$H$176=$A64)*Artikelstamm!$K$3:$K$176*Artikelstamm!$AD$3:$AD$176)</f>
        <v/>
      </c>
      <c r="D64" s="34">
        <f>SUMIF(Artikelstamm!$H$3:$H$176,$A64,Artikelstamm!$U$3:$U$176)</f>
        <v/>
      </c>
    </row>
    <row r="65">
      <c r="A65" s="26" t="inlineStr">
        <is>
          <t>Gruppenraum 5</t>
        </is>
      </c>
      <c r="B65" s="33">
        <f>COUNTIF(Artikelstamm!$H$3:$H$176,$A65)</f>
        <v/>
      </c>
      <c r="C65" s="34">
        <f>SUMPRODUCT((Artikelstamm!$H$3:$H$176=$A65)*Artikelstamm!$K$3:$K$176*Artikelstamm!$AD$3:$AD$176)</f>
        <v/>
      </c>
      <c r="D65" s="34">
        <f>SUMIF(Artikelstamm!$H$3:$H$176,$A65,Artikelstamm!$U$3:$U$176)</f>
        <v/>
      </c>
    </row>
    <row r="66">
      <c r="A66" s="26" t="inlineStr">
        <is>
          <t>Personal</t>
        </is>
      </c>
      <c r="B66" s="33">
        <f>COUNTIF(Artikelstamm!$H$3:$H$176,$A66)</f>
        <v/>
      </c>
      <c r="C66" s="34">
        <f>SUMPRODUCT((Artikelstamm!$H$3:$H$176=$A66)*Artikelstamm!$K$3:$K$176*Artikelstamm!$AD$3:$AD$176)</f>
        <v/>
      </c>
      <c r="D66" s="34">
        <f>SUMIF(Artikelstamm!$H$3:$H$176,$A66,Artikelstamm!$U$3:$U$176)</f>
        <v/>
      </c>
    </row>
    <row r="67">
      <c r="A67" s="26" t="inlineStr">
        <is>
          <t>Ruhe- / Schlafraum</t>
        </is>
      </c>
      <c r="B67" s="33">
        <f>COUNTIF(Artikelstamm!$H$3:$H$176,$A67)</f>
        <v/>
      </c>
      <c r="C67" s="34">
        <f>SUMPRODUCT((Artikelstamm!$H$3:$H$176=$A67)*Artikelstamm!$K$3:$K$176*Artikelstamm!$AD$3:$AD$176)</f>
        <v/>
      </c>
      <c r="D67" s="34">
        <f>SUMIF(Artikelstamm!$H$3:$H$176,$A67,Artikelstamm!$U$3:$U$176)</f>
        <v/>
      </c>
    </row>
    <row r="68">
      <c r="A68" s="26" t="inlineStr">
        <is>
          <t>Schlafraum 4</t>
        </is>
      </c>
      <c r="B68" s="33">
        <f>COUNTIF(Artikelstamm!$H$3:$H$176,$A68)</f>
        <v/>
      </c>
      <c r="C68" s="34">
        <f>SUMPRODUCT((Artikelstamm!$H$3:$H$176=$A68)*Artikelstamm!$K$3:$K$176*Artikelstamm!$AD$3:$AD$176)</f>
        <v/>
      </c>
      <c r="D68" s="34">
        <f>SUMIF(Artikelstamm!$H$3:$H$176,$A68,Artikelstamm!$U$3:$U$176)</f>
        <v/>
      </c>
    </row>
    <row r="69">
      <c r="A69" s="26" t="inlineStr">
        <is>
          <t>Schlafraum 5</t>
        </is>
      </c>
      <c r="B69" s="33">
        <f>COUNTIF(Artikelstamm!$H$3:$H$176,$A69)</f>
        <v/>
      </c>
      <c r="C69" s="34">
        <f>SUMPRODUCT((Artikelstamm!$H$3:$H$176=$A69)*Artikelstamm!$K$3:$K$176*Artikelstamm!$AD$3:$AD$176)</f>
        <v/>
      </c>
      <c r="D69" s="34">
        <f>SUMIF(Artikelstamm!$H$3:$H$176,$A69,Artikelstamm!$U$3:$U$176)</f>
        <v/>
      </c>
    </row>
    <row r="70">
      <c r="A70" s="26" t="inlineStr">
        <is>
          <t>Speisesaal</t>
        </is>
      </c>
      <c r="B70" s="33">
        <f>COUNTIF(Artikelstamm!$H$3:$H$176,$A70)</f>
        <v/>
      </c>
      <c r="C70" s="34">
        <f>SUMPRODUCT((Artikelstamm!$H$3:$H$176=$A70)*Artikelstamm!$K$3:$K$176*Artikelstamm!$AD$3:$AD$176)</f>
        <v/>
      </c>
      <c r="D70" s="34">
        <f>SUMIF(Artikelstamm!$H$3:$H$176,$A70,Artikelstamm!$U$3:$U$176)</f>
        <v/>
      </c>
    </row>
    <row r="71">
      <c r="A71" s="26" t="inlineStr">
        <is>
          <t>Terrasse</t>
        </is>
      </c>
      <c r="B71" s="33">
        <f>COUNTIF(Artikelstamm!$H$3:$H$176,$A71)</f>
        <v/>
      </c>
      <c r="C71" s="34">
        <f>SUMPRODUCT((Artikelstamm!$H$3:$H$176=$A71)*Artikelstamm!$K$3:$K$176*Artikelstamm!$AD$3:$AD$176)</f>
        <v/>
      </c>
      <c r="D71" s="34">
        <f>SUMIF(Artikelstamm!$H$3:$H$176,$A71,Artikelstamm!$U$3:$U$176)</f>
        <v/>
      </c>
    </row>
    <row r="72">
      <c r="A72" s="26" t="inlineStr">
        <is>
          <t>WC Personal</t>
        </is>
      </c>
      <c r="B72" s="33">
        <f>COUNTIF(Artikelstamm!$H$3:$H$176,$A72)</f>
        <v/>
      </c>
      <c r="C72" s="34">
        <f>SUMPRODUCT((Artikelstamm!$H$3:$H$176=$A72)*Artikelstamm!$K$3:$K$176*Artikelstamm!$AD$3:$AD$176)</f>
        <v/>
      </c>
      <c r="D72" s="34">
        <f>SUMIF(Artikelstamm!$H$3:$H$176,$A72,Artikelstamm!$U$3:$U$176)</f>
        <v/>
      </c>
    </row>
    <row r="73">
      <c r="A73" s="26" t="inlineStr">
        <is>
          <t>Werkraum</t>
        </is>
      </c>
      <c r="B73" s="33">
        <f>COUNTIF(Artikelstamm!$H$3:$H$176,$A73)</f>
        <v/>
      </c>
      <c r="C73" s="34">
        <f>SUMPRODUCT((Artikelstamm!$H$3:$H$176=$A73)*Artikelstamm!$K$3:$K$176*Artikelstamm!$AD$3:$AD$176)</f>
        <v/>
      </c>
      <c r="D73" s="34">
        <f>SUMIF(Artikelstamm!$H$3:$H$176,$A73,Artikelstamm!$U$3:$U$176)</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COUNTIF(Artikelstamm!$AB$3:$AB$176,$A78)</f>
        <v/>
      </c>
      <c r="C78" s="34">
        <f>SUMPRODUCT((Artikelstamm!$AB$3:$AB$176=$A78)*Artikelstamm!$K$3:$K$176*Artikelstamm!$AD$3:$AD$176)</f>
        <v/>
      </c>
    </row>
    <row r="79">
      <c r="A79" s="26" t="inlineStr">
        <is>
          <t>Kleinanzeigen</t>
        </is>
      </c>
      <c r="B79" s="33">
        <f>COUNTIF(Artikelstamm!$AB$3:$AB$176,$A79)</f>
        <v/>
      </c>
      <c r="C79" s="34">
        <f>SUMPRODUCT((Artikelstamm!$AB$3:$AB$176=$A79)*Artikelstamm!$K$3:$K$176*Artikelstamm!$AD$3:$AD$176)</f>
        <v/>
      </c>
    </row>
    <row r="80">
      <c r="A80" s="26" t="inlineStr">
        <is>
          <t>eBay</t>
        </is>
      </c>
      <c r="B80" s="33">
        <f>COUNTIF(Artikelstamm!$AB$3:$AB$176,$A80)</f>
        <v/>
      </c>
      <c r="C80" s="34">
        <f>SUMPRODUCT((Artikelstamm!$AB$3:$AB$176=$A80)*Artikelstamm!$K$3:$K$176*Artikelstamm!$AD$3:$AD$176)</f>
        <v/>
      </c>
    </row>
    <row r="81">
      <c r="A81" s="26" t="inlineStr">
        <is>
          <t>Direkt</t>
        </is>
      </c>
      <c r="B81" s="33">
        <f>COUNTIF(Artikelstamm!$AB$3:$AB$176,$A81)</f>
        <v/>
      </c>
      <c r="C81" s="34">
        <f>SUMPRODUCT((Artikelstamm!$AB$3:$AB$176=$A81)*Artikelstamm!$K$3:$K$176*Artikelstamm!$AD$3:$AD$176)</f>
        <v/>
      </c>
    </row>
    <row r="82">
      <c r="A82" s="26" t="inlineStr">
        <is>
          <t>Händler</t>
        </is>
      </c>
      <c r="B82" s="33">
        <f>COUNTIF(Artikelstamm!$AB$3:$AB$176,$A82)</f>
        <v/>
      </c>
      <c r="C82" s="34">
        <f>SUMPRODUCT((Artikelstamm!$AB$3:$AB$176=$A82)*Artikelstamm!$K$3:$K$176*Artikelstamm!$AD$3:$AD$176)</f>
        <v/>
      </c>
    </row>
    <row r="83">
      <c r="A83" s="26" t="inlineStr">
        <is>
          <t>Verkaufstag</t>
        </is>
      </c>
      <c r="B83" s="33">
        <f>COUNTIF(Artikelstamm!$AB$3:$AB$176,$A83)</f>
        <v/>
      </c>
      <c r="C83" s="34">
        <f>SUMPRODUCT((Artikelstamm!$AB$3:$AB$176=$A83)*Artikelstamm!$K$3:$K$176*Artikelstamm!$AD$3:$AD$176)</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2026-09-22T12:22:05Z</dcterms:created>
  <dcterms:modified xmlns:dcterms="http://purl.org/dc/terms/" xmlns:xsi="http://www.w3.org/2001/XMLSchema-instance" xsi:type="dcterms:W3CDTF">2026-09-22T12:22:05Z</dcterms:modified>
</cp:coreProperties>
</file>